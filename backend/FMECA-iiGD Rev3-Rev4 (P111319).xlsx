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Dashboard\backend\"/>
    </mc:Choice>
  </mc:AlternateContent>
  <xr:revisionPtr revIDLastSave="0" documentId="13_ncr:1_{83B44302-CDD5-4B65-BB2A-87BA7B135B35}" xr6:coauthVersionLast="36" xr6:coauthVersionMax="36" xr10:uidLastSave="{00000000-0000-0000-0000-000000000000}"/>
  <bookViews>
    <workbookView xWindow="0" yWindow="0" windowWidth="28800" windowHeight="14025" xr2:uid="{558D027C-3D66-4F60-81AF-F76CC50F6D1B}"/>
  </bookViews>
  <sheets>
    <sheet name="DFMECA" sheetId="1" r:id="rId1"/>
  </sheets>
  <externalReferences>
    <externalReference r:id="rId2"/>
  </externalReferences>
  <definedNames>
    <definedName name="_xlnm._FilterDatabase" localSheetId="0" hidden="1">DFMECA!$A$2:$WQ$498</definedName>
    <definedName name="_polarion_4">OFFSET(_polarion_options_start,MATCH(CONCATENATE(_polarion_type,":","PRD-Section"),_polarion_options_types,0),1,COUNTIF(_polarion_options_types,CONCATENATE(_polarion_type,":","PRD-Section")),1)</definedName>
    <definedName name="_polarion_info">#REF!</definedName>
    <definedName name="_polarion_options_start">[1]!_polarion_options[[#Headers],[Type]]</definedName>
    <definedName name="_polarion_options_types">[1]!_polarion_options[Type]</definedName>
    <definedName name="_polarion_project">IF(ISBLANK(_polarion_info),"PrimaryProtectionSystem",LEFT(_polarion_info,SEARCH("/",_polarion_info,1)-1))</definedName>
    <definedName name="_polarion_type">CONCATENATE(_polarion_project,"/",IF(ISBLANK(#REF!),"requirement",#REF!))</definedName>
    <definedName name="a">OFFSET(_polarion_options_start,MATCH(CONCATENATE(_polarion_type,":","PRD-Section"),_polarion_options_types,0),1,COUNTIF(_polarion_options_types,CONCATENATE(_polarion_type,":","PRD-Section")),1)</definedName>
    <definedName name="abc">#N/A</definedName>
    <definedName name="_xlnm.Print_Titles" localSheetId="0">DFMECA!$1:$2</definedName>
    <definedName name="ValidPPDPhase">#REF!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5" i="1" l="1"/>
  <c r="Q6" i="1"/>
  <c r="Q7" i="1"/>
  <c r="AD499" i="1" l="1"/>
  <c r="AE498" i="1"/>
  <c r="AD498" i="1"/>
  <c r="M498" i="1"/>
  <c r="Q498" i="1" s="1"/>
  <c r="AE497" i="1"/>
  <c r="AD497" i="1"/>
  <c r="M497" i="1"/>
  <c r="Q497" i="1" s="1"/>
  <c r="AE496" i="1"/>
  <c r="AD496" i="1"/>
  <c r="M496" i="1"/>
  <c r="Q496" i="1" s="1"/>
  <c r="AD495" i="1"/>
  <c r="M495" i="1"/>
  <c r="Q495" i="1" s="1"/>
  <c r="AD494" i="1"/>
  <c r="M494" i="1"/>
  <c r="Q494" i="1" s="1"/>
  <c r="AD493" i="1"/>
  <c r="M493" i="1"/>
  <c r="Q493" i="1" s="1"/>
  <c r="AD492" i="1"/>
  <c r="M492" i="1"/>
  <c r="Q492" i="1" s="1"/>
  <c r="AD491" i="1"/>
  <c r="M491" i="1"/>
  <c r="Q491" i="1" s="1"/>
  <c r="AD490" i="1"/>
  <c r="M490" i="1"/>
  <c r="Q490" i="1" s="1"/>
  <c r="AD489" i="1"/>
  <c r="M489" i="1"/>
  <c r="Q489" i="1" s="1"/>
  <c r="AD488" i="1"/>
  <c r="M488" i="1"/>
  <c r="Q488" i="1" s="1"/>
  <c r="AD487" i="1"/>
  <c r="M487" i="1"/>
  <c r="Q487" i="1" s="1"/>
  <c r="AD486" i="1"/>
  <c r="M486" i="1"/>
  <c r="Q486" i="1" s="1"/>
  <c r="AE485" i="1"/>
  <c r="AD485" i="1"/>
  <c r="M485" i="1"/>
  <c r="Q485" i="1" s="1"/>
  <c r="AE484" i="1"/>
  <c r="AD484" i="1"/>
  <c r="M484" i="1"/>
  <c r="Q484" i="1" s="1"/>
  <c r="AE483" i="1"/>
  <c r="AD483" i="1"/>
  <c r="M483" i="1"/>
  <c r="Q483" i="1" s="1"/>
  <c r="AE482" i="1"/>
  <c r="AD482" i="1"/>
  <c r="M482" i="1"/>
  <c r="Q482" i="1" s="1"/>
  <c r="AE481" i="1"/>
  <c r="AD481" i="1"/>
  <c r="M481" i="1"/>
  <c r="Q481" i="1" s="1"/>
  <c r="AE480" i="1"/>
  <c r="AD480" i="1"/>
  <c r="M480" i="1"/>
  <c r="Q480" i="1" s="1"/>
  <c r="AD479" i="1"/>
  <c r="M479" i="1"/>
  <c r="Q479" i="1" s="1"/>
  <c r="AD478" i="1"/>
  <c r="M478" i="1"/>
  <c r="Q478" i="1" s="1"/>
  <c r="AD477" i="1"/>
  <c r="M477" i="1"/>
  <c r="Q477" i="1" s="1"/>
  <c r="AD476" i="1"/>
  <c r="M476" i="1"/>
  <c r="Q476" i="1" s="1"/>
  <c r="AD475" i="1"/>
  <c r="M475" i="1"/>
  <c r="Q475" i="1" s="1"/>
  <c r="AD474" i="1"/>
  <c r="M474" i="1"/>
  <c r="Q474" i="1" s="1"/>
  <c r="AD473" i="1"/>
  <c r="M473" i="1"/>
  <c r="Q473" i="1" s="1"/>
  <c r="AD472" i="1"/>
  <c r="M472" i="1"/>
  <c r="Q472" i="1" s="1"/>
  <c r="AE471" i="1"/>
  <c r="AD471" i="1"/>
  <c r="M471" i="1"/>
  <c r="Q471" i="1" s="1"/>
  <c r="AE470" i="1"/>
  <c r="AD470" i="1"/>
  <c r="M470" i="1"/>
  <c r="Q470" i="1" s="1"/>
  <c r="AE469" i="1"/>
  <c r="AD469" i="1"/>
  <c r="M469" i="1"/>
  <c r="Q469" i="1" s="1"/>
  <c r="AE468" i="1"/>
  <c r="AD468" i="1"/>
  <c r="M468" i="1"/>
  <c r="Q468" i="1" s="1"/>
  <c r="AE467" i="1"/>
  <c r="AD467" i="1"/>
  <c r="M467" i="1"/>
  <c r="Q467" i="1" s="1"/>
  <c r="AE466" i="1"/>
  <c r="AD466" i="1"/>
  <c r="M466" i="1"/>
  <c r="Q466" i="1" s="1"/>
  <c r="AE465" i="1"/>
  <c r="AD465" i="1"/>
  <c r="M465" i="1"/>
  <c r="Q465" i="1" s="1"/>
  <c r="AE464" i="1"/>
  <c r="AD464" i="1"/>
  <c r="M464" i="1"/>
  <c r="Q464" i="1" s="1"/>
  <c r="AD463" i="1"/>
  <c r="M463" i="1"/>
  <c r="Q463" i="1" s="1"/>
  <c r="AD462" i="1"/>
  <c r="M462" i="1"/>
  <c r="Q462" i="1" s="1"/>
  <c r="AD461" i="1"/>
  <c r="M461" i="1"/>
  <c r="Q461" i="1" s="1"/>
  <c r="AD460" i="1"/>
  <c r="M460" i="1"/>
  <c r="Q460" i="1" s="1"/>
  <c r="AD459" i="1"/>
  <c r="M459" i="1"/>
  <c r="Q459" i="1" s="1"/>
  <c r="AE458" i="1"/>
  <c r="AD458" i="1"/>
  <c r="M458" i="1"/>
  <c r="Q458" i="1" s="1"/>
  <c r="AE457" i="1"/>
  <c r="AD457" i="1"/>
  <c r="M457" i="1"/>
  <c r="Q457" i="1" s="1"/>
  <c r="AD456" i="1"/>
  <c r="M456" i="1"/>
  <c r="Q456" i="1" s="1"/>
  <c r="AD455" i="1"/>
  <c r="M455" i="1"/>
  <c r="Q455" i="1" s="1"/>
  <c r="AE454" i="1"/>
  <c r="AD454" i="1"/>
  <c r="M454" i="1"/>
  <c r="Q454" i="1" s="1"/>
  <c r="AE453" i="1"/>
  <c r="AD453" i="1"/>
  <c r="M453" i="1"/>
  <c r="Q453" i="1" s="1"/>
  <c r="AE452" i="1"/>
  <c r="AD452" i="1"/>
  <c r="AE451" i="1"/>
  <c r="AD451" i="1"/>
  <c r="M451" i="1"/>
  <c r="Q451" i="1" s="1"/>
  <c r="AE450" i="1"/>
  <c r="AD450" i="1"/>
  <c r="M450" i="1"/>
  <c r="Q450" i="1" s="1"/>
  <c r="AE449" i="1"/>
  <c r="AD449" i="1"/>
  <c r="M449" i="1"/>
  <c r="Q449" i="1" s="1"/>
  <c r="AE448" i="1"/>
  <c r="AD448" i="1"/>
  <c r="M448" i="1"/>
  <c r="Q448" i="1" s="1"/>
  <c r="AE447" i="1"/>
  <c r="AD447" i="1"/>
  <c r="M447" i="1"/>
  <c r="Q447" i="1" s="1"/>
  <c r="AE446" i="1"/>
  <c r="AD446" i="1"/>
  <c r="M446" i="1"/>
  <c r="Q446" i="1" s="1"/>
  <c r="AE445" i="1"/>
  <c r="AD445" i="1"/>
  <c r="M445" i="1"/>
  <c r="Q445" i="1" s="1"/>
  <c r="AE444" i="1"/>
  <c r="AD444" i="1"/>
  <c r="M444" i="1"/>
  <c r="Q444" i="1" s="1"/>
  <c r="AE443" i="1"/>
  <c r="AD443" i="1"/>
  <c r="M443" i="1"/>
  <c r="Q443" i="1" s="1"/>
  <c r="AE442" i="1"/>
  <c r="AD442" i="1"/>
  <c r="M442" i="1"/>
  <c r="Q442" i="1" s="1"/>
  <c r="AE441" i="1"/>
  <c r="AD441" i="1"/>
  <c r="M441" i="1"/>
  <c r="Q441" i="1" s="1"/>
  <c r="AE440" i="1"/>
  <c r="AD440" i="1"/>
  <c r="M440" i="1"/>
  <c r="Q440" i="1" s="1"/>
  <c r="AE439" i="1"/>
  <c r="AD439" i="1"/>
  <c r="M439" i="1"/>
  <c r="Q439" i="1" s="1"/>
  <c r="AD438" i="1"/>
  <c r="M438" i="1"/>
  <c r="Q438" i="1" s="1"/>
  <c r="AD437" i="1"/>
  <c r="M437" i="1"/>
  <c r="Q437" i="1" s="1"/>
  <c r="AE436" i="1"/>
  <c r="AD436" i="1"/>
  <c r="M436" i="1"/>
  <c r="Q436" i="1" s="1"/>
  <c r="AE435" i="1"/>
  <c r="AD435" i="1"/>
  <c r="M435" i="1"/>
  <c r="Q435" i="1" s="1"/>
  <c r="AD434" i="1"/>
  <c r="M434" i="1"/>
  <c r="Q434" i="1" s="1"/>
  <c r="AD433" i="1"/>
  <c r="M433" i="1"/>
  <c r="Q433" i="1" s="1"/>
  <c r="AE432" i="1"/>
  <c r="AD432" i="1"/>
  <c r="M432" i="1"/>
  <c r="Q432" i="1" s="1"/>
  <c r="AE431" i="1"/>
  <c r="AD431" i="1"/>
  <c r="M431" i="1"/>
  <c r="Q431" i="1" s="1"/>
  <c r="AD430" i="1"/>
  <c r="M430" i="1"/>
  <c r="Q430" i="1" s="1"/>
  <c r="AD429" i="1"/>
  <c r="M429" i="1"/>
  <c r="Q429" i="1" s="1"/>
  <c r="AD428" i="1"/>
  <c r="M428" i="1"/>
  <c r="Q428" i="1" s="1"/>
  <c r="AD427" i="1"/>
  <c r="M427" i="1"/>
  <c r="Q427" i="1" s="1"/>
  <c r="AE426" i="1"/>
  <c r="AD426" i="1"/>
  <c r="M426" i="1"/>
  <c r="Q426" i="1" s="1"/>
  <c r="AE425" i="1"/>
  <c r="AD425" i="1"/>
  <c r="M425" i="1"/>
  <c r="Q425" i="1" s="1"/>
  <c r="AE424" i="1"/>
  <c r="AD424" i="1"/>
  <c r="M424" i="1"/>
  <c r="Q424" i="1" s="1"/>
  <c r="AE423" i="1"/>
  <c r="AD423" i="1"/>
  <c r="M423" i="1"/>
  <c r="Q423" i="1" s="1"/>
  <c r="AE422" i="1"/>
  <c r="AD422" i="1"/>
  <c r="M422" i="1"/>
  <c r="Q422" i="1" s="1"/>
  <c r="AD421" i="1"/>
  <c r="Q421" i="1"/>
  <c r="AE420" i="1"/>
  <c r="AD420" i="1"/>
  <c r="M420" i="1"/>
  <c r="Q420" i="1" s="1"/>
  <c r="AE419" i="1"/>
  <c r="AD419" i="1"/>
  <c r="M419" i="1"/>
  <c r="Q419" i="1" s="1"/>
  <c r="AE418" i="1"/>
  <c r="AD418" i="1"/>
  <c r="M418" i="1"/>
  <c r="Q418" i="1" s="1"/>
  <c r="AE417" i="1"/>
  <c r="AD417" i="1"/>
  <c r="M417" i="1"/>
  <c r="Q417" i="1" s="1"/>
  <c r="AE416" i="1"/>
  <c r="AD416" i="1"/>
  <c r="M416" i="1"/>
  <c r="Q416" i="1" s="1"/>
  <c r="AE415" i="1"/>
  <c r="AD415" i="1"/>
  <c r="M415" i="1"/>
  <c r="Q415" i="1" s="1"/>
  <c r="AE414" i="1"/>
  <c r="AD414" i="1"/>
  <c r="M414" i="1"/>
  <c r="Q414" i="1" s="1"/>
  <c r="AE413" i="1"/>
  <c r="AD413" i="1"/>
  <c r="M413" i="1"/>
  <c r="Q413" i="1" s="1"/>
  <c r="AE412" i="1"/>
  <c r="AD412" i="1"/>
  <c r="M412" i="1"/>
  <c r="Q412" i="1" s="1"/>
  <c r="AE411" i="1"/>
  <c r="AD411" i="1"/>
  <c r="M411" i="1"/>
  <c r="Q411" i="1" s="1"/>
  <c r="AE410" i="1"/>
  <c r="AD410" i="1"/>
  <c r="M410" i="1"/>
  <c r="Q410" i="1" s="1"/>
  <c r="AE409" i="1"/>
  <c r="AD409" i="1"/>
  <c r="M409" i="1"/>
  <c r="Q409" i="1" s="1"/>
  <c r="AE408" i="1"/>
  <c r="AD408" i="1"/>
  <c r="M408" i="1"/>
  <c r="Q408" i="1" s="1"/>
  <c r="AE407" i="1"/>
  <c r="AD407" i="1"/>
  <c r="M407" i="1"/>
  <c r="Q407" i="1" s="1"/>
  <c r="AD406" i="1"/>
  <c r="M406" i="1"/>
  <c r="Q406" i="1" s="1"/>
  <c r="AD405" i="1"/>
  <c r="M405" i="1"/>
  <c r="Q405" i="1" s="1"/>
  <c r="AD404" i="1"/>
  <c r="M404" i="1"/>
  <c r="Q404" i="1" s="1"/>
  <c r="AE403" i="1"/>
  <c r="AD403" i="1"/>
  <c r="M403" i="1"/>
  <c r="Q403" i="1" s="1"/>
  <c r="AE402" i="1"/>
  <c r="AD402" i="1"/>
  <c r="M402" i="1"/>
  <c r="Q402" i="1" s="1"/>
  <c r="AE401" i="1"/>
  <c r="AD401" i="1"/>
  <c r="M401" i="1"/>
  <c r="Q401" i="1" s="1"/>
  <c r="AE400" i="1"/>
  <c r="AD400" i="1"/>
  <c r="M400" i="1"/>
  <c r="Q400" i="1" s="1"/>
  <c r="AD399" i="1"/>
  <c r="M399" i="1"/>
  <c r="Q399" i="1" s="1"/>
  <c r="AD398" i="1"/>
  <c r="M398" i="1"/>
  <c r="Q398" i="1" s="1"/>
  <c r="AE397" i="1"/>
  <c r="AD397" i="1"/>
  <c r="M397" i="1"/>
  <c r="Q397" i="1" s="1"/>
  <c r="AE396" i="1"/>
  <c r="AD396" i="1"/>
  <c r="AE395" i="1"/>
  <c r="AD395" i="1"/>
  <c r="AE394" i="1"/>
  <c r="AD394" i="1"/>
  <c r="M394" i="1"/>
  <c r="Q394" i="1" s="1"/>
  <c r="AE393" i="1"/>
  <c r="AD393" i="1"/>
  <c r="M393" i="1"/>
  <c r="Q393" i="1" s="1"/>
  <c r="AD392" i="1"/>
  <c r="Q392" i="1"/>
  <c r="AD391" i="1"/>
  <c r="M391" i="1"/>
  <c r="Q391" i="1" s="1"/>
  <c r="AE390" i="1"/>
  <c r="AD390" i="1"/>
  <c r="M390" i="1"/>
  <c r="Q390" i="1" s="1"/>
  <c r="AE389" i="1"/>
  <c r="AD389" i="1"/>
  <c r="Q389" i="1"/>
  <c r="AE388" i="1"/>
  <c r="AD388" i="1"/>
  <c r="M388" i="1"/>
  <c r="Q388" i="1" s="1"/>
  <c r="AE387" i="1"/>
  <c r="AD387" i="1"/>
  <c r="M387" i="1"/>
  <c r="Q387" i="1" s="1"/>
  <c r="AD386" i="1"/>
  <c r="M386" i="1"/>
  <c r="Q386" i="1" s="1"/>
  <c r="AD385" i="1"/>
  <c r="M385" i="1"/>
  <c r="Q385" i="1" s="1"/>
  <c r="AE384" i="1"/>
  <c r="AD384" i="1"/>
  <c r="M384" i="1"/>
  <c r="Q384" i="1" s="1"/>
  <c r="AE383" i="1"/>
  <c r="AD383" i="1"/>
  <c r="M383" i="1"/>
  <c r="Q383" i="1" s="1"/>
  <c r="AE382" i="1"/>
  <c r="AD382" i="1"/>
  <c r="M382" i="1"/>
  <c r="Q382" i="1" s="1"/>
  <c r="AE381" i="1"/>
  <c r="AD381" i="1"/>
  <c r="M381" i="1"/>
  <c r="Q381" i="1" s="1"/>
  <c r="AE380" i="1"/>
  <c r="AD380" i="1"/>
  <c r="M380" i="1"/>
  <c r="Q380" i="1" s="1"/>
  <c r="AD379" i="1"/>
  <c r="M379" i="1"/>
  <c r="Q379" i="1" s="1"/>
  <c r="AD378" i="1"/>
  <c r="M378" i="1"/>
  <c r="Q378" i="1" s="1"/>
  <c r="AD377" i="1"/>
  <c r="M377" i="1"/>
  <c r="Q377" i="1" s="1"/>
  <c r="AE376" i="1"/>
  <c r="AD376" i="1"/>
  <c r="M376" i="1"/>
  <c r="Q376" i="1" s="1"/>
  <c r="AE375" i="1"/>
  <c r="AD375" i="1"/>
  <c r="M375" i="1"/>
  <c r="Q375" i="1" s="1"/>
  <c r="AD374" i="1"/>
  <c r="M374" i="1"/>
  <c r="Q374" i="1" s="1"/>
  <c r="AD373" i="1"/>
  <c r="M373" i="1"/>
  <c r="Q373" i="1" s="1"/>
  <c r="AD372" i="1"/>
  <c r="M372" i="1"/>
  <c r="Q372" i="1" s="1"/>
  <c r="AD371" i="1"/>
  <c r="M371" i="1"/>
  <c r="Q371" i="1" s="1"/>
  <c r="AD370" i="1"/>
  <c r="M370" i="1"/>
  <c r="Q370" i="1" s="1"/>
  <c r="AD369" i="1"/>
  <c r="M369" i="1"/>
  <c r="Q369" i="1" s="1"/>
  <c r="AD368" i="1"/>
  <c r="M368" i="1"/>
  <c r="Q368" i="1" s="1"/>
  <c r="AD367" i="1"/>
  <c r="M367" i="1"/>
  <c r="Q367" i="1" s="1"/>
  <c r="AD366" i="1"/>
  <c r="M366" i="1"/>
  <c r="Q366" i="1" s="1"/>
  <c r="AD365" i="1"/>
  <c r="M365" i="1"/>
  <c r="Q365" i="1" s="1"/>
  <c r="AE364" i="1"/>
  <c r="AD364" i="1"/>
  <c r="M364" i="1"/>
  <c r="Q364" i="1" s="1"/>
  <c r="AE363" i="1"/>
  <c r="AD363" i="1"/>
  <c r="M363" i="1"/>
  <c r="Q363" i="1" s="1"/>
  <c r="AE362" i="1"/>
  <c r="AD362" i="1"/>
  <c r="Q362" i="1"/>
  <c r="AE361" i="1"/>
  <c r="AD361" i="1"/>
  <c r="Q361" i="1"/>
  <c r="AE360" i="1"/>
  <c r="AD360" i="1"/>
  <c r="Q360" i="1"/>
  <c r="AE359" i="1"/>
  <c r="AD359" i="1"/>
  <c r="Q359" i="1"/>
  <c r="AE358" i="1"/>
  <c r="AD358" i="1"/>
  <c r="Q358" i="1"/>
  <c r="AE357" i="1"/>
  <c r="AD357" i="1"/>
  <c r="Q357" i="1"/>
  <c r="AE356" i="1"/>
  <c r="AD356" i="1"/>
  <c r="Q356" i="1"/>
  <c r="AE355" i="1"/>
  <c r="AD355" i="1"/>
  <c r="Q355" i="1"/>
  <c r="AE354" i="1"/>
  <c r="AD354" i="1"/>
  <c r="Q354" i="1"/>
  <c r="AE353" i="1"/>
  <c r="AD353" i="1"/>
  <c r="Q353" i="1"/>
  <c r="AE352" i="1"/>
  <c r="AD352" i="1"/>
  <c r="Q352" i="1"/>
  <c r="AE351" i="1"/>
  <c r="AD351" i="1"/>
  <c r="Q351" i="1"/>
  <c r="AD350" i="1"/>
  <c r="M350" i="1"/>
  <c r="Q350" i="1" s="1"/>
  <c r="AD349" i="1"/>
  <c r="M349" i="1"/>
  <c r="Q349" i="1" s="1"/>
  <c r="AD348" i="1"/>
  <c r="M348" i="1"/>
  <c r="Q348" i="1" s="1"/>
  <c r="AD347" i="1"/>
  <c r="M347" i="1"/>
  <c r="Q347" i="1" s="1"/>
  <c r="AD346" i="1"/>
  <c r="M346" i="1"/>
  <c r="Q346" i="1" s="1"/>
  <c r="AD345" i="1"/>
  <c r="M345" i="1"/>
  <c r="Q345" i="1" s="1"/>
  <c r="AE344" i="1"/>
  <c r="AD344" i="1"/>
  <c r="M344" i="1"/>
  <c r="Q344" i="1" s="1"/>
  <c r="AE343" i="1"/>
  <c r="AD343" i="1"/>
  <c r="M343" i="1"/>
  <c r="Q343" i="1" s="1"/>
  <c r="AE342" i="1"/>
  <c r="AD342" i="1"/>
  <c r="M342" i="1"/>
  <c r="Q342" i="1" s="1"/>
  <c r="AD341" i="1"/>
  <c r="M341" i="1"/>
  <c r="Q341" i="1" s="1"/>
  <c r="AD340" i="1"/>
  <c r="M340" i="1"/>
  <c r="Q340" i="1" s="1"/>
  <c r="AD339" i="1"/>
  <c r="M339" i="1"/>
  <c r="Q339" i="1" s="1"/>
  <c r="AE338" i="1"/>
  <c r="AD338" i="1"/>
  <c r="M338" i="1"/>
  <c r="Q338" i="1" s="1"/>
  <c r="AE337" i="1"/>
  <c r="AD337" i="1"/>
  <c r="M337" i="1"/>
  <c r="Q337" i="1" s="1"/>
  <c r="AD336" i="1"/>
  <c r="M336" i="1"/>
  <c r="Q336" i="1" s="1"/>
  <c r="AD335" i="1"/>
  <c r="M335" i="1"/>
  <c r="Q335" i="1" s="1"/>
  <c r="AD334" i="1"/>
  <c r="M334" i="1"/>
  <c r="Q334" i="1" s="1"/>
  <c r="AD333" i="1"/>
  <c r="M333" i="1"/>
  <c r="Q333" i="1" s="1"/>
  <c r="AD332" i="1"/>
  <c r="M332" i="1"/>
  <c r="Q332" i="1" s="1"/>
  <c r="AD331" i="1"/>
  <c r="M331" i="1"/>
  <c r="Q331" i="1" s="1"/>
  <c r="AD330" i="1"/>
  <c r="M330" i="1"/>
  <c r="Q330" i="1" s="1"/>
  <c r="AD329" i="1"/>
  <c r="M329" i="1"/>
  <c r="Q329" i="1" s="1"/>
  <c r="AD328" i="1"/>
  <c r="M328" i="1"/>
  <c r="Q328" i="1" s="1"/>
  <c r="AD327" i="1"/>
  <c r="M327" i="1"/>
  <c r="Q327" i="1" s="1"/>
  <c r="AD326" i="1"/>
  <c r="M326" i="1"/>
  <c r="Q326" i="1" s="1"/>
  <c r="AD325" i="1"/>
  <c r="M325" i="1"/>
  <c r="Q325" i="1" s="1"/>
  <c r="AD324" i="1"/>
  <c r="M324" i="1"/>
  <c r="Q324" i="1" s="1"/>
  <c r="AD323" i="1"/>
  <c r="M323" i="1"/>
  <c r="Q323" i="1" s="1"/>
  <c r="AD322" i="1"/>
  <c r="M322" i="1"/>
  <c r="Q322" i="1" s="1"/>
  <c r="AD321" i="1"/>
  <c r="M321" i="1"/>
  <c r="Q321" i="1" s="1"/>
  <c r="AD320" i="1"/>
  <c r="M320" i="1"/>
  <c r="Q320" i="1" s="1"/>
  <c r="AE319" i="1"/>
  <c r="AD319" i="1"/>
  <c r="M319" i="1"/>
  <c r="Q319" i="1" s="1"/>
  <c r="AE318" i="1"/>
  <c r="AD318" i="1"/>
  <c r="M318" i="1"/>
  <c r="Q318" i="1" s="1"/>
  <c r="AD317" i="1"/>
  <c r="M317" i="1"/>
  <c r="Q317" i="1" s="1"/>
  <c r="AD316" i="1"/>
  <c r="M316" i="1"/>
  <c r="Q316" i="1" s="1"/>
  <c r="AD315" i="1"/>
  <c r="M315" i="1"/>
  <c r="Q315" i="1" s="1"/>
  <c r="AD314" i="1"/>
  <c r="M314" i="1"/>
  <c r="Q314" i="1" s="1"/>
  <c r="AD313" i="1"/>
  <c r="M313" i="1"/>
  <c r="Q313" i="1" s="1"/>
  <c r="AD312" i="1"/>
  <c r="M312" i="1"/>
  <c r="Q312" i="1" s="1"/>
  <c r="AE311" i="1"/>
  <c r="AD311" i="1"/>
  <c r="Q311" i="1"/>
  <c r="AE310" i="1"/>
  <c r="AD310" i="1"/>
  <c r="Q310" i="1"/>
  <c r="AE309" i="1"/>
  <c r="AD309" i="1"/>
  <c r="Q309" i="1"/>
  <c r="AE308" i="1"/>
  <c r="AD308" i="1"/>
  <c r="Q308" i="1"/>
  <c r="AE307" i="1"/>
  <c r="AD307" i="1"/>
  <c r="Q307" i="1"/>
  <c r="AE306" i="1"/>
  <c r="AD306" i="1"/>
  <c r="Q306" i="1"/>
  <c r="AE305" i="1"/>
  <c r="AD305" i="1"/>
  <c r="Q305" i="1"/>
  <c r="AE304" i="1"/>
  <c r="AD304" i="1"/>
  <c r="Q304" i="1"/>
  <c r="AE303" i="1"/>
  <c r="AD303" i="1"/>
  <c r="Q303" i="1"/>
  <c r="AE302" i="1"/>
  <c r="AD302" i="1"/>
  <c r="Q302" i="1"/>
  <c r="AE301" i="1"/>
  <c r="AD301" i="1"/>
  <c r="Q301" i="1"/>
  <c r="AE300" i="1"/>
  <c r="AD300" i="1"/>
  <c r="Q300" i="1"/>
  <c r="AE299" i="1"/>
  <c r="AD299" i="1"/>
  <c r="Q299" i="1"/>
  <c r="AE298" i="1"/>
  <c r="AD298" i="1"/>
  <c r="Q298" i="1"/>
  <c r="AE297" i="1"/>
  <c r="AD297" i="1"/>
  <c r="Q297" i="1"/>
  <c r="AE296" i="1"/>
  <c r="AD296" i="1"/>
  <c r="Q296" i="1"/>
  <c r="AE295" i="1"/>
  <c r="AD295" i="1"/>
  <c r="M295" i="1"/>
  <c r="Q295" i="1" s="1"/>
  <c r="AE294" i="1"/>
  <c r="AD294" i="1"/>
  <c r="M294" i="1"/>
  <c r="Q294" i="1" s="1"/>
  <c r="AE293" i="1"/>
  <c r="AD293" i="1"/>
  <c r="M293" i="1"/>
  <c r="Q293" i="1" s="1"/>
  <c r="AE292" i="1"/>
  <c r="AD292" i="1"/>
  <c r="M292" i="1"/>
  <c r="Q292" i="1" s="1"/>
  <c r="AE291" i="1"/>
  <c r="AD291" i="1"/>
  <c r="M291" i="1"/>
  <c r="Q291" i="1" s="1"/>
  <c r="AE290" i="1"/>
  <c r="AD290" i="1"/>
  <c r="M290" i="1"/>
  <c r="Q290" i="1" s="1"/>
  <c r="AD289" i="1"/>
  <c r="M289" i="1"/>
  <c r="Q289" i="1" s="1"/>
  <c r="AD288" i="1"/>
  <c r="M288" i="1"/>
  <c r="Q288" i="1" s="1"/>
  <c r="AD287" i="1"/>
  <c r="M287" i="1"/>
  <c r="Q287" i="1" s="1"/>
  <c r="AD286" i="1"/>
  <c r="M286" i="1"/>
  <c r="Q286" i="1" s="1"/>
  <c r="AD285" i="1"/>
  <c r="M285" i="1"/>
  <c r="Q285" i="1" s="1"/>
  <c r="AE284" i="1"/>
  <c r="AD284" i="1"/>
  <c r="M284" i="1"/>
  <c r="Q284" i="1" s="1"/>
  <c r="AE283" i="1"/>
  <c r="AD283" i="1"/>
  <c r="M283" i="1"/>
  <c r="Q283" i="1" s="1"/>
  <c r="AE282" i="1"/>
  <c r="AD282" i="1"/>
  <c r="M282" i="1"/>
  <c r="Q282" i="1" s="1"/>
  <c r="AE281" i="1"/>
  <c r="AD281" i="1"/>
  <c r="M281" i="1"/>
  <c r="Q281" i="1" s="1"/>
  <c r="AD280" i="1"/>
  <c r="M280" i="1"/>
  <c r="Q280" i="1" s="1"/>
  <c r="AD279" i="1"/>
  <c r="M279" i="1"/>
  <c r="Q279" i="1" s="1"/>
  <c r="AD278" i="1"/>
  <c r="M278" i="1"/>
  <c r="Q278" i="1" s="1"/>
  <c r="AD277" i="1"/>
  <c r="M277" i="1"/>
  <c r="Q277" i="1" s="1"/>
  <c r="AD276" i="1"/>
  <c r="M276" i="1"/>
  <c r="Q276" i="1" s="1"/>
  <c r="AD275" i="1"/>
  <c r="Q275" i="1"/>
  <c r="AD274" i="1"/>
  <c r="M274" i="1"/>
  <c r="Q274" i="1" s="1"/>
  <c r="AD273" i="1"/>
  <c r="Q273" i="1"/>
  <c r="AD272" i="1"/>
  <c r="M272" i="1"/>
  <c r="Q272" i="1" s="1"/>
  <c r="AD271" i="1"/>
  <c r="Q271" i="1"/>
  <c r="AD270" i="1"/>
  <c r="Q270" i="1"/>
  <c r="AD269" i="1"/>
  <c r="Q269" i="1"/>
  <c r="AD268" i="1"/>
  <c r="M268" i="1"/>
  <c r="Q268" i="1" s="1"/>
  <c r="AD267" i="1"/>
  <c r="M267" i="1"/>
  <c r="Q267" i="1" s="1"/>
  <c r="AD266" i="1"/>
  <c r="M266" i="1"/>
  <c r="Q266" i="1" s="1"/>
  <c r="AD265" i="1"/>
  <c r="M265" i="1"/>
  <c r="Q265" i="1" s="1"/>
  <c r="AD264" i="1"/>
  <c r="M264" i="1"/>
  <c r="Q264" i="1" s="1"/>
  <c r="AD263" i="1"/>
  <c r="M263" i="1"/>
  <c r="Q263" i="1" s="1"/>
  <c r="AD262" i="1"/>
  <c r="M262" i="1"/>
  <c r="Q262" i="1" s="1"/>
  <c r="AD261" i="1"/>
  <c r="M261" i="1"/>
  <c r="Q261" i="1" s="1"/>
  <c r="AD260" i="1"/>
  <c r="M260" i="1"/>
  <c r="Q260" i="1" s="1"/>
  <c r="AD259" i="1"/>
  <c r="M259" i="1"/>
  <c r="Q259" i="1" s="1"/>
  <c r="AD258" i="1"/>
  <c r="M258" i="1"/>
  <c r="Q258" i="1" s="1"/>
  <c r="AD257" i="1"/>
  <c r="M257" i="1"/>
  <c r="Q257" i="1" s="1"/>
  <c r="AD256" i="1"/>
  <c r="M256" i="1"/>
  <c r="Q256" i="1" s="1"/>
  <c r="AD255" i="1"/>
  <c r="M255" i="1"/>
  <c r="Q255" i="1" s="1"/>
  <c r="AD254" i="1"/>
  <c r="M254" i="1"/>
  <c r="Q254" i="1" s="1"/>
  <c r="AD253" i="1"/>
  <c r="M253" i="1"/>
  <c r="Q253" i="1" s="1"/>
  <c r="AD252" i="1"/>
  <c r="M252" i="1"/>
  <c r="Q252" i="1" s="1"/>
  <c r="AD251" i="1"/>
  <c r="M251" i="1"/>
  <c r="Q251" i="1" s="1"/>
  <c r="AD250" i="1"/>
  <c r="M250" i="1"/>
  <c r="Q250" i="1" s="1"/>
  <c r="AD249" i="1"/>
  <c r="M249" i="1"/>
  <c r="Q249" i="1" s="1"/>
  <c r="AD248" i="1"/>
  <c r="M248" i="1"/>
  <c r="Q248" i="1" s="1"/>
  <c r="AD247" i="1"/>
  <c r="M247" i="1"/>
  <c r="Q247" i="1" s="1"/>
  <c r="AD246" i="1"/>
  <c r="M246" i="1"/>
  <c r="Q246" i="1" s="1"/>
  <c r="AD245" i="1"/>
  <c r="M245" i="1"/>
  <c r="Q245" i="1" s="1"/>
  <c r="AD244" i="1"/>
  <c r="M244" i="1"/>
  <c r="Q244" i="1" s="1"/>
  <c r="AD243" i="1"/>
  <c r="M243" i="1"/>
  <c r="Q243" i="1" s="1"/>
  <c r="AD242" i="1"/>
  <c r="M242" i="1"/>
  <c r="Q242" i="1" s="1"/>
  <c r="AD241" i="1"/>
  <c r="M241" i="1"/>
  <c r="Q241" i="1" s="1"/>
  <c r="AD240" i="1"/>
  <c r="M240" i="1"/>
  <c r="Q240" i="1" s="1"/>
  <c r="AD239" i="1"/>
  <c r="M239" i="1"/>
  <c r="Q239" i="1" s="1"/>
  <c r="AD238" i="1"/>
  <c r="M238" i="1"/>
  <c r="Q238" i="1" s="1"/>
  <c r="AE237" i="1"/>
  <c r="AD237" i="1"/>
  <c r="AE236" i="1"/>
  <c r="AD236" i="1"/>
  <c r="M236" i="1"/>
  <c r="Q236" i="1" s="1"/>
  <c r="AE235" i="1"/>
  <c r="AD235" i="1"/>
  <c r="M235" i="1"/>
  <c r="Q235" i="1" s="1"/>
  <c r="AE234" i="1"/>
  <c r="AD234" i="1"/>
  <c r="M234" i="1"/>
  <c r="Q234" i="1" s="1"/>
  <c r="AD233" i="1"/>
  <c r="M233" i="1"/>
  <c r="Q233" i="1" s="1"/>
  <c r="AD232" i="1"/>
  <c r="M232" i="1"/>
  <c r="Q232" i="1" s="1"/>
  <c r="AE231" i="1"/>
  <c r="AD231" i="1"/>
  <c r="M231" i="1"/>
  <c r="Q231" i="1" s="1"/>
  <c r="AE230" i="1"/>
  <c r="AD230" i="1"/>
  <c r="M230" i="1"/>
  <c r="Q230" i="1" s="1"/>
  <c r="AE229" i="1"/>
  <c r="AD229" i="1"/>
  <c r="M229" i="1"/>
  <c r="Q229" i="1" s="1"/>
  <c r="AE228" i="1"/>
  <c r="AD228" i="1"/>
  <c r="M228" i="1"/>
  <c r="Q228" i="1" s="1"/>
  <c r="AE227" i="1"/>
  <c r="AD227" i="1"/>
  <c r="M227" i="1"/>
  <c r="Q227" i="1" s="1"/>
  <c r="AD226" i="1"/>
  <c r="M226" i="1"/>
  <c r="Q226" i="1" s="1"/>
  <c r="AD225" i="1"/>
  <c r="M225" i="1"/>
  <c r="Q225" i="1" s="1"/>
  <c r="AD224" i="1"/>
  <c r="M224" i="1"/>
  <c r="Q224" i="1" s="1"/>
  <c r="AE223" i="1"/>
  <c r="AD223" i="1"/>
  <c r="M223" i="1"/>
  <c r="Q223" i="1" s="1"/>
  <c r="AE222" i="1"/>
  <c r="AD222" i="1"/>
  <c r="M222" i="1"/>
  <c r="Q222" i="1" s="1"/>
  <c r="AD221" i="1"/>
  <c r="M221" i="1"/>
  <c r="Q221" i="1" s="1"/>
  <c r="AD220" i="1"/>
  <c r="M220" i="1"/>
  <c r="Q220" i="1" s="1"/>
  <c r="AD219" i="1"/>
  <c r="M219" i="1"/>
  <c r="Q219" i="1" s="1"/>
  <c r="AD218" i="1"/>
  <c r="M218" i="1"/>
  <c r="Q218" i="1" s="1"/>
  <c r="AD217" i="1"/>
  <c r="M217" i="1"/>
  <c r="Q217" i="1" s="1"/>
  <c r="AD216" i="1"/>
  <c r="M216" i="1"/>
  <c r="Q216" i="1" s="1"/>
  <c r="AD215" i="1"/>
  <c r="M215" i="1"/>
  <c r="Q215" i="1" s="1"/>
  <c r="AD214" i="1"/>
  <c r="M214" i="1"/>
  <c r="Q214" i="1" s="1"/>
  <c r="AD213" i="1"/>
  <c r="M213" i="1"/>
  <c r="Q213" i="1" s="1"/>
  <c r="AD212" i="1"/>
  <c r="M212" i="1"/>
  <c r="Q212" i="1" s="1"/>
  <c r="AE211" i="1"/>
  <c r="AD211" i="1"/>
  <c r="M211" i="1"/>
  <c r="Q211" i="1" s="1"/>
  <c r="AE210" i="1"/>
  <c r="AD210" i="1"/>
  <c r="M210" i="1"/>
  <c r="Q210" i="1" s="1"/>
  <c r="AE209" i="1"/>
  <c r="AD209" i="1"/>
  <c r="Q209" i="1"/>
  <c r="AE208" i="1"/>
  <c r="AD208" i="1"/>
  <c r="Q208" i="1"/>
  <c r="AE207" i="1"/>
  <c r="AD207" i="1"/>
  <c r="Q207" i="1"/>
  <c r="AE206" i="1"/>
  <c r="AD206" i="1"/>
  <c r="Q206" i="1"/>
  <c r="AE205" i="1"/>
  <c r="AD205" i="1"/>
  <c r="Q205" i="1"/>
  <c r="AE204" i="1"/>
  <c r="AD204" i="1"/>
  <c r="Q204" i="1"/>
  <c r="AE203" i="1"/>
  <c r="AD203" i="1"/>
  <c r="Q203" i="1"/>
  <c r="AE202" i="1"/>
  <c r="AD202" i="1"/>
  <c r="Q202" i="1"/>
  <c r="AE201" i="1"/>
  <c r="AD201" i="1"/>
  <c r="Q201" i="1"/>
  <c r="AE200" i="1"/>
  <c r="AD200" i="1"/>
  <c r="Q200" i="1"/>
  <c r="AE199" i="1"/>
  <c r="AD199" i="1"/>
  <c r="Q199" i="1"/>
  <c r="AE198" i="1"/>
  <c r="AD198" i="1"/>
  <c r="Q198" i="1"/>
  <c r="AE197" i="1"/>
  <c r="AD197" i="1"/>
  <c r="M197" i="1"/>
  <c r="Q197" i="1" s="1"/>
  <c r="AE196" i="1"/>
  <c r="AD196" i="1"/>
  <c r="M196" i="1"/>
  <c r="Q196" i="1" s="1"/>
  <c r="AE195" i="1"/>
  <c r="AD195" i="1"/>
  <c r="M195" i="1"/>
  <c r="Q195" i="1" s="1"/>
  <c r="AE194" i="1"/>
  <c r="AD194" i="1"/>
  <c r="M194" i="1"/>
  <c r="Q194" i="1" s="1"/>
  <c r="AE193" i="1"/>
  <c r="AD193" i="1"/>
  <c r="M193" i="1"/>
  <c r="Q193" i="1" s="1"/>
  <c r="AD192" i="1"/>
  <c r="M192" i="1"/>
  <c r="Q192" i="1" s="1"/>
  <c r="AD191" i="1"/>
  <c r="M191" i="1"/>
  <c r="Q191" i="1" s="1"/>
  <c r="AD190" i="1"/>
  <c r="M190" i="1"/>
  <c r="Q190" i="1" s="1"/>
  <c r="AE189" i="1"/>
  <c r="AD189" i="1"/>
  <c r="M189" i="1"/>
  <c r="Q189" i="1" s="1"/>
  <c r="AE188" i="1"/>
  <c r="AD188" i="1"/>
  <c r="M188" i="1"/>
  <c r="Q188" i="1" s="1"/>
  <c r="AD187" i="1"/>
  <c r="M187" i="1"/>
  <c r="Q187" i="1" s="1"/>
  <c r="AD186" i="1"/>
  <c r="M186" i="1"/>
  <c r="Q186" i="1" s="1"/>
  <c r="AD185" i="1"/>
  <c r="M185" i="1"/>
  <c r="Q185" i="1" s="1"/>
  <c r="AD184" i="1"/>
  <c r="M184" i="1"/>
  <c r="Q184" i="1" s="1"/>
  <c r="AD183" i="1"/>
  <c r="M183" i="1"/>
  <c r="Q183" i="1" s="1"/>
  <c r="AD182" i="1"/>
  <c r="M182" i="1"/>
  <c r="Q182" i="1" s="1"/>
  <c r="AD181" i="1"/>
  <c r="M181" i="1"/>
  <c r="Q181" i="1" s="1"/>
  <c r="AD180" i="1"/>
  <c r="M180" i="1"/>
  <c r="Q180" i="1" s="1"/>
  <c r="AD179" i="1"/>
  <c r="M179" i="1"/>
  <c r="Q179" i="1" s="1"/>
  <c r="AD178" i="1"/>
  <c r="M178" i="1"/>
  <c r="Q178" i="1" s="1"/>
  <c r="AD177" i="1"/>
  <c r="M177" i="1"/>
  <c r="Q177" i="1" s="1"/>
  <c r="AD176" i="1"/>
  <c r="M176" i="1"/>
  <c r="Q176" i="1" s="1"/>
  <c r="AD175" i="1"/>
  <c r="M175" i="1"/>
  <c r="Q175" i="1" s="1"/>
  <c r="AD174" i="1"/>
  <c r="M174" i="1"/>
  <c r="Q174" i="1" s="1"/>
  <c r="AD173" i="1"/>
  <c r="M173" i="1"/>
  <c r="Q173" i="1" s="1"/>
  <c r="AD172" i="1"/>
  <c r="M172" i="1"/>
  <c r="Q172" i="1" s="1"/>
  <c r="AD171" i="1"/>
  <c r="M171" i="1"/>
  <c r="Q171" i="1" s="1"/>
  <c r="AD170" i="1"/>
  <c r="M170" i="1"/>
  <c r="Q170" i="1" s="1"/>
  <c r="AD169" i="1"/>
  <c r="M169" i="1"/>
  <c r="Q169" i="1" s="1"/>
  <c r="AD168" i="1"/>
  <c r="M168" i="1"/>
  <c r="Q168" i="1" s="1"/>
  <c r="AD167" i="1"/>
  <c r="M167" i="1"/>
  <c r="Q167" i="1" s="1"/>
  <c r="AD166" i="1"/>
  <c r="M166" i="1"/>
  <c r="Q166" i="1" s="1"/>
  <c r="AD165" i="1"/>
  <c r="M165" i="1"/>
  <c r="Q165" i="1" s="1"/>
  <c r="AD164" i="1"/>
  <c r="M164" i="1"/>
  <c r="Q164" i="1" s="1"/>
  <c r="AD163" i="1"/>
  <c r="M163" i="1"/>
  <c r="Q163" i="1" s="1"/>
  <c r="AD162" i="1"/>
  <c r="M162" i="1"/>
  <c r="Q162" i="1" s="1"/>
  <c r="AD161" i="1"/>
  <c r="M161" i="1"/>
  <c r="Q161" i="1" s="1"/>
  <c r="AD160" i="1"/>
  <c r="M160" i="1"/>
  <c r="Q160" i="1" s="1"/>
  <c r="AE159" i="1"/>
  <c r="AD159" i="1"/>
  <c r="Q159" i="1"/>
  <c r="AE158" i="1"/>
  <c r="AD158" i="1"/>
  <c r="Q158" i="1"/>
  <c r="AE157" i="1"/>
  <c r="AD157" i="1"/>
  <c r="Q157" i="1"/>
  <c r="AE156" i="1"/>
  <c r="AD156" i="1"/>
  <c r="Q156" i="1"/>
  <c r="AE155" i="1"/>
  <c r="AD155" i="1"/>
  <c r="Q155" i="1"/>
  <c r="AE154" i="1"/>
  <c r="AD154" i="1"/>
  <c r="Q154" i="1"/>
  <c r="AE153" i="1"/>
  <c r="AD153" i="1"/>
  <c r="Q153" i="1"/>
  <c r="AE152" i="1"/>
  <c r="AD152" i="1"/>
  <c r="Q152" i="1"/>
  <c r="AE151" i="1"/>
  <c r="AD151" i="1"/>
  <c r="Q151" i="1"/>
  <c r="AE150" i="1"/>
  <c r="AD150" i="1"/>
  <c r="Q150" i="1"/>
  <c r="AE149" i="1"/>
  <c r="AD149" i="1"/>
  <c r="Q149" i="1"/>
  <c r="AE148" i="1"/>
  <c r="AD148" i="1"/>
  <c r="Q148" i="1"/>
  <c r="AE147" i="1"/>
  <c r="AD147" i="1"/>
  <c r="Q147" i="1"/>
  <c r="AE146" i="1"/>
  <c r="AD146" i="1"/>
  <c r="Q146" i="1"/>
  <c r="AE145" i="1"/>
  <c r="AD145" i="1"/>
  <c r="Q145" i="1"/>
  <c r="AE144" i="1"/>
  <c r="AD144" i="1"/>
  <c r="Q144" i="1"/>
  <c r="AE143" i="1"/>
  <c r="AD143" i="1"/>
  <c r="M143" i="1"/>
  <c r="Q143" i="1" s="1"/>
  <c r="AE142" i="1"/>
  <c r="AD142" i="1"/>
  <c r="M142" i="1"/>
  <c r="Q142" i="1" s="1"/>
  <c r="AE141" i="1"/>
  <c r="AD141" i="1"/>
  <c r="M141" i="1"/>
  <c r="Q141" i="1" s="1"/>
  <c r="AE140" i="1"/>
  <c r="AD140" i="1"/>
  <c r="M140" i="1"/>
  <c r="Q140" i="1" s="1"/>
  <c r="AD139" i="1"/>
  <c r="M139" i="1"/>
  <c r="Q139" i="1" s="1"/>
  <c r="AD138" i="1"/>
  <c r="M138" i="1"/>
  <c r="Q138" i="1" s="1"/>
  <c r="AD137" i="1"/>
  <c r="M137" i="1"/>
  <c r="Q137" i="1" s="1"/>
  <c r="AD136" i="1"/>
  <c r="M136" i="1"/>
  <c r="Q136" i="1" s="1"/>
  <c r="AE135" i="1"/>
  <c r="AD135" i="1"/>
  <c r="M135" i="1"/>
  <c r="Q135" i="1" s="1"/>
  <c r="AE134" i="1"/>
  <c r="AD134" i="1"/>
  <c r="M134" i="1"/>
  <c r="Q134" i="1" s="1"/>
  <c r="AD133" i="1"/>
  <c r="M133" i="1"/>
  <c r="Q133" i="1" s="1"/>
  <c r="AD132" i="1"/>
  <c r="M132" i="1"/>
  <c r="Q132" i="1" s="1"/>
  <c r="AD131" i="1"/>
  <c r="M131" i="1"/>
  <c r="Q131" i="1" s="1"/>
  <c r="AD130" i="1"/>
  <c r="M130" i="1"/>
  <c r="Q130" i="1" s="1"/>
  <c r="AD129" i="1"/>
  <c r="M129" i="1"/>
  <c r="Q129" i="1" s="1"/>
  <c r="AD128" i="1"/>
  <c r="Q128" i="1"/>
  <c r="AD127" i="1"/>
  <c r="Q127" i="1"/>
  <c r="AD126" i="1"/>
  <c r="Q126" i="1"/>
  <c r="AD125" i="1"/>
  <c r="M125" i="1"/>
  <c r="Q125" i="1" s="1"/>
  <c r="AD124" i="1"/>
  <c r="M124" i="1"/>
  <c r="Q124" i="1" s="1"/>
  <c r="AD123" i="1"/>
  <c r="M123" i="1"/>
  <c r="Q123" i="1" s="1"/>
  <c r="AD122" i="1"/>
  <c r="M122" i="1"/>
  <c r="Q122" i="1" s="1"/>
  <c r="AD121" i="1"/>
  <c r="M121" i="1"/>
  <c r="Q121" i="1" s="1"/>
  <c r="AD120" i="1"/>
  <c r="M120" i="1"/>
  <c r="Q120" i="1" s="1"/>
  <c r="AD119" i="1"/>
  <c r="M119" i="1"/>
  <c r="Q119" i="1" s="1"/>
  <c r="AD118" i="1"/>
  <c r="M118" i="1"/>
  <c r="Q118" i="1" s="1"/>
  <c r="AD117" i="1"/>
  <c r="M117" i="1"/>
  <c r="Q117" i="1" s="1"/>
  <c r="AD116" i="1"/>
  <c r="M116" i="1"/>
  <c r="Q116" i="1" s="1"/>
  <c r="AD115" i="1"/>
  <c r="M115" i="1"/>
  <c r="Q115" i="1" s="1"/>
  <c r="AD114" i="1"/>
  <c r="M114" i="1"/>
  <c r="Q114" i="1" s="1"/>
  <c r="AD113" i="1"/>
  <c r="M113" i="1"/>
  <c r="Q113" i="1" s="1"/>
  <c r="AD112" i="1"/>
  <c r="M112" i="1"/>
  <c r="Q112" i="1" s="1"/>
  <c r="AD111" i="1"/>
  <c r="M111" i="1"/>
  <c r="Q111" i="1" s="1"/>
  <c r="AD110" i="1"/>
  <c r="M110" i="1"/>
  <c r="Q110" i="1" s="1"/>
  <c r="AD109" i="1"/>
  <c r="M109" i="1"/>
  <c r="Q109" i="1" s="1"/>
  <c r="AD108" i="1"/>
  <c r="M108" i="1"/>
  <c r="Q108" i="1" s="1"/>
  <c r="AD107" i="1"/>
  <c r="M107" i="1"/>
  <c r="Q107" i="1" s="1"/>
  <c r="AD106" i="1"/>
  <c r="M106" i="1"/>
  <c r="Q106" i="1" s="1"/>
  <c r="AD105" i="1"/>
  <c r="M105" i="1"/>
  <c r="Q105" i="1" s="1"/>
  <c r="AD104" i="1"/>
  <c r="M104" i="1"/>
  <c r="Q104" i="1" s="1"/>
  <c r="AD103" i="1"/>
  <c r="M103" i="1"/>
  <c r="Q103" i="1" s="1"/>
  <c r="AD102" i="1"/>
  <c r="M102" i="1"/>
  <c r="Q102" i="1" s="1"/>
  <c r="AD101" i="1"/>
  <c r="M101" i="1"/>
  <c r="Q101" i="1" s="1"/>
  <c r="AD100" i="1"/>
  <c r="M100" i="1"/>
  <c r="Q100" i="1" s="1"/>
  <c r="AD99" i="1"/>
  <c r="M99" i="1"/>
  <c r="Q99" i="1" s="1"/>
  <c r="AD98" i="1"/>
  <c r="M98" i="1"/>
  <c r="Q98" i="1" s="1"/>
  <c r="AD97" i="1"/>
  <c r="M97" i="1"/>
  <c r="Q97" i="1" s="1"/>
  <c r="AD96" i="1"/>
  <c r="M96" i="1"/>
  <c r="Q96" i="1" s="1"/>
  <c r="AD95" i="1"/>
  <c r="M95" i="1"/>
  <c r="Q95" i="1" s="1"/>
  <c r="AD94" i="1"/>
  <c r="M94" i="1"/>
  <c r="Q94" i="1" s="1"/>
  <c r="AD93" i="1"/>
  <c r="M93" i="1"/>
  <c r="Q93" i="1" s="1"/>
  <c r="AD92" i="1"/>
  <c r="M92" i="1"/>
  <c r="Q92" i="1" s="1"/>
  <c r="AE91" i="1"/>
  <c r="AD91" i="1"/>
  <c r="AE90" i="1"/>
  <c r="AD90" i="1"/>
  <c r="M90" i="1"/>
  <c r="Q90" i="1" s="1"/>
  <c r="AE89" i="1"/>
  <c r="AD89" i="1"/>
  <c r="M89" i="1"/>
  <c r="Q89" i="1" s="1"/>
  <c r="AE88" i="1"/>
  <c r="AD88" i="1"/>
  <c r="M88" i="1"/>
  <c r="Q88" i="1" s="1"/>
  <c r="AE87" i="1"/>
  <c r="AD87" i="1"/>
  <c r="M87" i="1"/>
  <c r="Q87" i="1" s="1"/>
  <c r="AE86" i="1"/>
  <c r="AD86" i="1"/>
  <c r="M86" i="1"/>
  <c r="Q86" i="1" s="1"/>
  <c r="AE85" i="1"/>
  <c r="AD85" i="1"/>
  <c r="M85" i="1"/>
  <c r="Q85" i="1" s="1"/>
  <c r="AD84" i="1"/>
  <c r="M84" i="1"/>
  <c r="Q84" i="1" s="1"/>
  <c r="AD83" i="1"/>
  <c r="M83" i="1"/>
  <c r="Q83" i="1" s="1"/>
  <c r="AD82" i="1"/>
  <c r="M82" i="1"/>
  <c r="Q82" i="1" s="1"/>
  <c r="AE81" i="1"/>
  <c r="AD81" i="1"/>
  <c r="M81" i="1"/>
  <c r="Q81" i="1" s="1"/>
  <c r="AE80" i="1"/>
  <c r="AD80" i="1"/>
  <c r="M80" i="1"/>
  <c r="Q80" i="1" s="1"/>
  <c r="AE79" i="1"/>
  <c r="AD79" i="1"/>
  <c r="M79" i="1"/>
  <c r="Q79" i="1" s="1"/>
  <c r="AE78" i="1"/>
  <c r="AD78" i="1"/>
  <c r="M78" i="1"/>
  <c r="Q78" i="1" s="1"/>
  <c r="AE77" i="1"/>
  <c r="AD77" i="1"/>
  <c r="M77" i="1"/>
  <c r="Q77" i="1" s="1"/>
  <c r="AE76" i="1"/>
  <c r="AD76" i="1"/>
  <c r="M76" i="1"/>
  <c r="Q76" i="1" s="1"/>
  <c r="AD75" i="1"/>
  <c r="M75" i="1"/>
  <c r="Q75" i="1" s="1"/>
  <c r="AD74" i="1"/>
  <c r="M74" i="1"/>
  <c r="Q74" i="1" s="1"/>
  <c r="AD73" i="1"/>
  <c r="M73" i="1"/>
  <c r="Q73" i="1" s="1"/>
  <c r="AD72" i="1"/>
  <c r="M72" i="1"/>
  <c r="Q72" i="1" s="1"/>
  <c r="AE71" i="1"/>
  <c r="AD71" i="1"/>
  <c r="M71" i="1"/>
  <c r="Q71" i="1" s="1"/>
  <c r="AE70" i="1"/>
  <c r="AD70" i="1"/>
  <c r="AE69" i="1"/>
  <c r="AD69" i="1"/>
  <c r="M69" i="1"/>
  <c r="Q69" i="1" s="1"/>
  <c r="AE68" i="1"/>
  <c r="AD68" i="1"/>
  <c r="M68" i="1"/>
  <c r="Q68" i="1" s="1"/>
  <c r="AE67" i="1"/>
  <c r="AD67" i="1"/>
  <c r="M67" i="1"/>
  <c r="Q67" i="1" s="1"/>
  <c r="AE66" i="1"/>
  <c r="AD66" i="1"/>
  <c r="M66" i="1"/>
  <c r="Q66" i="1" s="1"/>
  <c r="AE65" i="1"/>
  <c r="AD65" i="1"/>
  <c r="M65" i="1"/>
  <c r="Q65" i="1" s="1"/>
  <c r="AE64" i="1"/>
  <c r="AD64" i="1"/>
  <c r="M64" i="1"/>
  <c r="Q64" i="1" s="1"/>
  <c r="AE63" i="1"/>
  <c r="AD63" i="1"/>
  <c r="M63" i="1"/>
  <c r="Q63" i="1" s="1"/>
  <c r="AE62" i="1"/>
  <c r="AD62" i="1"/>
  <c r="M62" i="1"/>
  <c r="Q62" i="1" s="1"/>
  <c r="AE61" i="1"/>
  <c r="AD61" i="1"/>
  <c r="M61" i="1"/>
  <c r="Q61" i="1" s="1"/>
  <c r="AE60" i="1"/>
  <c r="AD60" i="1"/>
  <c r="M60" i="1"/>
  <c r="Q60" i="1" s="1"/>
  <c r="AD59" i="1"/>
  <c r="M59" i="1"/>
  <c r="Q59" i="1" s="1"/>
  <c r="AD58" i="1"/>
  <c r="M58" i="1"/>
  <c r="Q58" i="1" s="1"/>
  <c r="AD57" i="1"/>
  <c r="M57" i="1"/>
  <c r="Q57" i="1" s="1"/>
  <c r="AD56" i="1"/>
  <c r="M56" i="1"/>
  <c r="Q56" i="1" s="1"/>
  <c r="AD55" i="1"/>
  <c r="M55" i="1"/>
  <c r="Q55" i="1" s="1"/>
  <c r="AD54" i="1"/>
  <c r="M54" i="1"/>
  <c r="Q54" i="1" s="1"/>
  <c r="AD53" i="1"/>
  <c r="M53" i="1"/>
  <c r="Q53" i="1" s="1"/>
  <c r="AD52" i="1"/>
  <c r="M52" i="1"/>
  <c r="Q52" i="1" s="1"/>
  <c r="AD51" i="1"/>
  <c r="M51" i="1"/>
  <c r="Q51" i="1" s="1"/>
  <c r="AD50" i="1"/>
  <c r="M50" i="1"/>
  <c r="Q50" i="1" s="1"/>
  <c r="AD49" i="1"/>
  <c r="M49" i="1"/>
  <c r="Q49" i="1" s="1"/>
  <c r="AD48" i="1"/>
  <c r="M48" i="1"/>
  <c r="Q48" i="1" s="1"/>
  <c r="AE47" i="1"/>
  <c r="AD47" i="1"/>
  <c r="M47" i="1"/>
  <c r="Q47" i="1" s="1"/>
  <c r="AE46" i="1"/>
  <c r="AD46" i="1"/>
  <c r="M46" i="1"/>
  <c r="Q46" i="1" s="1"/>
  <c r="AE45" i="1"/>
  <c r="AD45" i="1"/>
  <c r="M45" i="1"/>
  <c r="Q45" i="1" s="1"/>
  <c r="AE44" i="1"/>
  <c r="AD44" i="1"/>
  <c r="M44" i="1"/>
  <c r="Q44" i="1" s="1"/>
  <c r="AE43" i="1"/>
  <c r="AD43" i="1"/>
  <c r="M43" i="1"/>
  <c r="Q43" i="1" s="1"/>
  <c r="AE42" i="1"/>
  <c r="AD42" i="1"/>
  <c r="M42" i="1"/>
  <c r="Q42" i="1" s="1"/>
  <c r="AE41" i="1"/>
  <c r="AD41" i="1"/>
  <c r="M41" i="1"/>
  <c r="Q41" i="1" s="1"/>
  <c r="AE40" i="1"/>
  <c r="AD40" i="1"/>
  <c r="M40" i="1"/>
  <c r="Q40" i="1" s="1"/>
  <c r="AE39" i="1"/>
  <c r="AD39" i="1"/>
  <c r="M39" i="1"/>
  <c r="Q39" i="1" s="1"/>
  <c r="AE38" i="1"/>
  <c r="AD38" i="1"/>
  <c r="M38" i="1"/>
  <c r="Q38" i="1" s="1"/>
  <c r="AE37" i="1"/>
  <c r="AD37" i="1"/>
  <c r="M37" i="1"/>
  <c r="Q37" i="1" s="1"/>
  <c r="AE36" i="1"/>
  <c r="AD36" i="1"/>
  <c r="M36" i="1"/>
  <c r="Q36" i="1" s="1"/>
  <c r="AE35" i="1"/>
  <c r="AD35" i="1"/>
  <c r="M35" i="1"/>
  <c r="Q35" i="1" s="1"/>
  <c r="AE34" i="1"/>
  <c r="AD34" i="1"/>
  <c r="M34" i="1"/>
  <c r="Q34" i="1" s="1"/>
  <c r="AE33" i="1"/>
  <c r="AD33" i="1"/>
  <c r="M33" i="1"/>
  <c r="Q33" i="1" s="1"/>
  <c r="AE32" i="1"/>
  <c r="AD32" i="1"/>
  <c r="M32" i="1"/>
  <c r="Q32" i="1" s="1"/>
  <c r="AE31" i="1"/>
  <c r="AD31" i="1"/>
  <c r="M31" i="1"/>
  <c r="Q31" i="1" s="1"/>
  <c r="AE30" i="1"/>
  <c r="AD30" i="1"/>
  <c r="M30" i="1"/>
  <c r="Q30" i="1" s="1"/>
  <c r="AE29" i="1"/>
  <c r="AD29" i="1"/>
  <c r="M29" i="1"/>
  <c r="Q29" i="1" s="1"/>
  <c r="AE28" i="1"/>
  <c r="AD28" i="1"/>
  <c r="M28" i="1"/>
  <c r="Q28" i="1" s="1"/>
  <c r="AE27" i="1"/>
  <c r="AD27" i="1"/>
  <c r="M27" i="1"/>
  <c r="Q27" i="1" s="1"/>
  <c r="AE26" i="1"/>
  <c r="AD26" i="1"/>
  <c r="M26" i="1"/>
  <c r="Q26" i="1" s="1"/>
  <c r="AE25" i="1"/>
  <c r="AD25" i="1"/>
  <c r="M25" i="1"/>
  <c r="Q25" i="1" s="1"/>
  <c r="AE24" i="1"/>
  <c r="AD24" i="1"/>
  <c r="M24" i="1"/>
  <c r="Q24" i="1" s="1"/>
  <c r="AE23" i="1"/>
  <c r="AD23" i="1"/>
  <c r="M23" i="1"/>
  <c r="Q23" i="1" s="1"/>
  <c r="AE22" i="1"/>
  <c r="AD22" i="1"/>
  <c r="M22" i="1"/>
  <c r="Q22" i="1" s="1"/>
  <c r="AE21" i="1"/>
  <c r="AD21" i="1"/>
  <c r="M21" i="1"/>
  <c r="Q21" i="1" s="1"/>
  <c r="AE20" i="1"/>
  <c r="AD20" i="1"/>
  <c r="M20" i="1"/>
  <c r="Q20" i="1" s="1"/>
  <c r="AE19" i="1"/>
  <c r="AD19" i="1"/>
  <c r="AE18" i="1"/>
  <c r="AD18" i="1"/>
  <c r="M18" i="1"/>
  <c r="Q18" i="1" s="1"/>
  <c r="AE17" i="1"/>
  <c r="AD17" i="1"/>
  <c r="M17" i="1"/>
  <c r="Q17" i="1" s="1"/>
  <c r="AE16" i="1"/>
  <c r="AD16" i="1"/>
  <c r="M16" i="1"/>
  <c r="Q16" i="1" s="1"/>
  <c r="AE15" i="1"/>
  <c r="AD15" i="1"/>
  <c r="M15" i="1"/>
  <c r="Q15" i="1" s="1"/>
  <c r="AE14" i="1"/>
  <c r="AD14" i="1"/>
  <c r="M14" i="1"/>
  <c r="Q14" i="1" s="1"/>
  <c r="AE13" i="1"/>
  <c r="AD13" i="1"/>
  <c r="M13" i="1"/>
  <c r="Q13" i="1" s="1"/>
  <c r="AE12" i="1"/>
  <c r="AD12" i="1"/>
  <c r="M12" i="1"/>
  <c r="Q12" i="1" s="1"/>
  <c r="AE11" i="1"/>
  <c r="AD11" i="1"/>
  <c r="M11" i="1"/>
  <c r="Q11" i="1" s="1"/>
  <c r="AE10" i="1"/>
  <c r="AD10" i="1"/>
  <c r="M10" i="1"/>
  <c r="Q10" i="1" s="1"/>
  <c r="AE9" i="1"/>
  <c r="AD9" i="1"/>
  <c r="M9" i="1"/>
  <c r="Q9" i="1" s="1"/>
  <c r="AE8" i="1"/>
  <c r="AD8" i="1"/>
  <c r="M8" i="1"/>
  <c r="Q8" i="1" s="1"/>
  <c r="AE7" i="1"/>
  <c r="AD7" i="1"/>
  <c r="M7" i="1"/>
  <c r="AE6" i="1"/>
  <c r="AD6" i="1"/>
  <c r="M6" i="1"/>
  <c r="AE5" i="1"/>
  <c r="AD5" i="1"/>
  <c r="M5" i="1"/>
  <c r="AE4" i="1"/>
  <c r="AE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tc={D82401AB-4075-5340-BEA0-3FDD66F14075}</author>
    <author>tc={821FFD54-BF4A-9647-9A04-CCB329B6E581}</author>
    <author>tc={06FE9DC5-D0EA-C74F-8C26-E0EBC23D4E26}</author>
    <author>tc={0969709D-F294-5C41-9928-CF84D6B1FFFD}</author>
    <author>tc={5D82BAA6-0EFB-FA49-BC18-2297D2963202}</author>
    <author>tc={14D1CCC6-E562-CF4B-A516-62880A19790D}</author>
    <author>tc={0D1FA492-E17C-B948-A2E9-91BD35A84249}</author>
    <author>tc={254780A3-032C-FC44-B31B-3CAD18A3D7F1}</author>
    <author>tc={81F4D569-B588-774F-AF1E-99F2DF6BDF66}</author>
    <author>tc={BE05E77F-E841-1E41-B7CE-D19A14111A55}</author>
    <author>tc={A4F47E72-1620-A441-9970-79D2B8658817}</author>
    <author>tc={36D93EF4-3662-C742-A76E-9A2C972375B0}</author>
    <author>tc={2B8EB7F2-3EB3-8142-B59A-E9DF2D48F4C5}</author>
    <author>tc={FC211488-460D-E147-AB32-60E056E662F0}</author>
    <author>tc={F7F08B58-3837-E74F-9EA4-886B926DCDE6}</author>
    <author>tc={4BA057AD-A78E-434B-8AA6-3E11BFD14A68}</author>
    <author>tc={DAEC5A5B-0B53-DD47-970E-62E0A71B43C4}</author>
    <author>tc={BAE219B5-158C-B541-BA7E-FD4041D8AA45}</author>
  </authors>
  <commentList>
    <comment ref="K1" authorId="0" shapeId="0" xr:uid="{C3EFC9C2-8E52-4AC5-9833-26F1E55DAA76}">
      <text>
        <r>
          <rPr>
            <sz val="10"/>
            <rFont val="Arial"/>
            <family val="2"/>
          </rPr>
          <t xml:space="preserve">Comment:
    Is this meant to be “What is or can be done to prevent the failure mode” or “if failure occurs what is in place to prevent further damage”?  I see both used here interchangeably which is a bit confusing.  In some cases there is no mention at all of what can be done to prevent the failure mode, when in fact there are multiple things (proper components, testing, etc.).  That is what this column used to be.  I think it’s OK to include systemic backup protections but you should also include how the designer can prevent the issue in the first place.
</t>
        </r>
        <r>
          <rPr>
            <b/>
            <sz val="10"/>
            <color indexed="81"/>
            <rFont val="Arial"/>
            <family val="2"/>
          </rPr>
          <t xml:space="preserve">PS19-QPI:
</t>
        </r>
        <r>
          <rPr>
            <sz val="10"/>
            <color indexed="81"/>
            <rFont val="Arial"/>
            <family val="2"/>
          </rPr>
          <t>It is : "What can be done to prevent the failure."
However, for the failures that donot have any failure safegaurds, for them, instead of keeping them empty, we chose to write "what is in place to prevent further damage".
Moreover there were some cells as, you mentioned, didnt not contained the right "Failure Safeguard" or had other errors. We have fixed them now.</t>
        </r>
      </text>
    </comment>
    <comment ref="G20" authorId="1" shapeId="0" xr:uid="{CBE372A9-18AF-4DC3-B5CE-E4267F854D20}">
      <text>
        <r>
          <rPr>
            <sz val="10"/>
            <rFont val="Arial"/>
            <family val="2"/>
          </rPr>
          <t xml:space="preserve">Comment:
    Potential to damage IGBTs from shoot through or will IC always protect?
</t>
        </r>
        <r>
          <rPr>
            <b/>
            <sz val="10"/>
            <color indexed="81"/>
            <rFont val="Arial"/>
            <family val="2"/>
          </rPr>
          <t xml:space="preserve">PS19-QPI:
</t>
        </r>
        <r>
          <rPr>
            <sz val="10"/>
            <color indexed="81"/>
            <rFont val="Arial"/>
            <family val="2"/>
          </rPr>
          <t xml:space="preserve">IC will always protect and safe IGBTs from damage. </t>
        </r>
        <r>
          <rPr>
            <sz val="10"/>
            <rFont val="Arial"/>
            <family val="2"/>
          </rPr>
          <t>Desat protection will trigger to save the IGBTs. Updated the local effect also.</t>
        </r>
      </text>
    </comment>
    <comment ref="G22" authorId="2" shapeId="0" xr:uid="{5FFB4F36-BCFB-4F92-82FA-B41EB7ADB34F}">
      <text>
        <r>
          <rPr>
            <sz val="10"/>
            <rFont val="Arial"/>
            <family val="2"/>
          </rPr>
          <t xml:space="preserve">Comment:
    Same as above - potential to damage IGBTs?
</t>
        </r>
        <r>
          <rPr>
            <b/>
            <sz val="10"/>
            <color indexed="81"/>
            <rFont val="Arial"/>
            <family val="2"/>
          </rPr>
          <t>PS19-QPI:</t>
        </r>
        <r>
          <rPr>
            <sz val="10"/>
            <rFont val="Arial"/>
            <family val="2"/>
          </rPr>
          <t xml:space="preserve">
IC will always protect and safe IGBTs from damage. Desat protection will trigger to save the IGBTs. Updated the local effect also.</t>
        </r>
      </text>
    </comment>
    <comment ref="K33" authorId="3" shapeId="0" xr:uid="{1F4C3A6E-4A47-4002-A5D1-34CA68CCA43D}">
      <text>
        <r>
          <rPr>
            <sz val="10"/>
            <rFont val="Arial"/>
            <family val="2"/>
          </rPr>
          <t xml:space="preserve">Comment:
    In my opinion this is  “last defense” safeguard.  I believe we should still be mentioning ensuring proper diode sizing, component selection, etc. here and many other rows.
</t>
        </r>
        <r>
          <rPr>
            <b/>
            <sz val="10"/>
            <color indexed="81"/>
            <rFont val="Arial"/>
            <family val="2"/>
          </rPr>
          <t>PS19-QPI:</t>
        </r>
        <r>
          <rPr>
            <sz val="10"/>
            <rFont val="Arial"/>
            <family val="2"/>
          </rPr>
          <t xml:space="preserve"> added in this and other rows.</t>
        </r>
      </text>
    </comment>
    <comment ref="E35" authorId="4" shapeId="0" xr:uid="{14004CF1-AFA2-4735-9466-6BF160C9AF77}">
      <text>
        <r>
          <rPr>
            <sz val="10"/>
            <rFont val="Arial"/>
            <family val="2"/>
          </rPr>
          <t xml:space="preserve">Comment:
    How far down the rabbit hole should we go here?  If BOTH Zener's fail (upper and lower), shoot through could not be detected and IGBT and/or other component damage would be likely.
</t>
        </r>
        <r>
          <rPr>
            <b/>
            <sz val="10"/>
            <color indexed="81"/>
            <rFont val="Arial"/>
            <family val="2"/>
          </rPr>
          <t>PS19-QPI:</t>
        </r>
        <r>
          <rPr>
            <sz val="10"/>
            <rFont val="Arial"/>
            <family val="2"/>
          </rPr>
          <t xml:space="preserve">
For now as discussed in meetings, we will be catering single failures only and not the failures that include multiple components failing.
Moreover, we still be having over current protection, incase if both Zener's fails.</t>
        </r>
      </text>
    </comment>
    <comment ref="E36" authorId="5" shapeId="0" xr:uid="{9C710165-00CF-4850-AD04-FEB487343242}">
      <text>
        <r>
          <rPr>
            <sz val="10"/>
            <rFont val="Arial"/>
            <family val="2"/>
          </rPr>
          <t xml:space="preserve">Comment:
    Same comment here (what if both upper and lower driver resistors fail open?)
</t>
        </r>
        <r>
          <rPr>
            <b/>
            <sz val="10"/>
            <color indexed="81"/>
            <rFont val="Arial"/>
            <family val="2"/>
          </rPr>
          <t>PS19-QPI:</t>
        </r>
        <r>
          <rPr>
            <sz val="10"/>
            <rFont val="Arial"/>
            <family val="2"/>
          </rPr>
          <t xml:space="preserve">
For now as discussed in meetings, we will be catering single failures only and not the failures that include multiple components failing.
Moreover, we still be having over current protection, incase if both Zener's fails.</t>
        </r>
      </text>
    </comment>
    <comment ref="K41" authorId="6" shapeId="0" xr:uid="{315CC647-E2EA-407A-8EF5-F766CD7A516F}">
      <text>
        <r>
          <rPr>
            <sz val="10"/>
            <rFont val="Arial"/>
            <family val="2"/>
          </rPr>
          <t xml:space="preserve">Comment:
    This is again a flimsy safeguard in my opinion.  I still think we should mention careful and proper component selection, etc. here.
</t>
        </r>
        <r>
          <rPr>
            <b/>
            <sz val="10"/>
            <color indexed="81"/>
            <rFont val="Arial"/>
            <family val="2"/>
          </rPr>
          <t xml:space="preserve">PS19-QPI:
</t>
        </r>
        <r>
          <rPr>
            <sz val="10"/>
            <color indexed="81"/>
            <rFont val="Arial"/>
            <family val="2"/>
          </rPr>
          <t>Updated and resolved.</t>
        </r>
      </text>
    </comment>
    <comment ref="F42" authorId="7" shapeId="0" xr:uid="{88426E91-986A-40CD-8CAD-6D6629DF7385}">
      <text>
        <r>
          <rPr>
            <sz val="10"/>
            <rFont val="Arial"/>
            <family val="2"/>
          </rPr>
          <t xml:space="preserve">Comment:
    What if both fail?
</t>
        </r>
        <r>
          <rPr>
            <b/>
            <sz val="10"/>
            <color indexed="81"/>
            <rFont val="Arial"/>
            <family val="2"/>
          </rPr>
          <t>PS19-QPI:</t>
        </r>
        <r>
          <rPr>
            <sz val="10"/>
            <rFont val="Arial"/>
            <family val="2"/>
          </rPr>
          <t xml:space="preserve">
For now as discussed in meetings, we will be catering single failures only and not the failures that include multiple components failing.</t>
        </r>
      </text>
    </comment>
    <comment ref="F51" authorId="8" shapeId="0" xr:uid="{EF34598A-A82C-43A4-99DE-A66613A6E807}">
      <text>
        <r>
          <rPr>
            <sz val="10"/>
            <rFont val="Arial"/>
            <family val="2"/>
          </rPr>
          <t xml:space="preserve">Comment:
    Does 0V provide a full and effective turn off for these IGBTs?  Any potential consequences?
</t>
        </r>
        <r>
          <rPr>
            <b/>
            <sz val="10"/>
            <color indexed="81"/>
            <rFont val="Arial"/>
            <family val="2"/>
          </rPr>
          <t>PS19-QPI:</t>
        </r>
        <r>
          <rPr>
            <sz val="10"/>
            <rFont val="Arial"/>
            <family val="2"/>
          </rPr>
          <t xml:space="preserve">
Miller effect may disturbed the IGBT OFF state but zerro volt will switch the IGBT OFF and the device will keep working.</t>
        </r>
      </text>
    </comment>
    <comment ref="K62" authorId="9" shapeId="0" xr:uid="{DE5BE2D2-FCC5-43F7-8BE8-4ECA3F7B452B}">
      <text>
        <r>
          <rPr>
            <sz val="10"/>
            <rFont val="Arial"/>
            <family val="2"/>
          </rPr>
          <t xml:space="preserve">Comment:
    Again, not acceptable as a failure safeguard.  Please change any with similar comments.
</t>
        </r>
        <r>
          <rPr>
            <b/>
            <sz val="10"/>
            <color indexed="81"/>
            <rFont val="Arial"/>
            <family val="2"/>
          </rPr>
          <t>PS19-QPI:</t>
        </r>
        <r>
          <rPr>
            <sz val="10"/>
            <rFont val="Arial"/>
            <family val="2"/>
          </rPr>
          <t xml:space="preserve"> Resolved</t>
        </r>
      </text>
    </comment>
    <comment ref="B91" authorId="10" shapeId="0" xr:uid="{ECA75B12-8E7C-44C7-B7B9-94DC5E2BF7C3}">
      <text>
        <r>
          <rPr>
            <sz val="10"/>
            <rFont val="Arial"/>
            <family val="2"/>
          </rPr>
          <t xml:space="preserve">Comment:
    I still think rev 3 and 4 should have been made into separate files.  It seems unnecessary to drag along rev 3 issues when considering rev 4.  However, this document is basically complete so there may not be a desire to change it at this point.  I recommend a new document for any future revisions of the board unless the SW team thinks otherwise for some reason
</t>
        </r>
        <r>
          <rPr>
            <b/>
            <sz val="10"/>
            <color indexed="81"/>
            <rFont val="Arial"/>
            <family val="2"/>
          </rPr>
          <t xml:space="preserve">PS19-QPI:
</t>
        </r>
        <r>
          <rPr>
            <sz val="10"/>
            <color indexed="81"/>
            <rFont val="Arial"/>
            <family val="2"/>
          </rPr>
          <t>These</t>
        </r>
        <r>
          <rPr>
            <b/>
            <sz val="10"/>
            <color indexed="81"/>
            <rFont val="Arial"/>
            <family val="2"/>
          </rPr>
          <t xml:space="preserve"> </t>
        </r>
        <r>
          <rPr>
            <sz val="10"/>
            <color indexed="81"/>
            <rFont val="Arial"/>
            <family val="2"/>
          </rPr>
          <t>Rev3 and Rev4 were made together since the only difference in them was change of RS-485 Receiver IC due to unavailability. The Rev4 has receiver with 1 channel and Rev3 with 4 channels. That's all the difference b/w the two Revs. For other Revs and future work all Revs are and will be in separate files.</t>
        </r>
      </text>
    </comment>
    <comment ref="F163" authorId="11" shapeId="0" xr:uid="{D089DCF9-0F0B-43BD-B757-55674C279FF4}">
      <text>
        <r>
          <rPr>
            <sz val="10"/>
            <rFont val="Arial"/>
            <family val="2"/>
          </rPr>
          <t xml:space="preserve">Comment:
    Are the next 3 rows a copy and paste error or are the effects actually all the same?
</t>
        </r>
        <r>
          <rPr>
            <b/>
            <sz val="10"/>
            <color indexed="81"/>
            <rFont val="Arial"/>
            <family val="2"/>
          </rPr>
          <t xml:space="preserve">PS19_QPI:
</t>
        </r>
        <r>
          <rPr>
            <sz val="10"/>
            <color indexed="81"/>
            <rFont val="Arial"/>
            <family val="2"/>
          </rPr>
          <t>Since the signal in discussion is the clock signal. Either it goes low or High or fail intermittently the communication could not be carried out therefore the effects are same and not error.</t>
        </r>
      </text>
    </comment>
    <comment ref="F175" authorId="12" shapeId="0" xr:uid="{E1D8FF07-D357-4AB4-AF22-BAA6E79280BB}">
      <text>
        <r>
          <rPr>
            <sz val="10"/>
            <rFont val="Arial"/>
            <family val="2"/>
          </rPr>
          <t xml:space="preserve">Comment:
    Would this not clamp SPI DIN signal low?
</t>
        </r>
        <r>
          <rPr>
            <b/>
            <sz val="10"/>
            <color indexed="81"/>
            <rFont val="Arial"/>
            <family val="2"/>
          </rPr>
          <t xml:space="preserve">PS19-QPI:
</t>
        </r>
        <r>
          <rPr>
            <sz val="10"/>
            <color indexed="81"/>
            <rFont val="Arial"/>
            <family val="2"/>
          </rPr>
          <t xml:space="preserve">Since this capacitor is clamping the P line of the differential signal. The right combination can still be transferred by the receiver as per its datasheet. 
The problem that can be possible is the noise and slight chance of </t>
        </r>
        <r>
          <rPr>
            <sz val="10"/>
            <rFont val="Arial"/>
            <family val="2"/>
          </rPr>
          <t>Intermittent pass of wrong bit transferring.</t>
        </r>
      </text>
    </comment>
    <comment ref="F181" authorId="13" shapeId="0" xr:uid="{E4CA1214-2CB1-4E1C-AEAE-9DC36A738A2A}">
      <text>
        <r>
          <rPr>
            <sz val="10"/>
            <rFont val="Arial"/>
            <family val="2"/>
          </rPr>
          <t xml:space="preserve">Comment:
    Won’t signal be permanently low?
</t>
        </r>
        <r>
          <rPr>
            <b/>
            <sz val="10"/>
            <color indexed="81"/>
            <rFont val="Arial"/>
            <family val="2"/>
          </rPr>
          <t xml:space="preserve">PS19-QPI:
</t>
        </r>
        <r>
          <rPr>
            <sz val="10"/>
            <rFont val="Arial"/>
            <family val="2"/>
          </rPr>
          <t>Since this capacitor is clamping the P line of the differential signal. The right combination can still be transferred by the receiver as per its datasheet. 
The problem that can be possible is the noise and slight chance of Intermittent pass of wrong bit transferring.</t>
        </r>
      </text>
    </comment>
    <comment ref="F187" authorId="14" shapeId="0" xr:uid="{559D3A94-A1CF-4D90-9C95-61067D2C7513}">
      <text>
        <r>
          <rPr>
            <sz val="10"/>
            <rFont val="Arial"/>
            <family val="2"/>
          </rPr>
          <t xml:space="preserve">Comment:
    For all of these “Capacitor fails-short” - will the signal not be permanently low?
</t>
        </r>
        <r>
          <rPr>
            <b/>
            <sz val="10"/>
            <color indexed="81"/>
            <rFont val="Arial"/>
            <family val="2"/>
          </rPr>
          <t>PS19-QPI:</t>
        </r>
        <r>
          <rPr>
            <sz val="10"/>
            <rFont val="Arial"/>
            <family val="2"/>
          </rPr>
          <t xml:space="preserve">
Since this capacitor is clamping the P line of the differential signal. The right combination can still be transferred by the receiver as per its datasheet. 
The problem that can be possible is the noise and slight chance of Intermittent pass of wrong bit transferring.</t>
        </r>
      </text>
    </comment>
    <comment ref="F194" authorId="15" shapeId="0" xr:uid="{E074A5A5-249A-4222-8ACD-E1C6FADE9E27}">
      <text>
        <r>
          <rPr>
            <sz val="10"/>
            <rFont val="Arial"/>
            <family val="2"/>
          </rPr>
          <t xml:space="preserve">Comment:
    Signal will be high or low?
</t>
        </r>
        <r>
          <rPr>
            <b/>
            <sz val="10"/>
            <color indexed="81"/>
            <rFont val="Arial"/>
            <family val="2"/>
          </rPr>
          <t xml:space="preserve">PS19-QPI:
</t>
        </r>
        <r>
          <rPr>
            <sz val="10"/>
            <color indexed="81"/>
            <rFont val="Arial"/>
            <family val="2"/>
          </rPr>
          <t>Both lines shorted results in a HIGH bit transferred by receiver, therefore the CS line will be HIGH.</t>
        </r>
      </text>
    </comment>
    <comment ref="G250" authorId="16" shapeId="0" xr:uid="{052CB221-65A6-4AF4-B622-90491A4060A5}">
      <text>
        <r>
          <rPr>
            <sz val="10"/>
            <rFont val="Arial"/>
            <family val="2"/>
          </rPr>
          <t xml:space="preserve">Comment:
    Is this true?  Why no impact?
</t>
        </r>
        <r>
          <rPr>
            <b/>
            <sz val="10"/>
            <color indexed="81"/>
            <rFont val="Arial"/>
            <family val="2"/>
          </rPr>
          <t>PS19-QPI:</t>
        </r>
        <r>
          <rPr>
            <sz val="10"/>
            <rFont val="Arial"/>
            <family val="2"/>
          </rPr>
          <t xml:space="preserve">
Since this capacitor is clamping the P line of the differential signal. The right combination can still be transferred by the receiver as per its datasheet. 
The problem that can be possible is the noise and slight chance of Intermittent pass of wrong bit transferring.</t>
        </r>
      </text>
    </comment>
    <comment ref="F269" authorId="17" shapeId="0" xr:uid="{F2760A74-ED32-40B3-8EF3-124D152CFE43}">
      <text>
        <r>
          <rPr>
            <sz val="10"/>
            <rFont val="Arial"/>
            <family val="2"/>
          </rPr>
          <t xml:space="preserve">Comment:
    High or low?
</t>
        </r>
        <r>
          <rPr>
            <b/>
            <sz val="10"/>
            <color indexed="81"/>
            <rFont val="Arial"/>
            <family val="2"/>
          </rPr>
          <t>PS19-QPI:</t>
        </r>
        <r>
          <rPr>
            <sz val="10"/>
            <rFont val="Arial"/>
            <family val="2"/>
          </rPr>
          <t xml:space="preserve">
Both lines shorted results in a HIGH bit transferred by receiver, therefore the line will be HIGH.</t>
        </r>
      </text>
    </comment>
  </commentList>
</comments>
</file>

<file path=xl/sharedStrings.xml><?xml version="1.0" encoding="utf-8"?>
<sst xmlns="http://schemas.openxmlformats.org/spreadsheetml/2006/main" count="5113" uniqueCount="1415">
  <si>
    <t>ID</t>
  </si>
  <si>
    <t>Component</t>
  </si>
  <si>
    <t>Functional Requirement</t>
  </si>
  <si>
    <t>Potential Failure Mode</t>
  </si>
  <si>
    <t>Potential Effect(s) of Failure</t>
  </si>
  <si>
    <t>Severity Score</t>
  </si>
  <si>
    <t>Potential Causes / Triggers of Failure</t>
  </si>
  <si>
    <t>Failure Safeguards</t>
  </si>
  <si>
    <t>Occurrence Score</t>
  </si>
  <si>
    <t>S x O</t>
  </si>
  <si>
    <t>Existing Conditions</t>
  </si>
  <si>
    <t>RPN (S x O x D)</t>
  </si>
  <si>
    <t>Alert Code</t>
  </si>
  <si>
    <t>Alert Message</t>
  </si>
  <si>
    <t>Recommended Action(s) / Remarks</t>
  </si>
  <si>
    <t>Reporting Team Member</t>
  </si>
  <si>
    <t>Target Completion Date</t>
  </si>
  <si>
    <t>Action Results</t>
  </si>
  <si>
    <t>Status</t>
  </si>
  <si>
    <t>Local - Effect at the sub assembly or component level</t>
  </si>
  <si>
    <t>Higher Level - Effect at SmartValve v1.04</t>
  </si>
  <si>
    <t>End - Effect at System Level</t>
  </si>
  <si>
    <t>Verification &amp; Validation Method</t>
  </si>
  <si>
    <t>Detection Method</t>
  </si>
  <si>
    <t>Detection Score</t>
  </si>
  <si>
    <t>Actions Taken</t>
  </si>
  <si>
    <t>New RPN</t>
  </si>
  <si>
    <t>iiGD Board Rev3 / Rev4 (P111319)</t>
  </si>
  <si>
    <t>iiGD Board - Gate Power Fail Protection Circuit</t>
  </si>
  <si>
    <t>SV104 - 5978</t>
  </si>
  <si>
    <t xml:space="preserve">Power Fail Protection Circuit - input side-And Gate IC. 
</t>
  </si>
  <si>
    <t>(U47)</t>
  </si>
  <si>
    <t>AND gate IC used to perform the OR logic on two active-low power fail detection signals.</t>
  </si>
  <si>
    <t xml:space="preserve">IC fails in such a way that output is constantly high._x000D_
</t>
  </si>
  <si>
    <t xml:space="preserve">Gate PS fail will not be detected.
</t>
  </si>
  <si>
    <t xml:space="preserve">No immediate effect.
Device can operate in both injection and monitoring mode until power supply itself fails.
</t>
  </si>
  <si>
    <t xml:space="preserve">System will keep working normally until power supply itself fails.
</t>
  </si>
  <si>
    <t xml:space="preserve">De-gradation of components.
Thermal stress.
</t>
  </si>
  <si>
    <t>Choosing components with enough FIT rate to fulfill the product life requirements.
Choosing of components with higher ratings (current/voltage).
In case of failure of this external "power fail detection circuitry", a redundant power fail detection circuit is also available in gate driver IC; but this gate driver IC detection circuit will not feedback the power fail to iiSC board. So, 2 further scenarios exist in that case;
Case 1 - If power supply of single iiGD board fails:
In this case, this detection circuit in gate driver IC will turn OFF half side of our single H-bridge (both upper and lower IGBT). Eventually, other H-bridge will handle its load and this will heat up the other h-bridge. If temperature of other H-bridge rise up to over temperature limit then system will trip.
Case 2 - If power supply for all 4 iiGD boards fails:
In this case, other iiGD will report the power fail and Affected MVAr will be bypassed and device will keep working Normally with reduced injection capability.</t>
  </si>
  <si>
    <t>Functional Testing.
Thermal and Relative Humidity Testing.
Condensed Humidity Testing.
EFT Testing.
Vibration Testing.
ATM Testing.
MVAr Testing.
Pre-Cosure Testing.
EOL Testing.</t>
  </si>
  <si>
    <t>Over Temperature / Gate Power Supply Failure.</t>
  </si>
  <si>
    <t>14.7 V supply is being read by iiSC board. But currently there is no firmware under voltage interrupt implemented.
It is recommended to implement a firmware under voltage interrupt at 14.7 V.</t>
  </si>
  <si>
    <t>SV104 - 5979</t>
  </si>
  <si>
    <t xml:space="preserve">IC fails in such a way that output is always low._x000D_
</t>
  </si>
  <si>
    <t xml:space="preserve">Gate PS fail will be detected permanently.
</t>
  </si>
  <si>
    <t xml:space="preserve">Affected MVAr will be bypassed by using CLB as long as the issue persist.
Device will stay in monitoring mode as long as the issue persist. 
</t>
  </si>
  <si>
    <t xml:space="preserve">System will keep working with reduced injection capability.
</t>
  </si>
  <si>
    <t xml:space="preserve">De-gradation of components._x000D_
_x000D_
Thermal stress._x000D_
</t>
  </si>
  <si>
    <t>Affected MVAr will be bypassed by using CLB as long as the issue persist. Device will keep working normally with reduced injection capability.
Choosing components with enough FIT rate to fulfill the product life requirements.
Choosing of components with higher ratings (current/voltage).</t>
  </si>
  <si>
    <t>Gate Power Supply Failure.</t>
  </si>
  <si>
    <t>SV104 - 5980</t>
  </si>
  <si>
    <t xml:space="preserve">Power Fail Protection Circuit - Multivibrator IC. 
</t>
  </si>
  <si>
    <t>(U22)</t>
  </si>
  <si>
    <t>Works in coordination with U24 and implements a glitch filter of 100 us at gate power fail detection.</t>
  </si>
  <si>
    <t>IC fails in such a way that output is constantly high.</t>
  </si>
  <si>
    <t>Mux will permanently pass pulled-up output.
Gate PS fail will not be detected.</t>
  </si>
  <si>
    <t xml:space="preserve">No immediate effect.
Device can operate in both injection and monitoring mode until power supply, itself, fails.
</t>
  </si>
  <si>
    <t>SV104 - 5981</t>
  </si>
  <si>
    <t xml:space="preserve">IC fails in such a way that output is always low.
</t>
  </si>
  <si>
    <t>Latching protection will not be available; gate fail will be passed directly.
Glitch filter will be bypassed.</t>
  </si>
  <si>
    <t xml:space="preserve">No immediate effect.
Device can operate in both injection and monitoring mode until power supply fail occurs.
</t>
  </si>
  <si>
    <t xml:space="preserve">System will keep working normally._x000D_
</t>
  </si>
  <si>
    <t>Choosing components with enough FIT rate to fulfill the product life requirements.
Choosing of components with higher ratings (current/voltage).</t>
  </si>
  <si>
    <t>SV104 - 5982</t>
  </si>
  <si>
    <t xml:space="preserve">Power Fail Protection Circuit - Multivibrator Set resistor.
</t>
  </si>
  <si>
    <t>(R110)</t>
  </si>
  <si>
    <t>To program the internal master oscillator frequency / To control the pulse width.</t>
  </si>
  <si>
    <t xml:space="preserve">Resistor fails-open._x000D_
</t>
  </si>
  <si>
    <t>Output of Multivibrator will be constantly high.
PS fail will not be detected.</t>
  </si>
  <si>
    <t>Choosing components with enough FIT rate to fulfill the product life requirements.
Choosing of components with higher ratings (current/voltage).
In case of failure of this external "power fail detection circuitry", a redundant power fail detection circuit is also available in gate driver IC; but this gate driver IC detection circuit will not feedback the power fail to iiSC board. So, 2 further scenarios exist in that case;
Case 1 - If power supply of single iiGD board fails:
In that case this detection circuit in gate driver IC will turn OFF half side of our single H-bridge (both upper and lower IGBT). So eventually other H-bridge will handle its load and this will heat up the other h-bridge. If temperature of other H-bridge rise up to over temperature limit then system will trip.
Case 2 - If power supply for all 4 iiGD boards fails:
In this case, other iiGD will report the power fail and system will go into monitoring mode.</t>
  </si>
  <si>
    <t>SV104 - 5983</t>
  </si>
  <si>
    <t xml:space="preserve">Resistor fails-short._x000D_
</t>
  </si>
  <si>
    <t>Output latching time will not be accurate.
False interrupt may be observed.</t>
  </si>
  <si>
    <t xml:space="preserve">No immediate effect. 
Device can operate in both injection and monitoring mode.
</t>
  </si>
  <si>
    <t xml:space="preserve">Over voltage._x000D_
</t>
  </si>
  <si>
    <t xml:space="preserve">Choosing components with enough FIT rate to fulfill the product life requirements.
Choosing of components with higher ratings (current/voltage).
</t>
  </si>
  <si>
    <t>None.</t>
  </si>
  <si>
    <t>SV104 - 5984</t>
  </si>
  <si>
    <t xml:space="preserve">Power Fail Protection Circuit - Multivibrator voltage divider resistor network.
</t>
  </si>
  <si>
    <t>(R108,R109)</t>
  </si>
  <si>
    <t xml:space="preserve">To maintain desired voltages at DIV pin of IC. </t>
  </si>
  <si>
    <t xml:space="preserve">Higher side resistor fails-open.
</t>
  </si>
  <si>
    <t>DIV pin will be grounded through lower side resistor.</t>
  </si>
  <si>
    <t>Output latching time will not be accurate.
No immediate effect as long as no fault is observed.</t>
  </si>
  <si>
    <t xml:space="preserve">Electrical over stress._x000D_
_x000D_
Over current._x000D_
_x000D_
Thermal heating._x000D_
</t>
  </si>
  <si>
    <t>SV104 - 5985</t>
  </si>
  <si>
    <t xml:space="preserve">Higher side resistor fails-short.
</t>
  </si>
  <si>
    <t>More than required voltage will be applied to DIV pin.</t>
  </si>
  <si>
    <t xml:space="preserve">Over Voltage.
</t>
  </si>
  <si>
    <t>SV104 - 5986</t>
  </si>
  <si>
    <t xml:space="preserve">Lower side resistor fails-open.
</t>
  </si>
  <si>
    <t>SV104 - 5987</t>
  </si>
  <si>
    <t xml:space="preserve">Lower side resistor fails-short.
</t>
  </si>
  <si>
    <t>DIV pin voltage will drop from required level.</t>
  </si>
  <si>
    <t>SV104 - 5988</t>
  </si>
  <si>
    <t xml:space="preserve">Power Fail Protection Circuit - Multiplexer IC. 
</t>
  </si>
  <si>
    <t>(U24)</t>
  </si>
  <si>
    <t>To multiplex AND gate output and constant high.</t>
  </si>
  <si>
    <t>In case of failure of this external "power fail detection circuitry", a redundant power fail detection circuit is also available in gate driver IC; but this gate driver IC detection circuit will not feedback the power fail to iiSC board. So, 2 further scenarios exist in that case;
Case 1 - If power supply of single iiGD board fails:
In that case this detection circuit in gate driver IC will turn OFF half side of our single H-bridge (both upper and lower IGBT). So eventually other H-bridge will handle its load and this will heat up the other h-bridge. If temperature of other H-bridge rise up to over temperature limit then system will trip.
Case 2 - If power supply for all 4 iiGD boards fails:
In this case, other iiGD will report the power fail and system will go into monitoring mode.</t>
  </si>
  <si>
    <t>SV104 - 5989</t>
  </si>
  <si>
    <t xml:space="preserve">Affected MVAr will be bypassed by using CLB as long as the issue persist. Device will keep working normally with reduced injection capability.
Components with low FIT rate selected.
</t>
  </si>
  <si>
    <t>SV104 - 5990</t>
  </si>
  <si>
    <t xml:space="preserve">Power Fail Protection Circuit - Multiplexer I1 resistor.
</t>
  </si>
  <si>
    <t>(R112)</t>
  </si>
  <si>
    <t>To limit the current.</t>
  </si>
  <si>
    <t xml:space="preserve">Glitch filter time will be reduced.
</t>
  </si>
  <si>
    <t xml:space="preserve">No immediate effect.
Device can operate in both injection and monitoring mode. </t>
  </si>
  <si>
    <t xml:space="preserve">System will keep working normally.
</t>
  </si>
  <si>
    <t xml:space="preserve">Device can operate in both injection and monitoring mode. 
Choosing components with enough FIT rate to fulfill the product life requirements.
</t>
  </si>
  <si>
    <t>SV104 - 5991</t>
  </si>
  <si>
    <t>Current limit protection will be reduced.</t>
  </si>
  <si>
    <t xml:space="preserve">No immediate effect.
Device can operate in both injection and monitoring mode. 
</t>
  </si>
  <si>
    <t xml:space="preserve">Over voltage.
</t>
  </si>
  <si>
    <t>iiGD Board - Gate driver Section</t>
  </si>
  <si>
    <t>SV104-1484</t>
  </si>
  <si>
    <t xml:space="preserve">Upper/ Lower Gate driver IC.
</t>
  </si>
  <si>
    <t>(U3 / U4)</t>
  </si>
  <si>
    <t>To drive the gate of upper/lower IGBTs.</t>
  </si>
  <si>
    <t xml:space="preserve">IC fails in such a way that output is constantly high.
</t>
  </si>
  <si>
    <t>VCC will be provided to gate of upper/lower IGBTs.
Upper/lower IGBTs of both modules will always remain ON.
Desaturation Protection of the IC will save the device from failure due to shoot through.</t>
  </si>
  <si>
    <t xml:space="preserve">Gate fault will be generated by Gate driver IC when shoot through will occur.
Device will stay in monitoring mode as long as the issue persist. 
</t>
  </si>
  <si>
    <t xml:space="preserve">Affected MVAr will be bypassed by using CLB.
System will keep working normally with reduced injection capability.
</t>
  </si>
  <si>
    <t xml:space="preserve">DESAT protection will generate gate fault in case of shoot-through and affected MVAr will be bypassed by using CLB.
</t>
  </si>
  <si>
    <t>Gate Fault.</t>
  </si>
  <si>
    <t>SV104-1485</t>
  </si>
  <si>
    <t xml:space="preserve">VEE will be provided to gate of upper/lower IGBTs.
Upper/lower IGBTs of both modules will always remain OFF.  </t>
  </si>
  <si>
    <t>Affected MVAr will be bypassed by using CLB.</t>
  </si>
  <si>
    <t xml:space="preserve">System will keep working normally with reduced injection capability.
</t>
  </si>
  <si>
    <t>In case of low line current, there is possibility that DC link is charged up to threshold through diode charging and DC link overvoltage may occur.
In case of high line current, other H-bridge will be overloaded and there is possibility of over temperature indication.</t>
  </si>
  <si>
    <t>DC link 1 or 2 Over voltage / Over temperature.</t>
  </si>
  <si>
    <t>SV104-1486</t>
  </si>
  <si>
    <t xml:space="preserve">Gate drive IC input side AND Gate IC. 
</t>
  </si>
  <si>
    <t>(U6/U7)</t>
  </si>
  <si>
    <t>To turn off the upper/lower IGBTs incase of shoot-through.</t>
  </si>
  <si>
    <t>SV104-1487</t>
  </si>
  <si>
    <t>SV104-1488</t>
  </si>
  <si>
    <t xml:space="preserve">And Gate Input side pull up resistor.
</t>
  </si>
  <si>
    <t>(R80)</t>
  </si>
  <si>
    <t>To keep the third input of AND gate at known state.</t>
  </si>
  <si>
    <t xml:space="preserve">Third input of both lower and upper AND gate will be floating. 
Both AND gates output will be also be floating. 
</t>
  </si>
  <si>
    <t xml:space="preserve">Device will keep working normally as long as this input of pin remains at high state.
</t>
  </si>
  <si>
    <t xml:space="preserve">System will keep working normally until pin remains at high state.
</t>
  </si>
  <si>
    <t>When this floating input will be at low state, then both  upper and lower IGBTs will be turned OFF. 
During injection, high current will be passed through other H-bridge and IGBTs will heat up and Over Temperature will be read by firmware.</t>
  </si>
  <si>
    <t>Over Temperature.</t>
  </si>
  <si>
    <t>SV104-1489</t>
  </si>
  <si>
    <t>One of the input pins of both AND gate will be constantly high.</t>
  </si>
  <si>
    <t xml:space="preserve">No immediate effect.
Device can operate both in injection and monitoring mode. </t>
  </si>
  <si>
    <t>System will keep working normally.</t>
  </si>
  <si>
    <t>SV104-1490</t>
  </si>
  <si>
    <t xml:space="preserve">And Gate output side pull down resistor.
</t>
  </si>
  <si>
    <t>(R98/R99)</t>
  </si>
  <si>
    <t>To keep the output of AND gate to a  known state when not driven by controller.</t>
  </si>
  <si>
    <t xml:space="preserve">Fail safe state will be compromised.
</t>
  </si>
  <si>
    <t xml:space="preserve">No immediate effect.
Device can operate both in injection as well as monitoring mode.
</t>
  </si>
  <si>
    <t>SV104-1491</t>
  </si>
  <si>
    <t xml:space="preserve">Resistor fails-short.
</t>
  </si>
  <si>
    <t>Output of upper/lower AND gate IC will be low.
Upper/lower IGBTs of both modules will always remain OFF.</t>
  </si>
  <si>
    <t>SV104-1492</t>
  </si>
  <si>
    <t xml:space="preserve">Gate driver reset pin-Pull up resistor.
</t>
  </si>
  <si>
    <t>(R10)</t>
  </si>
  <si>
    <t>To keep the reset pin to high state when not driven by controller.</t>
  </si>
  <si>
    <t>SV104-1493</t>
  </si>
  <si>
    <t xml:space="preserve">Reset pin always remain high. 
RS-485 receiver IC may get damaged when iiSC will send gate reset command.
</t>
  </si>
  <si>
    <t xml:space="preserve">No immediate effect until gate fault occurs.
Device can operate in both injection and monitoring mode until fault occurs.
</t>
  </si>
  <si>
    <t xml:space="preserve">System will keep working normally until gate fault condition occurs.
 </t>
  </si>
  <si>
    <t>In case of gate fault, iiSC will not be able to reset the gate driver IC and Gate driver IC will stuck and corresponding IGBTs will switch to off state. 
In case of low line current, there is possibility that DC link is charged up to threshold through diode charging and DC link overvoltage may occur.
In case of high line current, other H-bridge will be overloaded and there is possibility of over temperature indication.</t>
  </si>
  <si>
    <t>DC link 1 or 2 Over Voltage / Over Temperature.</t>
  </si>
  <si>
    <t>SV104-1494</t>
  </si>
  <si>
    <t xml:space="preserve">Gate driver fault pin - filter capacitor. 
</t>
  </si>
  <si>
    <t>(C28/C41)</t>
  </si>
  <si>
    <t>To filter gate fault signal voltage.</t>
  </si>
  <si>
    <t xml:space="preserve">Capacitor fails-open._x000D_
</t>
  </si>
  <si>
    <t xml:space="preserve">Filtering capability will be reduced.
</t>
  </si>
  <si>
    <t xml:space="preserve">No immediate effect.
Device can operate in both injection and monitoring mode 
</t>
  </si>
  <si>
    <t xml:space="preserve">Over current._x000D_
_x000D_
Thermal stress._x000D_
 </t>
  </si>
  <si>
    <t>SV104-1495</t>
  </si>
  <si>
    <t xml:space="preserve">Capacitor fails-short._x000D_
</t>
  </si>
  <si>
    <t>Fault pin will always remain low. 
iiSC will always detect fault condition.
Gate driver IC will not be able to drive the upper/lower IGBT Gates.</t>
  </si>
  <si>
    <t xml:space="preserve">Affected MVAr will be bypassed by using CLB as long as the issue persist.
Components with low FIT rate selected.
</t>
  </si>
  <si>
    <t>SV104-1496</t>
  </si>
  <si>
    <t xml:space="preserve">Gate driver DESAT pin- Reverse biased diode.
</t>
  </si>
  <si>
    <t xml:space="preserve">(D4,D16/D21,D22) </t>
  </si>
  <si>
    <t>To protect DC link voltages appear at DESAT pin.</t>
  </si>
  <si>
    <t xml:space="preserve">One of the diode fails-open.
</t>
  </si>
  <si>
    <t xml:space="preserve">DESAT fault of one of the upper/lower IGBTs can not be detected. </t>
  </si>
  <si>
    <t>No immediate effect.
Device can operate in both injection and monitoring mode until fault occurs.</t>
  </si>
  <si>
    <t xml:space="preserve">Thermal stress._x000D_
_x000D_
Excessive forward current._x000D_
</t>
  </si>
  <si>
    <t xml:space="preserve">As both the upper/lower IGBTs are in parallel, same current will be flowing through both IGBTs. If one diode is open then other IGBT's  path can  detect overcurrent.
Components with low FIT rate selected.
</t>
  </si>
  <si>
    <t>SV104-1497</t>
  </si>
  <si>
    <t xml:space="preserve">One of the diode fails-short.
</t>
  </si>
  <si>
    <t>DC Link voltages will appear at DESAT pin and gate driver IC will be damaged.
Upper/lower IGBTs of corresponding half H-bridge will be off.</t>
  </si>
  <si>
    <t xml:space="preserve">Affected MVAr will be bypassed using CLB.
</t>
  </si>
  <si>
    <t xml:space="preserve">High reverse voltage._x000D_
</t>
  </si>
  <si>
    <t xml:space="preserve">Choosing components with enough FIT rate to fulfill the product life requirements.
Choosing of components with higher ratings (current/voltage).
In case of low line current, there is possibility that DC link is charged up to threshold through diode charging and DC link overvoltage may occur.
In case of high line current, other H-bridge will be overloaded and there is possibility of over temperature indication.
</t>
  </si>
  <si>
    <t>SV104-1498</t>
  </si>
  <si>
    <t xml:space="preserve">Gate driver DESAT pin- 16V Zener diode. 
</t>
  </si>
  <si>
    <t>(D5 / D9)</t>
  </si>
  <si>
    <t>To protect the pin against voltage greater than 16 V.</t>
  </si>
  <si>
    <t xml:space="preserve">Diode fails-open._x000D_
</t>
  </si>
  <si>
    <t xml:space="preserve">Protection against higher voltage will be reduced.
Gate driver may get damaged due to high voltage at DESAT pin. </t>
  </si>
  <si>
    <t xml:space="preserve">Device can operate in both injection and monitoring mode until DESAT voltage is in safe limits. 
</t>
  </si>
  <si>
    <t xml:space="preserve">System will keep working normally as long as no fault is observed.
</t>
  </si>
  <si>
    <t>If voltage at DESAT is less than 17.3 V then gate fault will be generated and affected MVAr will be bypassed.
However, if voltage is greater than 17.3 V then DESAT pin may get damaged. After IC damaged following two scenarios arise:
In case of low line current, there is possibility that DC link is charged up to threshold through diode charging and DC link overvoltage may occur.
In case of high line current, other H-bridge will be overloaded and there is possibility of over temperature indication.</t>
  </si>
  <si>
    <t>SV104-1499</t>
  </si>
  <si>
    <t xml:space="preserve">Diode fails-short._x000D_
</t>
  </si>
  <si>
    <t xml:space="preserve">DESAT pin will be grounded and fault can not be detected. </t>
  </si>
  <si>
    <t xml:space="preserve">Device will keep working normally however fault protection will be reduced.
</t>
  </si>
  <si>
    <t xml:space="preserve">System will keep working normally until overcurrent occurs.
</t>
  </si>
  <si>
    <t>In case of DESAT fault in upper/lower H-bridge IGBTs, it will be detected by lower/upper H-bridge IGBTs DESAT protection and affected MVAr will be bypassed using CLB.
Components with higher FIT rate are selected.</t>
  </si>
  <si>
    <t>SV104-1500</t>
  </si>
  <si>
    <t xml:space="preserve">Gate driver DESAT pin- Zener diode series resistor. 
</t>
  </si>
  <si>
    <t>(R9/R15)</t>
  </si>
  <si>
    <t>To provide filtration in coordination with capacitor C25.</t>
  </si>
  <si>
    <t xml:space="preserve">DESAT fault of Upper/lower IGBTs can't be detected.
 </t>
  </si>
  <si>
    <t>No immediate effect.
Device can operate in both injection and monitoring mode in normal condition until DESAT fault occurs.</t>
  </si>
  <si>
    <t>System will keep working normally.
Incase of fault condition system will keep working normally with reduced injection capability.</t>
  </si>
  <si>
    <t>SV104-1501</t>
  </si>
  <si>
    <t xml:space="preserve">Filtration will be reduced.
</t>
  </si>
  <si>
    <t>No immediate effect.
Device can operate in  both injection and monitoring mode.</t>
  </si>
  <si>
    <t>Over voltage.</t>
  </si>
  <si>
    <t>SV104-1502</t>
  </si>
  <si>
    <t xml:space="preserve">Gate driver- Series resistor between gate of transistor and output pin of gate driver.  
</t>
  </si>
  <si>
    <t>(R13, R113/ R19, R122)</t>
  </si>
  <si>
    <t xml:space="preserve">To limit the base current </t>
  </si>
  <si>
    <t xml:space="preserve">One of the resistor fails-open.
</t>
  </si>
  <si>
    <t xml:space="preserve">Gate drive path  for one of the upper/lower IGBTs will be broken.
Other side will be available to drive IGBT.
</t>
  </si>
  <si>
    <t xml:space="preserve">No immediate effect.
Device can operate in both injection and monitoring mode in normal condition. </t>
  </si>
  <si>
    <t>SV104-1503</t>
  </si>
  <si>
    <t xml:space="preserve">One of the resistor fails-short.
</t>
  </si>
  <si>
    <t xml:space="preserve">No immediate effect.
Losses will be increased.
Components life time will be reduced.
</t>
  </si>
  <si>
    <t>SV104-1504</t>
  </si>
  <si>
    <t xml:space="preserve">Gate driver output pin. High side transistor. 
</t>
  </si>
  <si>
    <t>(Q1,Q13/ Q4,Q7)</t>
  </si>
  <si>
    <t xml:space="preserve">To boost up the current for gate of IGBTs. </t>
  </si>
  <si>
    <t xml:space="preserve">One of the transistor fails-open.
</t>
  </si>
  <si>
    <t>Parallel booster stage will provide current during ON state of IGBT.</t>
  </si>
  <si>
    <t xml:space="preserve">No immediate effect. 
Device can operate in both monitoring and injection mode.
</t>
  </si>
  <si>
    <t xml:space="preserve">De-gradation of component._x000D_
_x000D_
Thermal stress._x000D_
_x000D_
Over current._x000D_
</t>
  </si>
  <si>
    <t xml:space="preserve">In case of open of one transistor, parallel booster stage will provide current.
</t>
  </si>
  <si>
    <t>SV104-1505</t>
  </si>
  <si>
    <t xml:space="preserve">One of the transistor fails-short between collector and emitter.
</t>
  </si>
  <si>
    <t xml:space="preserve">One of the upper/lower IGBT will become permanently ON. When off signal will be sent by Gate driver IC, both VCC and VEE will be parallel and output pin will get damaged.
Gate driver IC will get damaged.
</t>
  </si>
  <si>
    <t xml:space="preserve">Avalanche failure_x000D_
_x000D_
Over voltage_x000D_
_x000D_
Over current._x000D_
</t>
  </si>
  <si>
    <t>SV104-1506</t>
  </si>
  <si>
    <t xml:space="preserve">Gate driver output pin low side transistor. 
</t>
  </si>
  <si>
    <t>(Q2,Q14 / Q5,Q17)</t>
  </si>
  <si>
    <t xml:space="preserve">Used for miller clamping and sink the current during turning Off the IGBT.  </t>
  </si>
  <si>
    <t xml:space="preserve">Transistor fails-open._x000D_
</t>
  </si>
  <si>
    <t>Parallel Miller clamping is also provided and will provide  sink path to current.</t>
  </si>
  <si>
    <t xml:space="preserve">Choosing components with enough FIT rate to fulfill the product life requirements.
Choosing of components with higher ratings (current/voltage).
In case of open of one transistor, parallel miller clamping will sink current.
</t>
  </si>
  <si>
    <t>SV104-1507</t>
  </si>
  <si>
    <t xml:space="preserve">One of the upper/lower IGBT will become permanently OFF. When on signal will be sent by Gate driver IC, both VCC and VEE will be parallel and output pin will get damaged.
Gate driver IC will get damaged.
</t>
  </si>
  <si>
    <t>SV104-1508</t>
  </si>
  <si>
    <t xml:space="preserve">Current boost circuitry for the IGBT gate- Resistor between output and VEE.
</t>
  </si>
  <si>
    <t>(R160/ R161)</t>
  </si>
  <si>
    <t xml:space="preserve">To provide pull down.  </t>
  </si>
  <si>
    <t xml:space="preserve">Resistor fails-open.
</t>
  </si>
  <si>
    <t xml:space="preserve">Fail safe state will be compromised.
IGBT may turn on when its not driven. 
</t>
  </si>
  <si>
    <t>SV104-1509</t>
  </si>
  <si>
    <t>Output pin will be constantly at VEE potential.
When on signal will be sent by Gate driver IC, both VCC and VEE will be parallel and output pin will get damaged.
Gate driver IC will get damaged.</t>
  </si>
  <si>
    <t>SV104-1510</t>
  </si>
  <si>
    <t xml:space="preserve">Current boost circuitry for the IGBT gate- Clamping diode between Gate driver output and VEE. 
</t>
  </si>
  <si>
    <t>(D54/D58)</t>
  </si>
  <si>
    <t>To provide negative side over voltage clamping.</t>
  </si>
  <si>
    <t xml:space="preserve">Diode fails-open.
</t>
  </si>
  <si>
    <t>Negative side over voltage clamping protection will be reduced.</t>
  </si>
  <si>
    <t>SV104-1511</t>
  </si>
  <si>
    <t xml:space="preserve">One of the upper/lower IGBTs will become Off permanently.
</t>
  </si>
  <si>
    <t xml:space="preserve">If one of the upper/lower IGBTs becomes OFF then other parallel IGBT will heat up and Over temperature will be read by firmware.
</t>
  </si>
  <si>
    <t>SV104 - 10434</t>
  </si>
  <si>
    <t>Current boost circuitry
Positive Supply Filter Capacitors</t>
  </si>
  <si>
    <t>Upper
 (C156, C99, C26, C160,C129,C109,C155,C98,C29,C159,C121,C107)
Lower (C164,C134,C40,C167,C137,C113,C163,C133,C47,C168,C139,C112)</t>
  </si>
  <si>
    <t>Positive Supply Voltage noise filtering</t>
  </si>
  <si>
    <t>One of the Capacitor Fails Open</t>
  </si>
  <si>
    <t>No immediate effect.
Noise filtering will be affected.</t>
  </si>
  <si>
    <t xml:space="preserve">No immediate effect._x000D_
_x000D_
Device can operate in both injection and monitoring mode._x000D_
</t>
  </si>
  <si>
    <t>Choosing components with enough FIT rate to fulfill the product life requirements.</t>
  </si>
  <si>
    <t>SV104 - 10435</t>
  </si>
  <si>
    <t>One of the Capacitor Fails Short</t>
  </si>
  <si>
    <t>Positive 18V rail will be shorted to ground.
No power will be available to drive IGBTs.
PS fail will be detected by iiSC.</t>
  </si>
  <si>
    <t xml:space="preserve">If device is already in injection mode it will transit to monitoring mode.
Device will stay in monitoring mode as long as the issue persist. 
</t>
  </si>
  <si>
    <t>System will keep working with reduced injection capability.</t>
  </si>
  <si>
    <t>SV104 - 10436</t>
  </si>
  <si>
    <t>Current boost circuitry -
Negative Supply Filter Capacitors</t>
  </si>
  <si>
    <t>Upper
 (C32, C100,C157,C110,C131,C161,C33,C101,C158,C111,C132,C162)
Lower (C51,C135,C165,C114,C140,C169,C48,C136,C166,C115,C141,C170)</t>
  </si>
  <si>
    <t>Negative Supply Voltage noise filtering</t>
  </si>
  <si>
    <t>SV104 - 10437</t>
  </si>
  <si>
    <t xml:space="preserve">Negative 8V rail will be shorted to ground.
IGBTs can be turned OFF at ground.
</t>
  </si>
  <si>
    <t>SV104 - 10438</t>
  </si>
  <si>
    <t xml:space="preserve">Current boost circuitry -
Resistive Divider Circuit </t>
  </si>
  <si>
    <t>R167, R115, R48, R100</t>
  </si>
  <si>
    <t>To provide 20 ohms during on-state and 10 ohms during OFF-state of IGBT.</t>
  </si>
  <si>
    <t xml:space="preserve">One of the resistor from 
R167 &amp; R48  fails-open.
</t>
  </si>
  <si>
    <t>20 Ohms resistance will increase to 30 ohm during ON-State.
10 Ohms resistance will increase to 20 Ohms during OFF-state.</t>
  </si>
  <si>
    <t>SV104 - 10439</t>
  </si>
  <si>
    <t xml:space="preserve">One of the resistor from 
R167 &amp; R48 fails-short.
</t>
  </si>
  <si>
    <t>20 Ohms resistance will decrease to 10 ohm during ON-State.
10 Ohms resistance will decrease to "0" Ohms during OFF-state.</t>
  </si>
  <si>
    <t>SV104 - 10440</t>
  </si>
  <si>
    <t xml:space="preserve">One of the resistor from 
R115 &amp; R100 fails-open.
</t>
  </si>
  <si>
    <t>20 Ohms resistance will increase to 30 ohm during ON-State.
10 Ohms resistance will remain same during OFF-state.</t>
  </si>
  <si>
    <t>SV104 - 10441</t>
  </si>
  <si>
    <t xml:space="preserve">One of the resistor from 
R115 &amp; R100 fails-short.
</t>
  </si>
  <si>
    <t>20 Ohms resistance will decrease to 10 ohm during ON-State.
10 Ohms resistance will remain same during OFF-state.</t>
  </si>
  <si>
    <t>SV104 - 10442</t>
  </si>
  <si>
    <t>Current boost circuitry -
Diode</t>
  </si>
  <si>
    <t>D7</t>
  </si>
  <si>
    <t>To bypass R115 and R100 during OFF-state of IGBT</t>
  </si>
  <si>
    <t>10 Ohms resistance will increase to 20 Ohms during OFF-state.</t>
  </si>
  <si>
    <t>SV104 - 10443</t>
  </si>
  <si>
    <t>20 Ohms resistance will decrease to 10 ohm during ON-State.
10 Ohms resistance will remain same.</t>
  </si>
  <si>
    <t>SV104 - 10444</t>
  </si>
  <si>
    <t>Active Miller Clamp diode</t>
  </si>
  <si>
    <t>D18</t>
  </si>
  <si>
    <t>To prevent bi-polar current to flow to CLAMP pin of Gate Driver</t>
  </si>
  <si>
    <t>Output path to CLAMP pin will be broken.
Due to use of bipolar supplies, Gate driver can work without CLAMP output.</t>
  </si>
  <si>
    <t>SV104 - 10445</t>
  </si>
  <si>
    <t>No immediate effect.</t>
  </si>
  <si>
    <t>SV104-1512</t>
  </si>
  <si>
    <t xml:space="preserve">Current boost circuitry for the IGBT gate-  Clamping diode between Gate driver output and VCC. 
</t>
  </si>
  <si>
    <t>(D53/D56)</t>
  </si>
  <si>
    <t>To provide positive side over voltage clamping.</t>
  </si>
  <si>
    <t xml:space="preserve">Positive side over voltage clamping protection will be reduced.
</t>
  </si>
  <si>
    <t>SV104-1513</t>
  </si>
  <si>
    <t xml:space="preserve">VCC will be supplied to the gate of the IGBT and it will be ON.
Gate drive IC will not be able to drive the gate of the IGBT. </t>
  </si>
  <si>
    <t xml:space="preserve">If one of the upper/lower IGBTs becomes ON then shoot through will occur and DESAT protection will generate gate fault.
</t>
  </si>
  <si>
    <t>SV104-1514</t>
  </si>
  <si>
    <t xml:space="preserve">Monostable Multivibrator IC. 
</t>
  </si>
  <si>
    <t>(U50)</t>
  </si>
  <si>
    <t>on falling edge, to latch the output for 20 us at low state.</t>
  </si>
  <si>
    <t xml:space="preserve">No latching will be provided. 
</t>
  </si>
  <si>
    <t>SV104-1515</t>
  </si>
  <si>
    <t xml:space="preserve">Shoot through fault will be detected continuously.
</t>
  </si>
  <si>
    <t>Both IGBT modules will be OFF.
In case of low line current, there is possibility that DC link is charged up to threshold through diode charging and DC link overvoltage may occur.
In case of high line current, other H-bridge will be overloaded and there is possibility of over temperature indication.</t>
  </si>
  <si>
    <t>SV104-1516</t>
  </si>
  <si>
    <t xml:space="preserve">Monostable Multivibrator input side- NAND gate IC. 
</t>
  </si>
  <si>
    <t>(U27)</t>
  </si>
  <si>
    <t>To detect the shoot through.</t>
  </si>
  <si>
    <t xml:space="preserve">Shoot through fault will not be detected.
</t>
  </si>
  <si>
    <t>No immediate effect.
Device will keep working normally until the shoot through fault occurs.</t>
  </si>
  <si>
    <t xml:space="preserve">System will keep working normally until the shoot through fault occurs.
</t>
  </si>
  <si>
    <t>if Shoot-through occurs, it will be detected by gate driver IC as a DESAT fault.
Choosing components with enough FIT rate to fulfill the product life requirements</t>
  </si>
  <si>
    <t>SV104-1517</t>
  </si>
  <si>
    <t xml:space="preserve">Shoot through fault  will be detected continuously.
</t>
  </si>
  <si>
    <t>SV104-1518</t>
  </si>
  <si>
    <t xml:space="preserve">Monostable Multivibrator output side- AND gate IC.
</t>
  </si>
  <si>
    <t>(U28)</t>
  </si>
  <si>
    <t>To  take decision on any of the output (monoshot) and NAND gate.</t>
  </si>
  <si>
    <t xml:space="preserve">Shoot through fault will not be detected. </t>
  </si>
  <si>
    <t xml:space="preserve">Device will keep working normally until shoot through occurs. 
</t>
  </si>
  <si>
    <t>Choosing components with enough FIT rate to fulfill the product life requirements</t>
  </si>
  <si>
    <t>SV104-1519</t>
  </si>
  <si>
    <t>SV104-1520</t>
  </si>
  <si>
    <t xml:space="preserve">Monostable Multivibrator output side - And gate output pull up resistor.
</t>
  </si>
  <si>
    <t xml:space="preserve">(R144) </t>
  </si>
  <si>
    <t xml:space="preserve">To keep the output  to a  known state. </t>
  </si>
  <si>
    <t xml:space="preserve">Fail safe state will be compromised. </t>
  </si>
  <si>
    <t xml:space="preserve">No immediate effect.
Device can operate in both injection and monitoring mode.
</t>
  </si>
  <si>
    <t>SV104-1521</t>
  </si>
  <si>
    <t>iiGD Board - NTC Interface Section</t>
  </si>
  <si>
    <t>SV104-1523</t>
  </si>
  <si>
    <t xml:space="preserve">NTC-Common mode choke.
</t>
  </si>
  <si>
    <t>(L6)</t>
  </si>
  <si>
    <t>To filter noise.</t>
  </si>
  <si>
    <t xml:space="preserve">Common mode choke winding shorted with each other.
</t>
  </si>
  <si>
    <t xml:space="preserve">Respective IGBTs temperature will be constantly high. </t>
  </si>
  <si>
    <t xml:space="preserve">Electrical overstress._x000D_
_x000D_
Bad magnet wire insulation._x000D_
</t>
  </si>
  <si>
    <t>Affected MVAr will be bypassed using CLB.
Choosing components with enough FIT rate to fulfill the product life requirements</t>
  </si>
  <si>
    <t>SV104 - 10446</t>
  </si>
  <si>
    <t>Surge Protection TVS Diode</t>
  </si>
  <si>
    <t>D29, D40</t>
  </si>
  <si>
    <t>EMI + ESD Protection</t>
  </si>
  <si>
    <t>Surge Protection will be Compromised</t>
  </si>
  <si>
    <t>SV104 - 10447</t>
  </si>
  <si>
    <t xml:space="preserve">Diode fails-short.
</t>
  </si>
  <si>
    <t xml:space="preserve">NTC_A &amp; NTC_B input lines of the respective NTC will be shorted to each other.
Maximum voltage will be applied to the Buffer IC.
Respective IGBT's temperature will be constantly high. </t>
  </si>
  <si>
    <t xml:space="preserve">If device is already in injection mode it will transit to monitoring mode._x000D_
_x000D_
Device will stay in monitoring mode as long as the issue persist. _x000D_
</t>
  </si>
  <si>
    <t xml:space="preserve">Affected device and its associated group of devices will transit to monitoring mode._x000D_
_x000D_
System will keep working with reduced injection capability._x000D_
</t>
  </si>
  <si>
    <t>Choosing components with enough FIT rate to fulfill the product life requirements.
Choosing components with higher ratings (current/voltage).</t>
  </si>
  <si>
    <t>Constant High Temperature Reading greater than 130°C.</t>
  </si>
  <si>
    <t>SV104 - 10448</t>
  </si>
  <si>
    <t>NTC-Voltage Divider - Bypass Capacitor</t>
  </si>
  <si>
    <t>C56, C68</t>
  </si>
  <si>
    <t xml:space="preserve">Capacitor fails open. </t>
  </si>
  <si>
    <t>Noise filtering will be Compromised</t>
  </si>
  <si>
    <t>Electrical over stress.
Over current.</t>
  </si>
  <si>
    <t>SV104 - 10449</t>
  </si>
  <si>
    <t xml:space="preserve">Capacitor fails short. </t>
  </si>
  <si>
    <t>Buffer IC input will be shorted to ground.
Firmware will consider this as unavailability of NTC and SI will display default value at its place.</t>
  </si>
  <si>
    <t>SV104-1524</t>
  </si>
  <si>
    <t xml:space="preserve">NTC common mode choke output and Vin resistor.
</t>
  </si>
  <si>
    <t>(R28)</t>
  </si>
  <si>
    <t>Voltage divider resistor to sense corresponding temperature read by ADC.</t>
  </si>
  <si>
    <t>Respective IGBTs module temperature can not be sensed. 
-86°C temperature will be read by firmware.</t>
  </si>
  <si>
    <t xml:space="preserve">No immediate effect .
Device can operate in both injection and monitoring mode.
</t>
  </si>
  <si>
    <t xml:space="preserve">If high temperature occurs due to over current, other IGBTs modules will also heat up and then over temperature can be read  by other NTC sensing circuits.
</t>
  </si>
  <si>
    <t>IGBT temperature will be -86°C.</t>
  </si>
  <si>
    <t>At -86°C, affected MVAR must be bypassed as it cannot read the respective IGBTs' temperature.</t>
  </si>
  <si>
    <t>SV104-1525</t>
  </si>
  <si>
    <t>A little higher about 4°C value of respective IGBT temperature will be read.</t>
  </si>
  <si>
    <t>SV104 - 5992</t>
  </si>
  <si>
    <t xml:space="preserve">NTC common mode choke output and Vin pull down resistor.
</t>
  </si>
  <si>
    <t>(R31)</t>
  </si>
  <si>
    <t>3.3 V will appear across capacitor and corresponding 150°C temperature will be read by console.</t>
  </si>
  <si>
    <t>SV104 - 5993</t>
  </si>
  <si>
    <t>If high temperature occurs due to over current, other IGBTs modules will also heat up and then over temperature can be read  by other NTC sensing circuits.
Choosing components with enough FIT rate to fulfill the product life requirements</t>
  </si>
  <si>
    <t>SV104-1526</t>
  </si>
  <si>
    <t xml:space="preserve">NTC- Op-amp buffer IC. 
</t>
  </si>
  <si>
    <t>(U20)</t>
  </si>
  <si>
    <t>To provide isolation and enhance the signal.</t>
  </si>
  <si>
    <t>150°C temperature of corresponding IGBT module will be read by console.</t>
  </si>
  <si>
    <t>SV104-1527</t>
  </si>
  <si>
    <t>SV104 - 10450</t>
  </si>
  <si>
    <t>ICs Supply Filter Capacitor</t>
  </si>
  <si>
    <t>C103, C104, C38, C49</t>
  </si>
  <si>
    <t>To filter supply of IC</t>
  </si>
  <si>
    <t>Noise filtering of the respective IC will be Compromised</t>
  </si>
  <si>
    <t>SV104 - 10451</t>
  </si>
  <si>
    <t>5V_ISO_NTC will be shorted to ground.
No supply will be available to power any IC of NTC section.
Firmware will read this value as lowest value i.e. -86°C</t>
  </si>
  <si>
    <t>SV104 - 10452</t>
  </si>
  <si>
    <t>0 Ohm Jumper Resistor</t>
  </si>
  <si>
    <t>R29, R82</t>
  </si>
  <si>
    <t>For debugging purposes.</t>
  </si>
  <si>
    <t xml:space="preserve">Resistor-jumper fails-open.
</t>
  </si>
  <si>
    <t>No signal will be supplied to ADC.
Firmware will read this value as lowest value i.e. -86°C</t>
  </si>
  <si>
    <t>SV104-1528</t>
  </si>
  <si>
    <t xml:space="preserve">NTC-ADC IC. 
</t>
  </si>
  <si>
    <t>(U10)</t>
  </si>
  <si>
    <t>To convert analog signals to digital.</t>
  </si>
  <si>
    <t xml:space="preserve">Fails in such a way that output is always high. (max input voltage) </t>
  </si>
  <si>
    <t>150°C temperature of corresponding IGBT module will be read by firmware.</t>
  </si>
  <si>
    <t>SV104 - 5994</t>
  </si>
  <si>
    <t>Fails in such a way that output is always low.</t>
  </si>
  <si>
    <t>If high temperature occurs due to over current, other IGBTs modules will also heat up and then over temperature can be read  by other NTC sensing circuits.
Choosing components with enough FIT rate to fulfill the product life requirements.</t>
  </si>
  <si>
    <t>SV104 - 5995</t>
  </si>
  <si>
    <t xml:space="preserve">NTC-ADC output pull up resistor.
</t>
  </si>
  <si>
    <t>(R54)</t>
  </si>
  <si>
    <t>To keep the output pin of ADC at known state when not being used.</t>
  </si>
  <si>
    <t xml:space="preserve">Fail safe state will be compromised
</t>
  </si>
  <si>
    <t xml:space="preserve">No immediate effect.
Device will keep working normally. </t>
  </si>
  <si>
    <t xml:space="preserve">System will keep working normally. </t>
  </si>
  <si>
    <t>Components with lower FIT rate are chosen.</t>
  </si>
  <si>
    <t>SV104 - 5996</t>
  </si>
  <si>
    <t>Output will be at high potential permanently.
150°C temperature of corresponding IGBT module will be read by firmware.
When ADC will give low output then supply can be shorted and ADC may get damaged.</t>
  </si>
  <si>
    <t>Affected MVAr will be bypassed using CLB.
Choosing components with enough FIT rate to fulfill the product life requirements.</t>
  </si>
  <si>
    <t>SV104 - 5997</t>
  </si>
  <si>
    <t xml:space="preserve">NTC- Digital isolator IC.  
</t>
  </si>
  <si>
    <t>(U11)</t>
  </si>
  <si>
    <t>To isolate the digital signal.</t>
  </si>
  <si>
    <t>IC fails in such a way that output is constantly high</t>
  </si>
  <si>
    <t>SV104-1529</t>
  </si>
  <si>
    <t>IC fails in such a way that output is constantly low</t>
  </si>
  <si>
    <t>iiGD Board - RS485 Interface Section Rev3</t>
  </si>
  <si>
    <t>SV104-1531</t>
  </si>
  <si>
    <t xml:space="preserve">RS - 422/485 receiver IC </t>
  </si>
  <si>
    <t>U1 (Channel 1)</t>
  </si>
  <si>
    <t xml:space="preserve">To receive RS - 485/422 PWM for upper IGBTs, </t>
  </si>
  <si>
    <t>Constant HIGH signal will transmitted on PWM signal line.
HIGH signal will keep the IGBTS of the Upper side in ON state except when the shoot through protection circuit will switch signal OFF.
PWM applied by the Firmware will not be applied to the IGBTs.
Improper PWM signal will cause Wall Imbalance.</t>
  </si>
  <si>
    <t xml:space="preserve">Affected MVAr will be bypassed by using CLB as long as the issue persist.
Device will keep working normally with reduced injection capability.
</t>
  </si>
  <si>
    <t>Degradation of components.
Bad/refurbished/ counterfeit parts can cause this issue.
Bad batch of components.</t>
  </si>
  <si>
    <t xml:space="preserve">Shoot through detector circuit will be activated which will cause corresponding IGTBs to switch to off state when both the PWMs are high.
Choosing components with enough FIT rate to fulfil the product life requirements.
</t>
  </si>
  <si>
    <t>DC Link 1 &amp; 2 Imbalance.</t>
  </si>
  <si>
    <t>SV104-1532</t>
  </si>
  <si>
    <t>Constant LOW signal will transmitted on PWM signal line.
LOW signal will keep the IGBTS of the Upper side in OFF state.
PWM applied by the Firmware will not be applied to the IGBTs.
Improper PWM signal will cause Wall Imbalance.</t>
  </si>
  <si>
    <t>Degradation of components.
Bad batch of components.</t>
  </si>
  <si>
    <t>Choosing components with enough FIT rate to fulfil the product life requirements.</t>
  </si>
  <si>
    <t>SV104-16623</t>
  </si>
  <si>
    <t>Intermittent failure - Incorrect Transmission.</t>
  </si>
  <si>
    <t>PWM applied by the Firmware will not be applied to the IGBTs.
Improper PWM signal will cause Wall Imbalance.</t>
  </si>
  <si>
    <t>Degradation of components.
Bad/refurbished/ counterfeit parts can cause this issue.
Incorrect harnessing.</t>
  </si>
  <si>
    <t>Improving the component procuring process. 
Choosing components with enough FIT rate to fulfil the product life requirements.</t>
  </si>
  <si>
    <t>SV104-16624</t>
  </si>
  <si>
    <t>U1 (Channel 2)</t>
  </si>
  <si>
    <t xml:space="preserve">To receive RS - 485/422  PWM for lower IGBTs,
</t>
  </si>
  <si>
    <t>Constant HIGH signal will transmitted on PWM signal line.
HIGH signal will keep the IGBTS of the Lower side in ON state except when the shoot through protection circuit will switch signal OFF.
PWM applied by the Firmware will not be applied to the IGBTs.
Improper PWM signal will cause Wall Imbalance.</t>
  </si>
  <si>
    <t>SV104-16625</t>
  </si>
  <si>
    <t>Constant LOW signal will transmitted on PWM signal line.
LOW signal will keep the IGBTS of the Lower side in OFF state.
PWM applied by the Firmware will not be applied to the IGBTs.
Improper PWM signal will cause Wall Imbalance.</t>
  </si>
  <si>
    <t>SV104-16626</t>
  </si>
  <si>
    <t>SV104-16627</t>
  </si>
  <si>
    <t>U1 (Channel 3)</t>
  </si>
  <si>
    <t>To receive RS - 485/422 
GATE_RESET signal</t>
  </si>
  <si>
    <t>Constant HIGH signal will be send to RESET pin of the GATE Driver.
If DESAT fault is detected iiSC will not be able to reset DESAT fault.</t>
  </si>
  <si>
    <t>Device will keep working normally until DESAT fault occurs.
If DESAT fault occurs, Device will not be able to RESET affected MVAr.
Gate driver IC can automatically reset after power cycle to iiGD PCBAs.
Affected MVAr will be bypassed by using CLB as long as the issue persist.
Device will keep working normally with reduced injection capability.</t>
  </si>
  <si>
    <t xml:space="preserve">System will keep working normally with reduced injection capability if DESAT fault occurs.
</t>
  </si>
  <si>
    <t>Gate reset command from SoC will be unable to reset the Gate fault of that Gate driver IC.
Gate fault signal will stuck unless power cycle clear this.</t>
  </si>
  <si>
    <t>SV104-16628</t>
  </si>
  <si>
    <t>Constant LOW signal will be send to RESET pin of the GATE Driver.
Continuous RESET signal at Gate Driver will cause  DC link to increase due to diode charging and "DC link overvoltage" alarm/fault will be declared.</t>
  </si>
  <si>
    <t>Affected MVAr will be bypassed by using CLB as long as the issue persist.
Device will keep working normally with reduced injection capability.</t>
  </si>
  <si>
    <t>Device will stay in monitoring mode.
Choosing components with enough FIT rate to fulfil the product life requirements.</t>
  </si>
  <si>
    <t>DC Link Over voltage.</t>
  </si>
  <si>
    <t>SV104-16629</t>
  </si>
  <si>
    <t xml:space="preserve">Incorrect signals will be sent to RESET pin of the GATE Driver.
It may cause DC link to increase due to diode charging and "DC link overvoltage" alarm/fault will be declared or cause an Imbalance between the Wall.
</t>
  </si>
  <si>
    <t>DC Link Over voltage
/
DC Link Imbalance.</t>
  </si>
  <si>
    <t>SV104-16630</t>
  </si>
  <si>
    <t>U1 (Channel 4)</t>
  </si>
  <si>
    <t>To receive RS - 485/422  ADC_EN signal.</t>
  </si>
  <si>
    <t xml:space="preserve">ADC_EN line will be constantly pulled HIGH which will keep the ADC on iiGD disabled.
iiGD board will not be able to carry out SPI communication properly.
150°C will be read by firmware which will trigger over temperature fault.
</t>
  </si>
  <si>
    <t xml:space="preserve">Device will stay in monitoring mode.
Choosing components with enough FIT rate to fulfil the product life requirements.
</t>
  </si>
  <si>
    <t>SV104-16631</t>
  </si>
  <si>
    <t>ADC_EN line will be constantly pulled LOW which will keep the ADC on iiGD enabled.
ADC on iiGD will keep working normally and will give accurate values.</t>
  </si>
  <si>
    <t>Device will keep working normally.</t>
  </si>
  <si>
    <t>SV104-16632</t>
  </si>
  <si>
    <t>iiGD board will not be able to enable ADC IC.
Incorrect Temperature values will be read by firmware which may trigger over temperature fault.</t>
  </si>
  <si>
    <t>SV104-10495</t>
  </si>
  <si>
    <t>RS - 422/485 receiver IC U1 PWM_U input filter resistors.</t>
  </si>
  <si>
    <t>(R2,R4)</t>
  </si>
  <si>
    <t xml:space="preserve">To filter and reduce noise of PWM for upper IGBTs. </t>
  </si>
  <si>
    <t xml:space="preserve">One of the resistors fails-open.
</t>
  </si>
  <si>
    <t xml:space="preserve">Corresponding input of receiver IC will be floating.
Output of receiver IC will be constantly high.
Upper IGBTs will be ON permanently. 
</t>
  </si>
  <si>
    <t>Corresponding IGTBs will be off when both the PWMs are high. Here two possibilities arise:
In case of low line current, there is possibility that DC link is charged up to threshold through diode charging and DC link overvoltage may occur.
In case of high line current, other H-bridge will be overloaded and there is possibility of over temperature indication.</t>
  </si>
  <si>
    <t>SV104-10496</t>
  </si>
  <si>
    <t xml:space="preserve">One of the resistors fails-short.
</t>
  </si>
  <si>
    <t xml:space="preserve">Filtration of signal will be reduced.
</t>
  </si>
  <si>
    <t xml:space="preserve">No immediate effect.
</t>
  </si>
  <si>
    <t>SV104-10497</t>
  </si>
  <si>
    <t xml:space="preserve">RS - 422/485 receiver IC U1 PWM_U input positive side filter capacitor.
</t>
  </si>
  <si>
    <t>(C25)</t>
  </si>
  <si>
    <t xml:space="preserve">Capacitors fails-open.
</t>
  </si>
  <si>
    <t>SV104-10498</t>
  </si>
  <si>
    <t xml:space="preserve">Capacitor fails-short.
</t>
  </si>
  <si>
    <t xml:space="preserve">Positive side of differential signal will be grounded.
</t>
  </si>
  <si>
    <t>SV104-10499</t>
  </si>
  <si>
    <t xml:space="preserve">RS - 422/485 receiver IC U1 PWM_U input negative side filter capacitor.
</t>
  </si>
  <si>
    <t>(C20)</t>
  </si>
  <si>
    <t>SV104-10500</t>
  </si>
  <si>
    <t xml:space="preserve">Negative side of differential signal will be grounded.
Upper IGBTs of both modules will always remain ON. </t>
  </si>
  <si>
    <t>Corresponding IGTBs will switch to off state when both the PWMs are high. Here two possibilities arise:
In case of low line current, there is possibility that DC link is charged up to threshold through diode charging and DC link overvoltage may occur.
In case of high line current, other H-bridge will be overloaded and there is possibility of over temperature indication.</t>
  </si>
  <si>
    <t>SV104-10501</t>
  </si>
  <si>
    <t>RS - 422/485 receiver IC U1 PWM_L input filter resistors.</t>
  </si>
  <si>
    <t>(R17,R25)</t>
  </si>
  <si>
    <t xml:space="preserve">To filter and reduce noise of PWM for lower IGBTs. </t>
  </si>
  <si>
    <t xml:space="preserve">Corresponding input of receiver IC will be floating.
Output of receiver IC will be constantly high.
Lower IGBTs will be ON permanently. 
</t>
  </si>
  <si>
    <t>Gate Fault/
Over Temperature/
DC Link Over Voltage.</t>
  </si>
  <si>
    <t>SV104-10502</t>
  </si>
  <si>
    <t>SV104-10503</t>
  </si>
  <si>
    <t xml:space="preserve">RS - 422/485 receiver IC U1 PWM_L input positive side filter capacitor.
</t>
  </si>
  <si>
    <t>(C31)</t>
  </si>
  <si>
    <t>SV104-10504</t>
  </si>
  <si>
    <t>SV104-10505</t>
  </si>
  <si>
    <t xml:space="preserve">RS - 422/485 receiver IC U1 PWM_L input negative side filter capacitor.
</t>
  </si>
  <si>
    <t>(C30)</t>
  </si>
  <si>
    <t>SV104-10506</t>
  </si>
  <si>
    <t xml:space="preserve">Negative side of differential signal will be grounded.
Lower IGBTs of both modules will always remain ON. </t>
  </si>
  <si>
    <t>SV104-10507</t>
  </si>
  <si>
    <t>RS - 422/485 receiver IC U1 GATE_RESET input filter resistors.</t>
  </si>
  <si>
    <t>(R32,R34)</t>
  </si>
  <si>
    <t xml:space="preserve">To filter and reduce noise of gate reset signal. </t>
  </si>
  <si>
    <t xml:space="preserve">Corresponding input of receiver IC will be floating.
Output of receiver IC will be constantly high.
Gate cannot be reset.
</t>
  </si>
  <si>
    <t>In case of gate fault, iiSC will not be able to reset the gate driver IC and Gate driver IC will stuck and corresponding IGBTs will switch to off state until next power cycle.
In case of low line current, there is possibility that DC link is charged up to threshold through diode charging and DC link overvoltage may occur.
In case of high line current, other H-bridge will be overloaded and there is possibility of over temperature indication.</t>
  </si>
  <si>
    <t>SV104-10508</t>
  </si>
  <si>
    <t>SV104-10509</t>
  </si>
  <si>
    <t xml:space="preserve">RS - 422/485 receiver IC U1 GATE_RESET input positive side filter capacitor.
</t>
  </si>
  <si>
    <t>(C42)</t>
  </si>
  <si>
    <t>SV104-10510</t>
  </si>
  <si>
    <t>SV104-10511</t>
  </si>
  <si>
    <t xml:space="preserve">RS - 422/485 receiver IC U1 GATE_RESET input negative side filter capacitor.
</t>
  </si>
  <si>
    <t>(C39)</t>
  </si>
  <si>
    <t>SV104-10512</t>
  </si>
  <si>
    <t>Negative side of differential signal will be grounded.
Gate reset signal will always be high.</t>
  </si>
  <si>
    <t>SV104-10513</t>
  </si>
  <si>
    <t xml:space="preserve">RS-422/485 receiver input side TVS diode. 
</t>
  </si>
  <si>
    <t>(D17)</t>
  </si>
  <si>
    <t>To protect from surge.</t>
  </si>
  <si>
    <t xml:space="preserve">In case of surge event PWM may get distorted. 
</t>
  </si>
  <si>
    <t xml:space="preserve">No immediate effect.
Device can operate in both injection and monitoring mode until severe surge event. 
</t>
  </si>
  <si>
    <t>SV104-10514</t>
  </si>
  <si>
    <t xml:space="preserve">Diode fails-short to ground.
</t>
  </si>
  <si>
    <t xml:space="preserve">Both PWM, upper and lower, will be permanently high.
Shoot through protection will make both PWM low and corresponding IGBTs will be OFF.
</t>
  </si>
  <si>
    <t xml:space="preserve">Affected MVAr will be bypassed by using CLB as long as the issue persist.
</t>
  </si>
  <si>
    <t xml:space="preserve">In case of low line current, there is possibility that DC link is charged up to threshold through diode charging and DC link overvoltage may occur.
In case of high line current, other H-bridge will be overloaded and there is possibility of over temperature indication.
Choosing components with enough FIT rate to fulfill the product life requirements.
Choosing of components with higher ratings (current/voltage).
</t>
  </si>
  <si>
    <t>SV104-10515</t>
  </si>
  <si>
    <t xml:space="preserve">Diode fails-short to Vcc.
</t>
  </si>
  <si>
    <t xml:space="preserve">Affected MVAr will be bypassed by using CLB as long as the issue persist.
</t>
  </si>
  <si>
    <t>In case of low line current, there is possibility that DC link is charged up to threshold through diode charging and DC link overvoltage may occur.
In case of high line current, other H-bridge will be overloaded and there is possibility of over temperature indication.
Choosing components with enough FIT rate to fulfill the product life requirements.
Choosing of components with higher ratings (current/voltage).</t>
  </si>
  <si>
    <t>SV104-1535</t>
  </si>
  <si>
    <t>(D20)</t>
  </si>
  <si>
    <t xml:space="preserve">In case of surge event Gate reset and ADC enable signals may get distorted. 
</t>
  </si>
  <si>
    <t>SV104-1536</t>
  </si>
  <si>
    <t xml:space="preserve">Both ADC enable and gate reset signals will be high.
Gate cannot be reset.
ADC will be disabled permanently.
ADC output will be permanently low. -86°C will be read by firmware.
</t>
  </si>
  <si>
    <t>Choosing components with enough FIT rate to fulfill the product life requirements.
Choosing of components with higher ratings (current/voltage).
In case of gate fault, iiSC will not be able to reset the gate driver IC and Gate driver IC will stuck and corresponding IGBTs will switch to off state until next power cycle.
In case of low line current, there is possibility that DC link is charged up to threshold through diode charging and DC link overvoltage may occur.
In case of high line current, other H-bridge will be overloaded and there is possibility of over temperature indication.</t>
  </si>
  <si>
    <t>SV104-9795</t>
  </si>
  <si>
    <t>SV104-10516</t>
  </si>
  <si>
    <t xml:space="preserve">RS-422/485 U1 Inverting &amp; non-Inverting enable resistor. 
</t>
  </si>
  <si>
    <t>(R1, R14)</t>
  </si>
  <si>
    <t>To limit the current through enable pin.</t>
  </si>
  <si>
    <t xml:space="preserve">One if the Resistor fails-open.
</t>
  </si>
  <si>
    <t>IC will remained enable sue to other resistor.
U1 IC will remain enabled.</t>
  </si>
  <si>
    <t>Choosing components with enough FIT rate to fulfill the product life requirements.
Choosing of components with higher ratings (current/voltage).
When receiver IC output will be low, upper IGBTs of both modules will be OFF. When output of IC is high, upper IGBTs will be ON and when both PWM are high corresponding IGBTs will switch to off state due to shoot-through protection.
Following two cases arise
       -In case of low line current, there is possibility that DC link is charged up to threshold through diode charging and DC link overvoltage may occur.
       -In case of high line current, other H-bridge will be overloaded and there is possibility of over temperature indication.</t>
  </si>
  <si>
    <t>SV104-10517</t>
  </si>
  <si>
    <t xml:space="preserve">One of the Resistor fails-short.
</t>
  </si>
  <si>
    <t>U1 IC will remain enabled.</t>
  </si>
  <si>
    <t>SV104-10518</t>
  </si>
  <si>
    <t xml:space="preserve">RS-422/485 U1 PWM_U terminating resistor. 
</t>
  </si>
  <si>
    <t>(R3)</t>
  </si>
  <si>
    <t>To avoid reflections in communication.</t>
  </si>
  <si>
    <t xml:space="preserve">No effect as we are driving the driver at iiSC board at very low frequency.
</t>
  </si>
  <si>
    <t xml:space="preserve">Device will keep working normally.
</t>
  </si>
  <si>
    <t>SV104-10519</t>
  </si>
  <si>
    <t>Both the inputs of upper PWM receiver IC will be shorted.
Output of IC will be constantly high.
Upper IGBTs will be constantly ON.</t>
  </si>
  <si>
    <t>Affected MVAr will be bypassed by using CLB as long as the issue persist.</t>
  </si>
  <si>
    <t>SV104-10520</t>
  </si>
  <si>
    <t xml:space="preserve">RS-422/485 U1 PWM_L terminating resistor. 
</t>
  </si>
  <si>
    <t>(R20)</t>
  </si>
  <si>
    <t>SV104-10521</t>
  </si>
  <si>
    <t>Both the inputs of upper PWM receiver IC will be shorted.
Output of IC will be constantly high.
Lower IGBTs will be constantly ON.</t>
  </si>
  <si>
    <t xml:space="preserve">Electrical over stress.
Over current.
Thermal heating.
</t>
  </si>
  <si>
    <t>SV104-9796</t>
  </si>
  <si>
    <t xml:space="preserve">RS-422/485 U1 GATE_RESET terminating resistors. 
</t>
  </si>
  <si>
    <t>(R33)</t>
  </si>
  <si>
    <t>SV104-9797</t>
  </si>
  <si>
    <t>Both the inputs of upper PWM receiver IC will be shorted.
Output of IC will be constantly high.
Gate driver cannot be reset.</t>
  </si>
  <si>
    <t>SV104-10522</t>
  </si>
  <si>
    <t>RS - 422/485 receiver IC U1 ADC_EN input filter resistors.</t>
  </si>
  <si>
    <t>(R67,R69)</t>
  </si>
  <si>
    <t xml:space="preserve">To filter and reduce noise. </t>
  </si>
  <si>
    <t xml:space="preserve">ADC supply will be off permanently.
ADC will be disabled permanently.
ADC output will be permanently high due to pull up resistor. 150°C will be read by firmware.
</t>
  </si>
  <si>
    <t>Affected MVAr will be bypassed using CLB as long as the issue persists.</t>
  </si>
  <si>
    <t xml:space="preserve">Affected MVAr will be bypassed using CLB.
Choosing components with enough FIT rate to fulfill the product life requirements.
Choosing of components with higher ratings (current/voltage).
</t>
  </si>
  <si>
    <t>SV104-10523</t>
  </si>
  <si>
    <t xml:space="preserve">Filtration will be reduced
</t>
  </si>
  <si>
    <t>SV104-10524</t>
  </si>
  <si>
    <t xml:space="preserve">RS - 422/485 receiver IC U1 ADC_EN input positive side filter capacitor.
</t>
  </si>
  <si>
    <t>(C58)</t>
  </si>
  <si>
    <t xml:space="preserve">Capacitor fails-open.
</t>
  </si>
  <si>
    <t>SV104-10525</t>
  </si>
  <si>
    <t>SV104-9804</t>
  </si>
  <si>
    <t xml:space="preserve">RS - 422/485 receiver IC U1 ADC_EN input negative side filter capacitor.
</t>
  </si>
  <si>
    <t>(C57)</t>
  </si>
  <si>
    <t>SV104-9805</t>
  </si>
  <si>
    <t>Output of IC will be constant high. 
ADC will be disabled permanently.
ADC output will be permanently high due to pull up resistor. 150°C will be read by firmware.</t>
  </si>
  <si>
    <t>SV104-9806</t>
  </si>
  <si>
    <t xml:space="preserve">RS-422/485 U1 ADC_EN terminating resistor. 
</t>
  </si>
  <si>
    <t>(R68)</t>
  </si>
  <si>
    <t>SV104-9807</t>
  </si>
  <si>
    <t>Both the inputs of IC will be shorted. IC output will be permanently high.
ADC will be disabled permanently.
ADC output will be permanently high due to pull up resistor. 150°C will be read by firmware.</t>
  </si>
  <si>
    <t xml:space="preserve">Affected MVAr will be bypassed using CLB .
Choosing components with enough FIT rate to fulfill the product life requirements.
Choosing of components with higher ratings (current/voltage).
</t>
  </si>
  <si>
    <t>SV104-1543</t>
  </si>
  <si>
    <t xml:space="preserve">RS485 receiver U1 positive input biasing pull down resistor on pin A1.
</t>
  </si>
  <si>
    <t>(R5)</t>
  </si>
  <si>
    <t>To pull the input A of IC to ground for fail safe state.</t>
  </si>
  <si>
    <t xml:space="preserve">No immediate effect.
Device will keep working normally until detection of fault. </t>
  </si>
  <si>
    <t>SV104-1544</t>
  </si>
  <si>
    <t xml:space="preserve">Positive side input of IC will be grounded permanently.
Driver IC at the iiSC board will be damaged.
Output of receiver IC will be low.
Upper IGBTs will be OFF permanently. </t>
  </si>
  <si>
    <t>Choosing components with enough FIT rate to fulfill the product life requirements.
Choosing of components with higher ratings (current/voltage).
In case of low line current, there is possibility that DC link is charged up to threshold through diode charging and DC link overvoltage may occur.
In case of high line current, other H-bridge will be overloaded and there is possibility of over temperature indication.</t>
  </si>
  <si>
    <t>SV104-1545</t>
  </si>
  <si>
    <t xml:space="preserve">RS485 receiver U1 negative input biasing pull up resistor on pin B1.
</t>
  </si>
  <si>
    <t>(R39)</t>
  </si>
  <si>
    <t>To pull up the input B of IC for fail safe state.</t>
  </si>
  <si>
    <t xml:space="preserve">Fail safe state will be compromised. 
</t>
  </si>
  <si>
    <t>No immediate effect.
Device will keep working normally.</t>
  </si>
  <si>
    <t>SV104-1546</t>
  </si>
  <si>
    <t xml:space="preserve">Negative side input of IC will be pulled up permanently.
Driver IC at the iiSC board will be damaged.
Output of receiver IC will be low.
Upper IGBTs will be OFF permanently. </t>
  </si>
  <si>
    <t>SV104-1547</t>
  </si>
  <si>
    <t xml:space="preserve">RS485 receiver U1 positive input biasing pull down resistor on pin A2.
</t>
  </si>
  <si>
    <t>(R94)</t>
  </si>
  <si>
    <t>SV104-1548</t>
  </si>
  <si>
    <t xml:space="preserve">Positive side input of IC will be grounded permanently.
Driver IC at the iiSC board will be damaged.
Output of receiver IC will be low.
Lower IGBTs will be OFF permanently. </t>
  </si>
  <si>
    <t>SV104 - 6000</t>
  </si>
  <si>
    <t xml:space="preserve">RS485 receiver U1 negative input biasing pull up resistor on pin B2.
</t>
  </si>
  <si>
    <t>(R95)</t>
  </si>
  <si>
    <t>SV104 - 6001</t>
  </si>
  <si>
    <t xml:space="preserve">Negative side input of IC will be pulled up permanently.
Driver IC at the iiSC board will be damaged.
Output of receiver IC will be low.
Lower IGBTs will be OFF permanently. </t>
  </si>
  <si>
    <t>SV104-1551</t>
  </si>
  <si>
    <t xml:space="preserve">RS485 receiver U1 positive input biasing pull down resistor on pin A3.
</t>
  </si>
  <si>
    <t>(R96)</t>
  </si>
  <si>
    <t>To pull up the input A of IC for fail safe state.</t>
  </si>
  <si>
    <t>SV104-1552</t>
  </si>
  <si>
    <t>Positive side input of IC will be pulled up.
Driver IC at the iiSC board will be damaged.
Output of receiver IC will be high.
Gate driver IC cannot be reset.</t>
  </si>
  <si>
    <t>SV104-1553</t>
  </si>
  <si>
    <t xml:space="preserve">RS485 receiver U1 negative input biasing pull up resistor on pin B3.
</t>
  </si>
  <si>
    <t>(R97)</t>
  </si>
  <si>
    <t>To pull down the input B of IC for fail safe state.</t>
  </si>
  <si>
    <t>SV104-1554</t>
  </si>
  <si>
    <t>SV104-1555</t>
  </si>
  <si>
    <t xml:space="preserve">RS485 receiver U1 positive input biasing pull down resistor on pin A4.
</t>
  </si>
  <si>
    <t>(R101)</t>
  </si>
  <si>
    <t>SV104-1556</t>
  </si>
  <si>
    <t>Positive side input of IC will be at high state permanently.
Driver IC at the iiSC board will be damaged.
Output of receiver IC will be high.
ADC will be disabled permanently.
ADC output will be permanently high due to pull up resistor. 150°C will be read by firmware.</t>
  </si>
  <si>
    <t>SV104-1557</t>
  </si>
  <si>
    <t xml:space="preserve">RS485 receiver U1 negative input biasing pull up resistor on pin B4.
</t>
  </si>
  <si>
    <t>(R102)</t>
  </si>
  <si>
    <t>SV104-1558</t>
  </si>
  <si>
    <t>SV104-10526</t>
  </si>
  <si>
    <t xml:space="preserve">RS - 422/485 receiver IC . </t>
  </si>
  <si>
    <t>U12 (Channel 1)</t>
  </si>
  <si>
    <t xml:space="preserve">To receive RS - 485/422  SPI_DIN signal and convert them to digital signal. </t>
  </si>
  <si>
    <t xml:space="preserve">iiGD board will not be able to carry out SPI communication properly.
150°C will be read by firmware which will trigger over temperature fault.
</t>
  </si>
  <si>
    <t>"iiGD Over Temperature" alarm will be declared or iiSC will read false IGBT temperature.</t>
  </si>
  <si>
    <t>SV104-10527</t>
  </si>
  <si>
    <t xml:space="preserve">iiGD board will not be able to carry out SPI communication properly.
-86°C will be read by firmware which will trigger over temperature fault.
</t>
  </si>
  <si>
    <t>Device will keep working normally as long as the IGBTs temperatures are in the safe temperature range.</t>
  </si>
  <si>
    <t xml:space="preserve">System will keep working normally as the IGBTs temperatures are in the safe temperature range.
</t>
  </si>
  <si>
    <t>SV104-16633</t>
  </si>
  <si>
    <t>iiGD board will not be able to carry out SPI communication properly.
Incorrect Temperature values will be read by firmware which may trigger over temperature fault.</t>
  </si>
  <si>
    <t>SV104-16634</t>
  </si>
  <si>
    <t>U12 (Channel 2)</t>
  </si>
  <si>
    <t xml:space="preserve">To receive RS - 485/422  SPI_CLK signal and convert them to digital signal. </t>
  </si>
  <si>
    <t>iiGD board will not be able to carry out SPI communication properly.
-86°C will be read by firmware.</t>
  </si>
  <si>
    <t xml:space="preserve">System will keep working normally </t>
  </si>
  <si>
    <t>SV104-16635</t>
  </si>
  <si>
    <t>SV104-16636</t>
  </si>
  <si>
    <t>SV104-16637</t>
  </si>
  <si>
    <t>U12 (Channel 3)</t>
  </si>
  <si>
    <t xml:space="preserve">To receive RS - 485/422 SPI_CS signal and convert them to digital signal. </t>
  </si>
  <si>
    <t xml:space="preserve">iiGD board will not be able to carry out SPI communication
iiGD board will not be able to send NTC temperature data to iiSC.
ADC will be disabled permanently.
150°C will be read by firmware.
</t>
  </si>
  <si>
    <t>SV104-16638</t>
  </si>
  <si>
    <t>CS line will be constantly pulled LOW which will keep the IC SPI enable.
No immediate effect.</t>
  </si>
  <si>
    <t>SV104-16639</t>
  </si>
  <si>
    <t>Incorrect Temperature values will be read by firmware which may trigger over temperature fault.</t>
  </si>
  <si>
    <t>SV104-16640</t>
  </si>
  <si>
    <t>U12 (Channel 4)</t>
  </si>
  <si>
    <t>Not in use.</t>
  </si>
  <si>
    <t>SV104-16641</t>
  </si>
  <si>
    <t>SV104-16642</t>
  </si>
  <si>
    <t>SV104-10528</t>
  </si>
  <si>
    <t xml:space="preserve">RS - 422/485 receiver IC U12 SPI_DIN input filter resistors.
</t>
  </si>
  <si>
    <t>(R70,R73)</t>
  </si>
  <si>
    <t xml:space="preserve">To filter and reduce noise of SPI DIN signal. </t>
  </si>
  <si>
    <t>iiGD board will not be able to carry out SPI communication
SPI DIN will be permanently high.
iiGD board will not be able to send NTC temperature data to iiSC.
ADC output will be permanently high due to pull up resistor. 150°C will be read by firmware.</t>
  </si>
  <si>
    <t>SV104-10529</t>
  </si>
  <si>
    <t>No immediate effect.
SPI DIN will be delivered as it is.</t>
  </si>
  <si>
    <t>SV104-10530</t>
  </si>
  <si>
    <t xml:space="preserve">RS - 422/485 receiver IC U12 SPI_DIN input positive side filter capacitor.
</t>
  </si>
  <si>
    <t>(C61)</t>
  </si>
  <si>
    <t xml:space="preserve">No immediate effect.
Noise may be added to SPI DIN signal. </t>
  </si>
  <si>
    <t>SV104-10531</t>
  </si>
  <si>
    <t>SV104-10532</t>
  </si>
  <si>
    <t xml:space="preserve">RS - 422/485 receiver IC U12 SPI_DIN input negative side filter capacitor.
</t>
  </si>
  <si>
    <t>(C60)</t>
  </si>
  <si>
    <t>SV104-10533</t>
  </si>
  <si>
    <t>Output of IC will be permanently high.
iiGD board will not be able to carry out SPI communication
ADC output will be permanently high due to pull up resistor. 150°C will be read by firmware.</t>
  </si>
  <si>
    <t>SV104-10534</t>
  </si>
  <si>
    <t xml:space="preserve">RS - 422/485 receiver IC U12 SPI_SCLK input filter resistors.
</t>
  </si>
  <si>
    <t>(R75,R77)</t>
  </si>
  <si>
    <t xml:space="preserve">To filter and reduce noise of SPI SCLK signal. </t>
  </si>
  <si>
    <t>iiGD board will not be able to carry out SPI communication
iiGD board will not be able to send NTC temperature data to iiSC.
ADC output will be permanently high due to pull up resistor. 150°C will be read by firmware.</t>
  </si>
  <si>
    <t>SV104-10535</t>
  </si>
  <si>
    <t>No immediate effect.
SPI SCLK signal may get noisy.</t>
  </si>
  <si>
    <t>SV104-10536</t>
  </si>
  <si>
    <t xml:space="preserve">RS - 422/485 receiver IC U12 SPI_SCLK input positive side filter capacitor.
</t>
  </si>
  <si>
    <t>(C94)</t>
  </si>
  <si>
    <t>SV104-10537</t>
  </si>
  <si>
    <t>SV104-10538</t>
  </si>
  <si>
    <t xml:space="preserve">RS - 422/485 receiver IC U12 SPI_SCLK input negative side filter capacitor.
</t>
  </si>
  <si>
    <t>(C91)</t>
  </si>
  <si>
    <t>SV104-10539</t>
  </si>
  <si>
    <t>SV104-10540</t>
  </si>
  <si>
    <t xml:space="preserve">RS - 422/485 receiver IC U12 SPI_CS input filter resistors.
</t>
  </si>
  <si>
    <t>(R83,R85)</t>
  </si>
  <si>
    <t xml:space="preserve">To filter and reduce noise of SPI CS signal. </t>
  </si>
  <si>
    <t>Output of IC will be permanently high.
SPI CS signal will always be high.
iiGD board will not be able to carry out SPI communication
ADC output will be permanently high due to pull up resistor. 150°C will be read by firmware.</t>
  </si>
  <si>
    <t>SV104-10541</t>
  </si>
  <si>
    <t>No immediate effect.
SPI CS signal may get noisy.</t>
  </si>
  <si>
    <t>SV104-10542</t>
  </si>
  <si>
    <t xml:space="preserve">RS - 422/485 receiver IC U12 SPI_CS input positive side filter capacitor.
</t>
  </si>
  <si>
    <t>(C125)</t>
  </si>
  <si>
    <t>SV104-10543</t>
  </si>
  <si>
    <t>SV104-1533</t>
  </si>
  <si>
    <t xml:space="preserve">RS - 422/485 receiver IC U12 SPI_CS input negative side filter capacitor.
</t>
  </si>
  <si>
    <t>(C124)</t>
  </si>
  <si>
    <t>SV104-1534</t>
  </si>
  <si>
    <t>SV104-10544</t>
  </si>
  <si>
    <t xml:space="preserve">RS-422/485 Receiver U12 Input side TVS diode. 
</t>
  </si>
  <si>
    <t>(D37)</t>
  </si>
  <si>
    <t xml:space="preserve">In case of surge event corresponding signals may get distorted. </t>
  </si>
  <si>
    <t>SV104-10545</t>
  </si>
  <si>
    <t xml:space="preserve">Both SPI DIN and SPI SCLK will be permanently high.
iiGD board will not be able to carry out SPI communication.
ADC output will be permanently high due to pull up resistor. 150°C will be read by firmware.
</t>
  </si>
  <si>
    <t>SV104-10546</t>
  </si>
  <si>
    <t>SV104-10547</t>
  </si>
  <si>
    <t xml:space="preserve">RS-422/485 receiver U12 input side TVS diode. 
</t>
  </si>
  <si>
    <t>(D68)</t>
  </si>
  <si>
    <t>SV104-10548</t>
  </si>
  <si>
    <t xml:space="preserve">SPI CS signal will be high.
ADC cannot be selected.
ADC output will be permanently high due to pull up resistor. 150°C will be read by firmware.
</t>
  </si>
  <si>
    <t>SV104-9808</t>
  </si>
  <si>
    <t>SV104-1537</t>
  </si>
  <si>
    <t>RS-422/485 receiver IC U12 enable resistor.</t>
  </si>
  <si>
    <t>R74, R78</t>
  </si>
  <si>
    <t>To enable the output of IC.</t>
  </si>
  <si>
    <t>IC will remained enable due to other resistor.
U1 IC will remain enabled.</t>
  </si>
  <si>
    <t>SV104-1538</t>
  </si>
  <si>
    <t>SV104-1559</t>
  </si>
  <si>
    <t xml:space="preserve">RS485 receiver IC U12 Bus Biasing pull up resistor on pin A1. </t>
  </si>
  <si>
    <t>(R145)</t>
  </si>
  <si>
    <t>SV104-1560</t>
  </si>
  <si>
    <t>Positive side input of IC will be at high state permanently.
Driver IC at the iiSC board will be damaged.
SPI DIN will be permanently high.
iiGD board will not be able to carry out SPI communication
ADC output will be permanently high due to pull up resistor. 150°C will be read by firmware.</t>
  </si>
  <si>
    <t>SV104-1561</t>
  </si>
  <si>
    <t xml:space="preserve">RS485 receiver IC U12 Bus biasing pull down resistor on pin B1. 
</t>
  </si>
  <si>
    <t>(R146)</t>
  </si>
  <si>
    <t>SV104-1562</t>
  </si>
  <si>
    <t>Negative side input of IC will be at low state permanently.
Driver IC at the iiSC board will be damaged.
SPI DIN will be permanently high.
iiGD board will not be able to carry out SPI communication
ADC output will be permanently high due to pull up resistor. 150°C will be read by firmware.</t>
  </si>
  <si>
    <t>SV104-1563</t>
  </si>
  <si>
    <t xml:space="preserve">RS485 receiver IC U12 Bus Biasing pull up resistor on pin A2. </t>
  </si>
  <si>
    <t>(R147)</t>
  </si>
  <si>
    <t>SV104-1564</t>
  </si>
  <si>
    <t>Positive side input of IC will be at high state permanently.
Driver IC at the iiSC board will be damaged.
SPI SCLK will be permanently high.
iiGD board will not be able to carry out SPI communication
ADC output will be permanently high due to pull up resistor. 150°C will be read by firmware.</t>
  </si>
  <si>
    <t>SV104-1565</t>
  </si>
  <si>
    <t xml:space="preserve">RS485 receiver IC U12 Bus Biasing pull down resistor on pin B2. </t>
  </si>
  <si>
    <t>(R148)</t>
  </si>
  <si>
    <t>SV104-1566</t>
  </si>
  <si>
    <t>Negative side input of IC will be at low state permanently.
Driver IC at the iiSC board will be damaged.
SPI SCLK will be permanently high.
iiGD board will not be able to carry out SPI communication
ADC output will be permanently high due to pull up resistor. 150°C will be read by firmware.</t>
  </si>
  <si>
    <t>SV104-1567</t>
  </si>
  <si>
    <t xml:space="preserve">RS485 receiver IC U12 Bus Biasing pull up resistor on pin A3. </t>
  </si>
  <si>
    <t>(R149)</t>
  </si>
  <si>
    <t>SV104-1568</t>
  </si>
  <si>
    <t>Positive side input of IC will be at high state permanently.
Driver IC at the iiSC board will be damaged.
SPI CS will be permanently high.
ADC cannot be selected.
ADC output will be permanently high due to pull up resistor. 150°C will be read by firmware.</t>
  </si>
  <si>
    <t>LCS will be operate on the basis of temperate average of other IGBTs. 
Choosing components with enough FIT rate to fulfill the product life requirements.
Choosing of components with higher ratings (current/voltage).</t>
  </si>
  <si>
    <t>SV104-1569</t>
  </si>
  <si>
    <t xml:space="preserve">RS485 receiver IC U12 Bus Biasing pull down resistor on pin B3. </t>
  </si>
  <si>
    <t>(R150)</t>
  </si>
  <si>
    <t>SV104-1570</t>
  </si>
  <si>
    <t xml:space="preserve">Negative side input of IC will be at low state permanently.
Driver IC at the iiSC board will be damaged.
SPI CS will be permanently high.
ADC will be selected and corresponding temperature will be read by iiSC.
</t>
  </si>
  <si>
    <t>SV104 - 6004</t>
  </si>
  <si>
    <t xml:space="preserve">RS - 422/485 transmitter IC. 
</t>
  </si>
  <si>
    <t>U19 (Channel 1)</t>
  </si>
  <si>
    <t xml:space="preserve">To transmit following RS - 485/422 signals to iiSC board:
Gate PS Fail detect
</t>
  </si>
  <si>
    <t xml:space="preserve">iiSC will sense continuous gate driver power supply fail.
iiSC cannot switch to injection mode.
</t>
  </si>
  <si>
    <t>SV104 - 6005</t>
  </si>
  <si>
    <t>iiSC cannot detect power supply fail of gate driver.
Gate power supply failure protection will be reduced.</t>
  </si>
  <si>
    <t>SV104-16643</t>
  </si>
  <si>
    <t xml:space="preserve">iiSC may sense Gate Power Supply fault and apply fault routine.
iiSC cannot switch to injection mode.
</t>
  </si>
  <si>
    <t>System will keep working normally with reduced injection capability.</t>
  </si>
  <si>
    <t>SV104-16644</t>
  </si>
  <si>
    <t>U19 (Channel 2)</t>
  </si>
  <si>
    <t>To transmit following RS - 485/422 signals to iiSC board:
SPI DOUT</t>
  </si>
  <si>
    <t>iiSC will not be able to sense IGBTs temperature accurately.
DOUT will be permanently high and 150°C temperature of IGBTs will be read by iiSC which will trigger "Over Temperature" fault.</t>
  </si>
  <si>
    <t>SV104-16645</t>
  </si>
  <si>
    <t>iiSC will not be able to sense IGBTs temperature accurately.
DOUT will be low and
-86°C will be read by iiSC.</t>
  </si>
  <si>
    <t>SV104-16646</t>
  </si>
  <si>
    <t>iiSC will not be able to sense IGBTs temperature accurately.
iiSC can not communicate with iiGD properly.
Incorrect Temperature values will be read by firmware which may trigger "Over Temperature" fault.</t>
  </si>
  <si>
    <t>SV104-16647</t>
  </si>
  <si>
    <t>U19 (Channel 3)</t>
  </si>
  <si>
    <t xml:space="preserve">To transmit following RS - 485/422 signals to iiSC board:
Gate Fault U
</t>
  </si>
  <si>
    <t>iiSC can not detect gate fault.
Gate fault is active low. This fault will block the actual gate fault as well.
Gate fault protection will be reduced.</t>
  </si>
  <si>
    <t xml:space="preserve">If GATE Fault occurs, affected MVAr will be bypassed by using CLB as long as the issue persist.
Device will keep working normally with reduced injection capability.
</t>
  </si>
  <si>
    <t>SV104-16648</t>
  </si>
  <si>
    <t xml:space="preserve">iiSC will sense continuous gate fault.
iiSC cannot switch to injection mode.
</t>
  </si>
  <si>
    <t>SV104-16649</t>
  </si>
  <si>
    <t xml:space="preserve">iiSC may sense Gate fault and apply fault routine.
iiSC cannot switch to injection mode.
</t>
  </si>
  <si>
    <t>SV104-16650</t>
  </si>
  <si>
    <t>U19 (Channel 4)</t>
  </si>
  <si>
    <t>To transmit following RS - 485/422 signals to iiSC board:
Gate Fault L</t>
  </si>
  <si>
    <t>iiSC can not detect gate fault.
Gate fault protection will be reduced.</t>
  </si>
  <si>
    <t>SV104-16651</t>
  </si>
  <si>
    <t>SV104-16652</t>
  </si>
  <si>
    <t>SV104 - 6006</t>
  </si>
  <si>
    <t xml:space="preserve">RS- 422/485 transmitter input filter.
</t>
  </si>
  <si>
    <t>(C72,C96)</t>
  </si>
  <si>
    <t xml:space="preserve">To filter and reduce noise of gate fault signals. </t>
  </si>
  <si>
    <t xml:space="preserve">One of the capacitors fails-open.
</t>
  </si>
  <si>
    <t>Corresponding signal's filtration will be compromised.</t>
  </si>
  <si>
    <t xml:space="preserve">Device will stay in monitoring mode.
Choosing components with enough FIT rate to fulfill the product life requirements.
Choosing of components with higher ratings (current/voltage).
</t>
  </si>
  <si>
    <t>SV104 - 6007</t>
  </si>
  <si>
    <t xml:space="preserve">One of the capacitors fails-short.
</t>
  </si>
  <si>
    <t>Permanently gate fault signal will be read by iiSC.</t>
  </si>
  <si>
    <t>SV104-10549</t>
  </si>
  <si>
    <t xml:space="preserve">RS-422/485 transmitter output side TVS diode. </t>
  </si>
  <si>
    <t>(D44)</t>
  </si>
  <si>
    <t>To protect Gate PS fail and Dout signals from surge.</t>
  </si>
  <si>
    <t xml:space="preserve">In case of surge event signals may get distorted. </t>
  </si>
  <si>
    <t>SV104-10550</t>
  </si>
  <si>
    <t>Both Gate PS fail and Dout signals will be read high by iiSC because difference between differential signals will be zero.
Gate PS fail will not be detected by iiSC. But 150°C temperature of IGBTs will be read by iiSC.</t>
  </si>
  <si>
    <t xml:space="preserve">Affected MVAr will be bypassed by using CLB as long as the issue persist.
</t>
  </si>
  <si>
    <t>SV104-10551</t>
  </si>
  <si>
    <t>SV104 - 6008</t>
  </si>
  <si>
    <t xml:space="preserve">RS-422/485 transmitter input side TVS diode.  
</t>
  </si>
  <si>
    <t>(D38)</t>
  </si>
  <si>
    <t>To protect both the gate faults from surge.</t>
  </si>
  <si>
    <t>SV104 - 6009</t>
  </si>
  <si>
    <t>Both Gate fault signals will be read high by iiSC because difference between differential signals will be zero.
Gate fault cannot be detected by iiSC.</t>
  </si>
  <si>
    <t xml:space="preserve">No immediate effect.
Device can operate in both injection and monitoring mode until gate fault occurs.
</t>
  </si>
  <si>
    <t xml:space="preserve">System will keep working normally until gate fault occurs.
</t>
  </si>
  <si>
    <t>SV104-9809</t>
  </si>
  <si>
    <t>Choosing components with enough FIT rate to fulfill the product life requirements.
Choosing of components with higher ratings (current/voltage).
In case gate fault occurs and cannot be read by iiSC. Gate driver IC itself switches corresponding upper/lower IGBTs to off-state.
In case of low line current, there is possibility that DC link is charged up to threshold through diode charging and DC link overvoltage may occur.
In case of high line current, other H-bridge will be overloaded and there is possibility of over temperature indication.</t>
  </si>
  <si>
    <t>SV104-9810</t>
  </si>
  <si>
    <t xml:space="preserve">TX RS485 interface IC and receiver IC supply noise filter capacitor.
</t>
  </si>
  <si>
    <t>C1, C27, C43, C59, C65, C126, C102, C97, C62</t>
  </si>
  <si>
    <t xml:space="preserve">One of the capacitors fails-open. </t>
  </si>
  <si>
    <t xml:space="preserve">No immediate effect. 
</t>
  </si>
  <si>
    <t xml:space="preserve">Device will keep working normally. </t>
  </si>
  <si>
    <t>Multiple capacitors are used in at various places.
Choosing components with enough FIT rate to fulfill the product life requirements.</t>
  </si>
  <si>
    <t>SV104-9811</t>
  </si>
  <si>
    <t xml:space="preserve">One of the capacitors fails-short. </t>
  </si>
  <si>
    <t xml:space="preserve">P5V0_RS485 Rail voltage will be shorted to ground. 
iiGD wont be able to communicate with iiSC.
Fail safe resistors at iiSC RS-485 interface will consider PS fail and gate faults. </t>
  </si>
  <si>
    <t xml:space="preserve">Dielectric failure._x000D_
_x000D_
</t>
  </si>
  <si>
    <t>Affected MVAr will be bypassed using CLB.
Respective MVAr will switch to monitoring mode. 
Choosing components with enough FIT rate to fulfill the product life requirements.</t>
  </si>
  <si>
    <t>Gate Power Supply Fail/
Gate Fault.</t>
  </si>
  <si>
    <t>SV104-9812</t>
  </si>
  <si>
    <t xml:space="preserve">Tx U19 - 1,2EN pin Active high enable pin resistor. 
</t>
  </si>
  <si>
    <t>(R105)</t>
  </si>
  <si>
    <t>To enable the input 1 &amp; 2 of U19 IC.</t>
  </si>
  <si>
    <t>Resistor fails-open.</t>
  </si>
  <si>
    <t>Tx U19 1,2 EN pin will be at low state.
Corresponding outputs Gate PS fail and Dout will be at high impedance state.
Receiver at iiSC will not be able to detect gate PS fail detect and 
-150°C IGBTs temperature will be read by iiSC.</t>
  </si>
  <si>
    <t>Affected MVAr will be bypassed using CLB.
Choosing components with enough FIT rate to fulfil the product life requirements.</t>
  </si>
  <si>
    <t>SV104-9813</t>
  </si>
  <si>
    <t>Resistor fails-short</t>
  </si>
  <si>
    <t>Tx U19 1&amp;2 inputs will remain enabled.</t>
  </si>
  <si>
    <t>SV104-9815</t>
  </si>
  <si>
    <t>SV104-9816</t>
  </si>
  <si>
    <t xml:space="preserve">RS485 interface transmitter pull up resistors.
</t>
  </si>
  <si>
    <t>(R103, R104)</t>
  </si>
  <si>
    <t>To keep the Tx pins to known state during fail safe state.</t>
  </si>
  <si>
    <t>One of the resistors fails open.</t>
  </si>
  <si>
    <t xml:space="preserve">Fail safe state will be compromised.
</t>
  </si>
  <si>
    <t>SV104-9817</t>
  </si>
  <si>
    <t>One of the resistors fails short.</t>
  </si>
  <si>
    <t>iiGD won't be able to detect corresponding gate fault.</t>
  </si>
  <si>
    <t>No immediate effect.
Device will keep working normally until gate fault occurs.</t>
  </si>
  <si>
    <t>if one iiGD isn't able to detect gate fault. It will be detected by other iiGD board.
Choosing components with enough FIT rate to fulfil the product life requirements.</t>
  </si>
  <si>
    <t>iiGD Board - RS485 Interface Section Rev4</t>
  </si>
  <si>
    <t>SV104-10552</t>
  </si>
  <si>
    <t>(U9)</t>
  </si>
  <si>
    <t>To receive RS - 485/422 PWM for upper IGBTs.</t>
  </si>
  <si>
    <t xml:space="preserve">IC fails in such a way that channel's output is constantly high.
</t>
  </si>
  <si>
    <t>SV104-10553</t>
  </si>
  <si>
    <t>SV104-16653</t>
  </si>
  <si>
    <t>Degradation of components.
Bad/refurbished/ counterfeit parts can cause this issue.</t>
  </si>
  <si>
    <t>SV104-10554</t>
  </si>
  <si>
    <t>(U13)</t>
  </si>
  <si>
    <t>To receive RS - 485/422 PWM for lower IGBTs.</t>
  </si>
  <si>
    <t>SV104-10555</t>
  </si>
  <si>
    <t>SV104-16654</t>
  </si>
  <si>
    <t>SV104-9793</t>
  </si>
  <si>
    <t>RS - 422/485 receiver IC .</t>
  </si>
  <si>
    <t>(U15)</t>
  </si>
  <si>
    <t>To receive RS - 485/422 Gate reset signal.</t>
  </si>
  <si>
    <t>SV104-9794</t>
  </si>
  <si>
    <t>SV104-16655</t>
  </si>
  <si>
    <t>RS - 422/485 receiver IC U9 input filter resistors.</t>
  </si>
  <si>
    <t xml:space="preserve">RS - 422/485 receiver IC U9 input positive side filter capacitor.
</t>
  </si>
  <si>
    <t xml:space="preserve">RS - 422/485 receiver IC U9 input negative side filter capacitor.
</t>
  </si>
  <si>
    <t xml:space="preserve">RS - 422/485 receiver IC U13 input filter resistors.
</t>
  </si>
  <si>
    <t xml:space="preserve">RS - 422/485 receiver IC U13 input positive side filter capacitor.
</t>
  </si>
  <si>
    <t xml:space="preserve">RS - 422/485 receiver IC U13 input negative side filter capacitor.
</t>
  </si>
  <si>
    <t xml:space="preserve">RS - 422/485 receiver IC U15 input filter resistors.
</t>
  </si>
  <si>
    <t>In case of gate fault, iiSC will not be able to reset the gate driver IC and Gate driver IC will stuck and corresponding IGBTs will switch to off state until next power cycle.
In case of low line current, there is possibility that DC link is charged up to threshold through diode charging and DC link overvoltage may occur.
In case of high line current, other H-bridge will be overloaded and there is possibility of over temperature indication.
Choosing components with enough FIT rate to fulfill the product life requirements.
Choosing of components with higher ratings (current/voltage).</t>
  </si>
  <si>
    <t xml:space="preserve">Choosing components with enough FIT rate to fulfill the product life requirements.
Choosing of components with higher ratings (current/voltage).
In case of gate fault, iiSC will not be able to reset the gate driver IC and Gate driver IC will stuck and corresponding IGBTs will switch to off state until next power cycle.
In case of low line current, there is possibility that DC link is charged up to threshold through diode charging and DC link overvoltage may occur.
In case of high line current, other H-bridge will be overloaded and there is possibility of over temperature indication.
</t>
  </si>
  <si>
    <t xml:space="preserve">In case of low line current, there is possibility that DC link is charged up to threshold through diode charging and DC link overvoltage may occur.
In case of high line current, other H-bridge will be overloaded and there is possibility of over temperature indication.
Choosing components with enough FIT rate to fulfill the product life requirements.
Choosing of components with higher ratings (current/voltage).
</t>
  </si>
  <si>
    <t>SV104-10556</t>
  </si>
  <si>
    <t xml:space="preserve">RS-422/485 U9 enable resistor. 
</t>
  </si>
  <si>
    <t>(R199)</t>
  </si>
  <si>
    <t>Upper PWM receiver IC will be disabled. 
IGBT gate driver will not be able to drive the upper IGBTs.
Output  of gate driver IC will be floating.</t>
  </si>
  <si>
    <t>SV104-10557</t>
  </si>
  <si>
    <t>U9 IC will remain enabled.</t>
  </si>
  <si>
    <t>SV104-10558</t>
  </si>
  <si>
    <t xml:space="preserve">RS-422/485 U13 enable resistor. 
</t>
  </si>
  <si>
    <t>(R201)</t>
  </si>
  <si>
    <t>Lower PWM receiver IC will be disabled. 
IGBT gate driver will not be able to drive the lower IGBTs.
Output  of gate driver IC will be floating.</t>
  </si>
  <si>
    <t>Choosing components with enough FIT rate to fulfill the product life requirements.
Choosing of components with higher ratings (current/voltage).
When receiver IC output will be low, lower IGBTs of both modules will be OFF. When output of IC is high, lower IGBTs will be ON and when both PWM are high corresponding IGBTs will switch to off state due to shoot-through protection.
Following two cases arise
       -In case of low line current, there is possibility that DC link is charged up to threshold through diode charging and DC link overvoltage may occur.
       -In case of high line current, other H-bridge will be overloaded and there is possibility of over temperature indication.</t>
  </si>
  <si>
    <t>SV104-10559</t>
  </si>
  <si>
    <t>U13 IC will remain enabled.</t>
  </si>
  <si>
    <t>SV104-10560</t>
  </si>
  <si>
    <t xml:space="preserve">RS-422/485 U15 enable resistor. 
</t>
  </si>
  <si>
    <t>(R203)</t>
  </si>
  <si>
    <t>Gate reset receiver IC will be disabled. 
Output of IC will be floating. Pull up resistor will keep gate reset signal at high state.
Gate driver IC cannot be reset.</t>
  </si>
  <si>
    <t>SV104-10561</t>
  </si>
  <si>
    <t>U15 IC will remain enabled.</t>
  </si>
  <si>
    <t xml:space="preserve">RS-422/485 U9 terminating resistor. 
</t>
  </si>
  <si>
    <t xml:space="preserve">RS-422/485 U13 terminating resistor. 
</t>
  </si>
  <si>
    <t xml:space="preserve">RS-422/485 U15 terminating resistors. 
</t>
  </si>
  <si>
    <t>SV104-9802</t>
  </si>
  <si>
    <t>(U18)</t>
  </si>
  <si>
    <t xml:space="preserve">To receive RS - 485/422 
ADC_EN signal receiver IC. </t>
  </si>
  <si>
    <t>SV104-9803</t>
  </si>
  <si>
    <t>SV104-16656</t>
  </si>
  <si>
    <t xml:space="preserve">RS- 422/485 receiver U18 input filter resistors. </t>
  </si>
  <si>
    <t xml:space="preserve">RS- 422/485 receiver U18 input positive side filter capacitor. 
</t>
  </si>
  <si>
    <t xml:space="preserve">RS- 422/485 receiver U18 input negative side filter capacitor. 
</t>
  </si>
  <si>
    <t>SV104 - 5998</t>
  </si>
  <si>
    <t xml:space="preserve">RS-422/485 U18 enable resistors. 
</t>
  </si>
  <si>
    <t>(R207)</t>
  </si>
  <si>
    <t>RS-422 receiver will be disabled. 
Output of IC will be floating but pull down resistor will make ADC permanently enabled.</t>
  </si>
  <si>
    <t>SV104 - 5999</t>
  </si>
  <si>
    <t>IC will be enabled.</t>
  </si>
  <si>
    <t xml:space="preserve">RS-422/485 U18 terminating resistor. 
</t>
  </si>
  <si>
    <t xml:space="preserve">RS485 receiver U9 positive input biasing pull down resistor on pin A.
</t>
  </si>
  <si>
    <t xml:space="preserve">RS485 receiver U9 negative input biasing pull up resistor on pin B.
</t>
  </si>
  <si>
    <t xml:space="preserve">RS485 receiver U13 positive input biasing pull down resistor on pin A.
</t>
  </si>
  <si>
    <t xml:space="preserve">RS485 receiver U13 negative input biasing pull up resistor on pin B.
</t>
  </si>
  <si>
    <t xml:space="preserve">RS485 receiver U15 positive input biasing pull down resistor on pin A.
</t>
  </si>
  <si>
    <t xml:space="preserve">RS485 receiver U15 negative input biasing pull up resistor on pin B.
</t>
  </si>
  <si>
    <t xml:space="preserve">RS485 receiver U18 positive input biasing pull down resistor on pin A.
</t>
  </si>
  <si>
    <t xml:space="preserve">RS485 receiver U18 negative input biasing pull up resistor on pin B.
</t>
  </si>
  <si>
    <t>SV104-10562</t>
  </si>
  <si>
    <t>(U29)</t>
  </si>
  <si>
    <t>SV104-10563</t>
  </si>
  <si>
    <t>SV104-16657</t>
  </si>
  <si>
    <t>SV104-10564</t>
  </si>
  <si>
    <t>(U30)</t>
  </si>
  <si>
    <t xml:space="preserve">To receive RS - 485/422  
SPI_CLK signal and convert them to digital signal. </t>
  </si>
  <si>
    <t>SV104-10565</t>
  </si>
  <si>
    <t>SV104-16658</t>
  </si>
  <si>
    <t>SV104-10566</t>
  </si>
  <si>
    <t>(U31)</t>
  </si>
  <si>
    <t xml:space="preserve">To receive RS - 485/422 
SPI_CS signal and convert them to digital signal. </t>
  </si>
  <si>
    <t>SV104-10567</t>
  </si>
  <si>
    <t>SV104-16659</t>
  </si>
  <si>
    <t xml:space="preserve">RS - 422/485 receiver IC U29 input filter resistors.
</t>
  </si>
  <si>
    <t xml:space="preserve">RS - 422/485 receiver IC U29 input positive side filter capacitor.
</t>
  </si>
  <si>
    <t xml:space="preserve">RS - 422/485 receiver IC U29 input negative side filter capacitor.
</t>
  </si>
  <si>
    <t xml:space="preserve">RS - 422/485 receiver IC U30 input filter resistors.
</t>
  </si>
  <si>
    <t xml:space="preserve">RS - 422/485 receiver IC U30 input positive side filter capacitor.
</t>
  </si>
  <si>
    <t xml:space="preserve">RS - 422/485 receiver IC U30 input negative side filter capacitor.
</t>
  </si>
  <si>
    <t xml:space="preserve">RS - 422/485 receiver IC U31 input filter resistors.
</t>
  </si>
  <si>
    <t xml:space="preserve">RS - 422/485 receiver IC U31 input positive side filter capacitor.
</t>
  </si>
  <si>
    <t xml:space="preserve">RS - 422/485 receiver IC U31 input negative side filter capacitor.
</t>
  </si>
  <si>
    <t xml:space="preserve">RS-422/485 Receiver Input side TVS diode. 
</t>
  </si>
  <si>
    <t xml:space="preserve">RS-422/485 receiver 2 input side TVS diode. 
</t>
  </si>
  <si>
    <t>SV104-10568</t>
  </si>
  <si>
    <t xml:space="preserve">RS-422/485 U29 enable resistor. 
</t>
  </si>
  <si>
    <t>(R209)</t>
  </si>
  <si>
    <t>SV104-10569</t>
  </si>
  <si>
    <t>SV104-10570</t>
  </si>
  <si>
    <t xml:space="preserve">RS-422/485 U30 enable resistor. </t>
  </si>
  <si>
    <t>(R211)</t>
  </si>
  <si>
    <t>SV104-10571</t>
  </si>
  <si>
    <t>SV104-10572</t>
  </si>
  <si>
    <t xml:space="preserve">RS-422/485 U31 enable resistor. 
</t>
  </si>
  <si>
    <t>(R213)</t>
  </si>
  <si>
    <t>SV104-10573</t>
  </si>
  <si>
    <t xml:space="preserve">RS485 receiver IC U29 Bus Biasing pull up resistor on pin A. </t>
  </si>
  <si>
    <t xml:space="preserve">RS485 receiver IC U29 Bus biasing pull down resistor on pin B. 
</t>
  </si>
  <si>
    <t xml:space="preserve">RS485 receiver IC U30 Bus Biasing pull up resistor on pin A. </t>
  </si>
  <si>
    <t xml:space="preserve">RS485 receiver IC U30 Bus Biasing pull down resistor on pin B. </t>
  </si>
  <si>
    <t xml:space="preserve">RS485 receiver IC U31 Bus Biasing pull up resistor on pin A. </t>
  </si>
  <si>
    <t xml:space="preserve">RS485 receiver IC U31 Bus Biasing pull down resistor on pin B. </t>
  </si>
  <si>
    <t>To transmit following RS - 485/422 signals to iiSC board:
Gate PS Fail detect</t>
  </si>
  <si>
    <t>SV104-16660</t>
  </si>
  <si>
    <t>SV104-16661</t>
  </si>
  <si>
    <t>SV104-16662</t>
  </si>
  <si>
    <t>SV104-16663</t>
  </si>
  <si>
    <t>SV104-16664</t>
  </si>
  <si>
    <t>To transmit following RS - 485/422 signals to iiSC board:
Gate Fault U</t>
  </si>
  <si>
    <t>SV104-16665</t>
  </si>
  <si>
    <t>SV104-16666</t>
  </si>
  <si>
    <t>SV104-16667</t>
  </si>
  <si>
    <t>SV104-16668</t>
  </si>
  <si>
    <t>SV104-16669</t>
  </si>
  <si>
    <t>(C102,C171,C172,C173,C174,C176, C177, C178)</t>
  </si>
  <si>
    <t>SV104-10574</t>
  </si>
  <si>
    <t xml:space="preserve">Tx U19 - 1,2EN Active low enable pin resistor. 
</t>
  </si>
  <si>
    <t>(R216)</t>
  </si>
  <si>
    <t>SV104-10575</t>
  </si>
  <si>
    <t>SV104-9814</t>
  </si>
  <si>
    <t xml:space="preserve">Tx U19 - 3,4EN Active high enable pin resistor. 
</t>
  </si>
  <si>
    <t>(R214)</t>
  </si>
  <si>
    <t>To enable the input 3 &amp; 4 of U19 IC.</t>
  </si>
  <si>
    <t>Tx U19 3,4 EN pin will be at low state.
Corresponding outputs Upper and lower gate faults will be at impedance state.
Receiver at iiSC will not be able to detect gate faults.</t>
  </si>
  <si>
    <t>SV104-10576</t>
  </si>
  <si>
    <t xml:space="preserve">Tx U19 -3,4EN Active low enable pin resistor. 
</t>
  </si>
  <si>
    <t>(R215)</t>
  </si>
  <si>
    <t>SV104-10577</t>
  </si>
  <si>
    <t xml:space="preserve">In case gate fault occurs and cannot be read by iiSC. Gate driver IC itself switches corresponding upper/lower IGBTs to off-state.
In case of low line current, there is possibility that DC link is charged up to threshold through diode charging and DC link overvoltage may occur.
In case of high line current, other H-bridge will be overloaded and there is possibility of over temperature indication.
Choosing of components with higher ratings (current/voltage).
</t>
  </si>
  <si>
    <t>iiGD Board - Power Section</t>
  </si>
  <si>
    <t>iiGD Board - 5V and NTC Power</t>
  </si>
  <si>
    <t>SV104 - 10458</t>
  </si>
  <si>
    <t>5:6 Isolation Transformer</t>
  </si>
  <si>
    <t>T3</t>
  </si>
  <si>
    <t xml:space="preserve"> To isolate power and convert incoming 14.7 VAC to 17.6 VAC</t>
  </si>
  <si>
    <t xml:space="preserve">Shortage of winding in transformer.
</t>
  </si>
  <si>
    <t>5 V rail will not be available.
Communication of iiGD with iiSC will be stopped.
Fail Safe resistors at RS-485 iiGD interface will generate gate fault and PS fail fault.</t>
  </si>
  <si>
    <t xml:space="preserve">Affected MVAr will be bypassed using CLB.
Choosing components with enough FIT rate to fulfill the product life requirements.
</t>
  </si>
  <si>
    <t>SV104-1573</t>
  </si>
  <si>
    <t xml:space="preserve">5 V DC Buck converter IC.
</t>
  </si>
  <si>
    <t>(U5)</t>
  </si>
  <si>
    <t xml:space="preserve">To regulate the 5 V DC. </t>
  </si>
  <si>
    <t>Rectified unregulated supply i.e. 16.1 V will be available at the output of IC.
All the IC taking Vcc as 5V will get damaged including RS-485 receivers and drivers.
Communication of iiGD with iiSC will be stopped.
Fail Safe resistors at RS-485 iiGD interface will generate gate fault and PS fail fault.</t>
  </si>
  <si>
    <t>SV104-1574</t>
  </si>
  <si>
    <t>5 V rail will not be available. 
Communication of iiGD with iiSC will be stopped.
Fail Safe resistors at RS-485 iiGD interface will generate gate fault and PS fail fault.</t>
  </si>
  <si>
    <t>SV104-1575</t>
  </si>
  <si>
    <t xml:space="preserve">Rectifier Diodes.
</t>
  </si>
  <si>
    <t>(D1,D3,D26,D25)</t>
  </si>
  <si>
    <t>To rectify the AC signal to DC.</t>
  </si>
  <si>
    <t xml:space="preserve">One of the diodes fails-open.
</t>
  </si>
  <si>
    <t>No immediate effect.
5 voltage supply will be available.</t>
  </si>
  <si>
    <t xml:space="preserve">Device can work both in injection mode as well as in monitoring mode.
</t>
  </si>
  <si>
    <t>SV104-1576</t>
  </si>
  <si>
    <t>Output of transformer will get shorted.
5V rail will not be available.
Communication of iiGD with iiSC will be stopped.
Fail Safe resistors at RS-485 iiGD interface will generate gate fault and PS fail fault.</t>
  </si>
  <si>
    <t>SV104-1577</t>
  </si>
  <si>
    <t xml:space="preserve">Input side-filter capacitors.
</t>
  </si>
  <si>
    <t>(C147,C148,C149)</t>
  </si>
  <si>
    <t>To remove harmonics from the rectifier output.</t>
  </si>
  <si>
    <t xml:space="preserve">Filtration capability will be reduced. </t>
  </si>
  <si>
    <t xml:space="preserve">Redundant capacitors are used. 
Choosing components with enough FIT rate to fulfill the product life requirements.
Choosing of components with higher ratings (current/voltage).
</t>
  </si>
  <si>
    <t>SV104-4817</t>
  </si>
  <si>
    <t>DC rail will be shorted to ground. 
5V rail will not be available. 
Communication of iiGD with iiSC will be stopped.
Fail Safe resistors at RS-485 iiGD interface will generate gate fault and PS fail fault.</t>
  </si>
  <si>
    <t>SV104 - 10459</t>
  </si>
  <si>
    <t>Load Resistor</t>
  </si>
  <si>
    <t>R170</t>
  </si>
  <si>
    <t>Load Resistor (Good Practice)</t>
  </si>
  <si>
    <t>SV104 - 10460</t>
  </si>
  <si>
    <t>SV104 - 10461</t>
  </si>
  <si>
    <t>Jumper</t>
  </si>
  <si>
    <t>JMP1</t>
  </si>
  <si>
    <t>Jumper fails open.</t>
  </si>
  <si>
    <t>SV104-1579</t>
  </si>
  <si>
    <t xml:space="preserve">Buck converter input side -inductor.
</t>
  </si>
  <si>
    <t>(L5)</t>
  </si>
  <si>
    <t xml:space="preserve">To remove the current fluctuations. </t>
  </si>
  <si>
    <t xml:space="preserve">Inductor fails-open.
</t>
  </si>
  <si>
    <t>Input path of buck regulator will be broken.
5V rail will not be available. 
Communication of iiGD with iiSC will be stopped.
Fail Safe resistors at RS-485 iiGD interface will generate gate fault and PS fail fault.</t>
  </si>
  <si>
    <t xml:space="preserve">Over current._x000D_
_x000D_
Thermal stress_x000D_
_x000D_
Corrosion/bad internal solder joints._x000D_
</t>
  </si>
  <si>
    <t>SV104-1580</t>
  </si>
  <si>
    <t xml:space="preserve">Inductor fails-short._x000D_
</t>
  </si>
  <si>
    <t xml:space="preserve">Current fluctuations may affect the buck converter. </t>
  </si>
  <si>
    <t>SV104-1581</t>
  </si>
  <si>
    <t xml:space="preserve">Buck converter-Enable voltage divider resistor.
</t>
  </si>
  <si>
    <t>(R6,R22)</t>
  </si>
  <si>
    <t xml:space="preserve">To divide the voltage. </t>
  </si>
  <si>
    <t xml:space="preserve">Buck converter will be disabled.
5 V rail will not be available.
Communication of iiGD with iiSC will be stopped.
Fail Safe resistors at RS-485 iiGD interface will generate gate fault and PS fail fault.
</t>
  </si>
  <si>
    <t>SV104-1582</t>
  </si>
  <si>
    <t>Higher side resistor fails-short.</t>
  </si>
  <si>
    <t xml:space="preserve">16V will be available at EN pin of buck regulator.
Internal Zener diode at EN pin will be shorted and regulator will be disabled.
5 V rail will not be available.
Communication of iiGD with iiSC will be stopped.
Fail Safe resistors at RS-485 iiGD interface will generate gate fault and PS fail fault.
</t>
  </si>
  <si>
    <t>SV104 - 6012</t>
  </si>
  <si>
    <t xml:space="preserve">Regulator will be disabled.
5 V rail will not be available.
Communication of iiGD with iiSC will be stopped.
Fail Safe resistors at RS-485 iiGD interface will generate gate fault and PS fail fault.
</t>
  </si>
  <si>
    <t>SV104 - 6013</t>
  </si>
  <si>
    <t>Lower side resistor fails-short.</t>
  </si>
  <si>
    <t xml:space="preserve">Regulator will be disabled.
5 V rail will not be available.
Communication of iiGD with iiSC will be stopped.
Fail Safe resistors at RS-485 iiGD interface will generate gate fault and PS fail fault.
</t>
  </si>
  <si>
    <t>SV104-1583</t>
  </si>
  <si>
    <t xml:space="preserve">Buck converter -Compensation network.
</t>
  </si>
  <si>
    <t>(R21,C19,C18)</t>
  </si>
  <si>
    <t>To adjust the loop bandwidth and tailors the frequency response</t>
  </si>
  <si>
    <t xml:space="preserve">Over Voltage._x000D_
_x000D_
Over Current._x000D_
_x000D_
Thermal Heating._x000D_
</t>
  </si>
  <si>
    <t>SV104 - 6014</t>
  </si>
  <si>
    <t>SV104 - 6015</t>
  </si>
  <si>
    <t>One of the capacitor fails-short.</t>
  </si>
  <si>
    <t xml:space="preserve">Overvoltage._x000D_
_x000D_
Overcurrent._x000D_
 </t>
  </si>
  <si>
    <t>SV104-1584</t>
  </si>
  <si>
    <t>One of the capacitor fails-open.</t>
  </si>
  <si>
    <t>SV104-1585</t>
  </si>
  <si>
    <t xml:space="preserve">Buck converter output side inductor.
</t>
  </si>
  <si>
    <t>(L3)</t>
  </si>
  <si>
    <t>To provide voltage when upper MOSFET is off.</t>
  </si>
  <si>
    <t>Inductor fails short.</t>
  </si>
  <si>
    <t xml:space="preserve">Over Current._x000D_
_x000D_
Thermal Stress._x000D_
</t>
  </si>
  <si>
    <t>SV104-1586</t>
  </si>
  <si>
    <t>Inductor fails open.</t>
  </si>
  <si>
    <t>SV104-1589</t>
  </si>
  <si>
    <t xml:space="preserve">Buck converter output side - Recovery diode.
</t>
  </si>
  <si>
    <t>(D27)</t>
  </si>
  <si>
    <t>To appear inductor voltage at output when upper MOSFET is off.</t>
  </si>
  <si>
    <t>SV104-1590</t>
  </si>
  <si>
    <t>SV104-10578</t>
  </si>
  <si>
    <t xml:space="preserve">Buck converter output side- filter capacitor.
</t>
  </si>
  <si>
    <t>(C14,C15,C16,C17)</t>
  </si>
  <si>
    <t>To filter out the output of regulator.</t>
  </si>
  <si>
    <t>One of the capacitors fails-open.</t>
  </si>
  <si>
    <t>No immediate effect.
Filtration will be reduced.</t>
  </si>
  <si>
    <t>SV104-1591</t>
  </si>
  <si>
    <t>One of the capacitors fails-short.</t>
  </si>
  <si>
    <t>SV104-1592</t>
  </si>
  <si>
    <t xml:space="preserve">Buck Converter-Feedback voltage divider resistor network.
</t>
  </si>
  <si>
    <t>(R8,R24)</t>
  </si>
  <si>
    <t>To provide output voltage feedback.</t>
  </si>
  <si>
    <t xml:space="preserve">Ground will be present at reference pin.
Regulator will try to maximize the output to Vin voltage.
All the IC taking Vcc as 5V will get damaged including RS-485 receivers and drivers.
Communication of iiGD with iiSC will be stopped.
Fail Safe resistors at RS-485 iiGD interface will generate gate fault and PS fail fault.
</t>
  </si>
  <si>
    <t>SV104 - 6016</t>
  </si>
  <si>
    <t>5V rail will be at 0.8V.
Communication of iiGD with iiSC will be stopped.
Fail Safe resistors at RS-485 iiGD interface will generate gate fault and PS fail fault.</t>
  </si>
  <si>
    <t>SV104 - 6017</t>
  </si>
  <si>
    <t>SV104-1593</t>
  </si>
  <si>
    <t>SV104 - 10463</t>
  </si>
  <si>
    <t>5V rail Indication LED resistor</t>
  </si>
  <si>
    <t>R7</t>
  </si>
  <si>
    <t>To limit current for LED</t>
  </si>
  <si>
    <t>LED indication for 5V rail will not be available.</t>
  </si>
  <si>
    <t xml:space="preserve">No immediate effect device will keep working normally.
</t>
  </si>
  <si>
    <t>SV104 - 10464</t>
  </si>
  <si>
    <t>High current will pass through LED and it will get damaged causing an open circuit.
LED indication for 5V rail will not be available.</t>
  </si>
  <si>
    <t>SV104 - 10465</t>
  </si>
  <si>
    <t>5V rail Indication LED</t>
  </si>
  <si>
    <t>D28</t>
  </si>
  <si>
    <t>Indication of 5VDC</t>
  </si>
  <si>
    <t>LED fails open.</t>
  </si>
  <si>
    <t>SV104 - 10466</t>
  </si>
  <si>
    <t>LED fails short.</t>
  </si>
  <si>
    <t>SV104-4824</t>
  </si>
  <si>
    <t xml:space="preserve">Buck converter input side- filter resistor.
</t>
  </si>
  <si>
    <t>(R154)</t>
  </si>
  <si>
    <t>To filter the harmonics on the input side.</t>
  </si>
  <si>
    <t>SV104-4825</t>
  </si>
  <si>
    <t>SV104 - 10467</t>
  </si>
  <si>
    <t>RC Filter- Capacitors</t>
  </si>
  <si>
    <t>C8, C9, C10, C11</t>
  </si>
  <si>
    <t xml:space="preserve">Choosing components with enough FIT rate to fulfill the product life requirements.
</t>
  </si>
  <si>
    <t>SV104 - 10468</t>
  </si>
  <si>
    <t>SV104-4826</t>
  </si>
  <si>
    <t xml:space="preserve">Buck converter input side - external clock resistor.
</t>
  </si>
  <si>
    <t>(R23)</t>
  </si>
  <si>
    <t xml:space="preserve">To control the switching frequency of the buck converter. </t>
  </si>
  <si>
    <t>Switching frequency of Buck converter will be disturbed. 
5 V rail will not be available.
Communication of iiGD with iiSC will be stopped.
Fail Safe resistors at RS-485 iiGD interface will generate gate fault and PS fail fault.</t>
  </si>
  <si>
    <t>SV104-4827</t>
  </si>
  <si>
    <t>SV104 - 10470</t>
  </si>
  <si>
    <t>Buck Convertor - Bootstrap Capacitor</t>
  </si>
  <si>
    <t>C7</t>
  </si>
  <si>
    <t>Bootstrapping to provide gate drive voltage.</t>
  </si>
  <si>
    <t>SV104 - 10471</t>
  </si>
  <si>
    <t>SV104-4828</t>
  </si>
  <si>
    <t>(C93,C4,C5,C6)</t>
  </si>
  <si>
    <t>To filter the output voltage.</t>
  </si>
  <si>
    <t>SV104-4829</t>
  </si>
  <si>
    <t>SV104-4830</t>
  </si>
  <si>
    <t xml:space="preserve">Buck converter input side-jumper resistor.
</t>
  </si>
  <si>
    <t>(JMP1)</t>
  </si>
  <si>
    <t>For fault debugging purposes.</t>
  </si>
  <si>
    <t xml:space="preserve">Jumper fails-open.
</t>
  </si>
  <si>
    <t>SV104-1594</t>
  </si>
  <si>
    <t xml:space="preserve">NTC- Supply-Isolation Chip.
</t>
  </si>
  <si>
    <t>(U8)</t>
  </si>
  <si>
    <t>To generate the isolated supply.</t>
  </si>
  <si>
    <t>IC failure.</t>
  </si>
  <si>
    <t>Isolated supply for NTC isolator and NTC sensing circuit will not be available. 
NTC reading can not be send to iiSC.
-86°C temperature of IGBTs will be read by iiSC.</t>
  </si>
  <si>
    <t xml:space="preserve">No immediate effect.
Device will keep working normally.
</t>
  </si>
  <si>
    <t>SV104-1595</t>
  </si>
  <si>
    <t xml:space="preserve">NTC-Isolator enable MOSFET.
</t>
  </si>
  <si>
    <t>(Q28)</t>
  </si>
  <si>
    <t>To enable the isolator.</t>
  </si>
  <si>
    <t xml:space="preserve">MOSFET  fails-open.
</t>
  </si>
  <si>
    <t xml:space="preserve">Isolated supply will be permanent enabled. 
</t>
  </si>
  <si>
    <t>SV104-1571</t>
  </si>
  <si>
    <t xml:space="preserve">MOSFET  fails-short between source and drain.
</t>
  </si>
  <si>
    <t>SV104-1572</t>
  </si>
  <si>
    <t xml:space="preserve">NTC-Isolator output side ferrite bead.
</t>
  </si>
  <si>
    <t>(FB1)</t>
  </si>
  <si>
    <t>To avoid fluctuations in output current.</t>
  </si>
  <si>
    <t xml:space="preserve">ferrite bead fails-open.
</t>
  </si>
  <si>
    <t>SV104-4818</t>
  </si>
  <si>
    <t xml:space="preserve">ferrite bead fails-short.
</t>
  </si>
  <si>
    <t xml:space="preserve">Fluctuations in output current may occur. </t>
  </si>
  <si>
    <t>SV104-4819</t>
  </si>
  <si>
    <t xml:space="preserve">NTC-Isolator output side- Load resistor.
</t>
  </si>
  <si>
    <t>(R49)</t>
  </si>
  <si>
    <t>To add the loading effect</t>
  </si>
  <si>
    <t xml:space="preserve">No immediate effect.
Fluctuations in output voltage may occur. </t>
  </si>
  <si>
    <t>SV104-4820</t>
  </si>
  <si>
    <t xml:space="preserve">Resistor fails-short. </t>
  </si>
  <si>
    <t>SV104-4821</t>
  </si>
  <si>
    <t xml:space="preserve">NTC-3v3 V regulator IC. 
</t>
  </si>
  <si>
    <t>(U2/U14)</t>
  </si>
  <si>
    <t xml:space="preserve">To regulate the 3v3 V DC. </t>
  </si>
  <si>
    <t xml:space="preserve">One of the ICs fails in such a way that output is always low.
</t>
  </si>
  <si>
    <t xml:space="preserve">3v3 V rail will not be available. 
One of the NTC output will not be available. </t>
  </si>
  <si>
    <t>If one module doesn't detect temperature, other module can detect temperature of parallel IGBTs.
Choosing components with enough FIT rate to fulfill the product life requirements.
Choosing of components with higher ratings (current/voltage).</t>
  </si>
  <si>
    <t xml:space="preserve">NTC reading difference alarm between two IGBTs should be reported on user interface if not implemented yet.  </t>
  </si>
  <si>
    <t>SV104-4822</t>
  </si>
  <si>
    <t xml:space="preserve">NTC-3v3 V output side- filter capacitor.
</t>
  </si>
  <si>
    <t>U2(C53,C54,C119)
U14(C63,C64,C120)</t>
  </si>
  <si>
    <t>To filter the output.</t>
  </si>
  <si>
    <t>SV104-4823</t>
  </si>
  <si>
    <t>Corresponding 3V3 rail will not be available. 
One module NTC reading won't be available.</t>
  </si>
  <si>
    <t>IGBT Power supply (Upper and Lower)</t>
  </si>
  <si>
    <t>SV104-4831</t>
  </si>
  <si>
    <t>Upper (D34,D45,D46,D47)
Lower(D48,D49,D50,D51)</t>
  </si>
  <si>
    <t xml:space="preserve">No immediate effect.
Both VCC and VEE will be available.
</t>
  </si>
  <si>
    <t>AC voltage across the MVAr (Primary Voltage) can be used to verify the switching of IGBTs.</t>
  </si>
  <si>
    <t>SV104-4832</t>
  </si>
  <si>
    <t xml:space="preserve">One of the diodes fails-short.
</t>
  </si>
  <si>
    <t>Corresponding diode will conduct in both cycles.
Output of transformer will be shorted.
Both VCC and VEE will not be available.
Gate PS fail will be detected.</t>
  </si>
  <si>
    <t>SV104-10579</t>
  </si>
  <si>
    <t xml:space="preserve">VCC Filter capacitors.
</t>
  </si>
  <si>
    <t>Upper(C70,C71,C73)
Lower(C77,C78,C79)</t>
  </si>
  <si>
    <t>To remove harmonics from the rectified output.</t>
  </si>
  <si>
    <t>SV104-10580</t>
  </si>
  <si>
    <t>Respective upper/lower VCC rail will not be available.
Gate PS fail will be detected.</t>
  </si>
  <si>
    <t xml:space="preserve">
Choosing components with enough FIT rate to fulfill the product life requirements.
Choosing of components with higher ratings (current/voltage).
</t>
  </si>
  <si>
    <t>SV104-4833</t>
  </si>
  <si>
    <t xml:space="preserve">VEE Filter capacitors.
</t>
  </si>
  <si>
    <t>Upper(C74,C75,C76)
Lower(C87,C88,C89)</t>
  </si>
  <si>
    <t>SV104-4834</t>
  </si>
  <si>
    <t>VEE will not be available.</t>
  </si>
  <si>
    <t xml:space="preserve">No immediate effect.
Device will keep working normally. 
But due to Miller effect, partial shoot-through may occur and IGBTs may heat up and over temperature may be observed.
</t>
  </si>
  <si>
    <t>SV104 - 10472</t>
  </si>
  <si>
    <t xml:space="preserve">Jumper </t>
  </si>
  <si>
    <t>Upper(JMP3)
Lower(JMP7)</t>
  </si>
  <si>
    <t>DC rail will not be available. 
VCC rail will not be available.
Gate PS fail will be detected.</t>
  </si>
  <si>
    <t>SV104 - 10473</t>
  </si>
  <si>
    <t>Upper(R91) 
Lower(R93)</t>
  </si>
  <si>
    <t xml:space="preserve">No immediate effect.
Both VCC and VEE will be available.
</t>
  </si>
  <si>
    <t>SV104 - 10474</t>
  </si>
  <si>
    <t>+18V and -18V will be shorted to each other.
VCC and VEE rail will not be available.
Gate PS fail will be detected.</t>
  </si>
  <si>
    <t>SV104 - 10475</t>
  </si>
  <si>
    <t>U16, U17 Input filter capacitors</t>
  </si>
  <si>
    <t>Upper (C81, C82)
Lower (C89 ,C90)</t>
  </si>
  <si>
    <t>SV104 - 10476</t>
  </si>
  <si>
    <t xml:space="preserve">-8 V rail will be shorted to ground. 
IGBTs can be turned OFF at ground potential.
</t>
  </si>
  <si>
    <t>SV104-4835</t>
  </si>
  <si>
    <t xml:space="preserve"> - 8 V regulator IC. 
</t>
  </si>
  <si>
    <t>Upper (U16)
Lower (U17)</t>
  </si>
  <si>
    <t>To regulate - 8 V.</t>
  </si>
  <si>
    <t xml:space="preserve">IC fails in such a way that input is shorted to output.
</t>
  </si>
  <si>
    <t xml:space="preserve"> -18 V is applied to VEE.
No effect as IGBTs can bear -20V.
</t>
  </si>
  <si>
    <t xml:space="preserve">No immediate effect.
Device can operate in both injection and monitoring mode until IGBT is keep working normally.
</t>
  </si>
  <si>
    <t xml:space="preserve">Choosing components with enough FIT rate to fulfill the product life requirements.
</t>
  </si>
  <si>
    <t>SV104-4836</t>
  </si>
  <si>
    <t xml:space="preserve">-8 V rail will not be available.
IGBTs can be turned OFF at ground potential.
</t>
  </si>
  <si>
    <t>SV104-4837</t>
  </si>
  <si>
    <t xml:space="preserve"> - 8 V regulator-Filter capacitor.
</t>
  </si>
  <si>
    <t>Upper (C80,C66,C67)
Lower (C85,C83,C84)</t>
  </si>
  <si>
    <t>For output filtration.</t>
  </si>
  <si>
    <t>Choosing components with enough FIT rate to fulfill the product life requirements._x000D_
_x000D_
Choosing of components with higher ratings (current/voltage).</t>
  </si>
  <si>
    <t>SV104-4838</t>
  </si>
  <si>
    <t>SV104-4839</t>
  </si>
  <si>
    <t xml:space="preserve">Schottky diode parallel to -8V regulator.
</t>
  </si>
  <si>
    <t>Upper (D36)
Lower (D39)</t>
  </si>
  <si>
    <t>To protect against reverse current.</t>
  </si>
  <si>
    <t xml:space="preserve">Protection against reverse current will be reduced. </t>
  </si>
  <si>
    <t>SV104-4840</t>
  </si>
  <si>
    <t xml:space="preserve">No immediate effect.
Device will keep working normally. 
</t>
  </si>
  <si>
    <t>SV104-4841</t>
  </si>
  <si>
    <t xml:space="preserve"> - 8 V regulator output Schottky diode.
</t>
  </si>
  <si>
    <t>Upper (D35)
Lower (D41)</t>
  </si>
  <si>
    <t xml:space="preserve">To protect the IC against reverse current. </t>
  </si>
  <si>
    <t xml:space="preserve">Reverse current protection will be reduced. 
-8 V regulator may get damaged due to reverse current. </t>
  </si>
  <si>
    <t>SV104-4842</t>
  </si>
  <si>
    <t>Diode fails-short.</t>
  </si>
  <si>
    <t>SV104 - 10477</t>
  </si>
  <si>
    <t>+18V VCCU rail Indication LED resistor</t>
  </si>
  <si>
    <t>R135</t>
  </si>
  <si>
    <t>LED indication for 18V rail will not be available.</t>
  </si>
  <si>
    <t>SV104 - 10478</t>
  </si>
  <si>
    <t>High current will pass through LED and it will get damaged causing an open circuit.
LED indication for 18V rail will not be available.</t>
  </si>
  <si>
    <t>SV104 - 10479</t>
  </si>
  <si>
    <t>+18V VCCU rail Indication LED</t>
  </si>
  <si>
    <t>D30</t>
  </si>
  <si>
    <t>Indication of 18 VDC</t>
  </si>
  <si>
    <t>SV104 - 10480</t>
  </si>
  <si>
    <t>SV104 - 10481</t>
  </si>
  <si>
    <t>-8V VEEU rail Indication LED resistor</t>
  </si>
  <si>
    <t>R136</t>
  </si>
  <si>
    <t>LED indication for -8V rail will not be available.</t>
  </si>
  <si>
    <t>SV104 - 10482</t>
  </si>
  <si>
    <t>High current will pass through LED and it will get damaged causing an open circuit.
LED indication for -8V rail will not be available.</t>
  </si>
  <si>
    <t>SV104 - 10483</t>
  </si>
  <si>
    <t>D31</t>
  </si>
  <si>
    <t>Indication of -8 VDC</t>
  </si>
  <si>
    <t>SV104 - 10484</t>
  </si>
  <si>
    <t>SV104-4843</t>
  </si>
  <si>
    <t xml:space="preserve">Gate power supply failure detection-opt isolator.
</t>
  </si>
  <si>
    <t>Upper (U23)
Lower (U26)</t>
  </si>
  <si>
    <t>To isolate the voltage and detect failure.</t>
  </si>
  <si>
    <t xml:space="preserve">IC fails in such a way that output is always low. 
</t>
  </si>
  <si>
    <t>Gate PS fail cannot be detected.</t>
  </si>
  <si>
    <t xml:space="preserve">No immediate effect until  power supply fails.
Device can operate in both injection and monitoring mode.
</t>
  </si>
  <si>
    <t xml:space="preserve">Degradation of Components._x000D_
_x000D_
Thermal Stress._x000D_
</t>
  </si>
  <si>
    <t>SV104 - 6018</t>
  </si>
  <si>
    <t xml:space="preserve">IC fails in such a way that output is always high. 
</t>
  </si>
  <si>
    <t>Gate PS fail will be sent to iiSC.</t>
  </si>
  <si>
    <t>SV104 - 6019</t>
  </si>
  <si>
    <t xml:space="preserve">Opto isolator input side diode.
</t>
  </si>
  <si>
    <t>Upper (D13)
Lower (D15)</t>
  </si>
  <si>
    <t>Safety diode.</t>
  </si>
  <si>
    <t xml:space="preserve">No immediate effect. </t>
  </si>
  <si>
    <t>SV104 - 6020</t>
  </si>
  <si>
    <t>Power supply fail will not be detected.</t>
  </si>
  <si>
    <t>In case of lower/upper diode failure, upper/lower circuit would detect PS fail.
Choosing components with enough FIT rate to fulfill the product life requirements.
Choosing of components with higher ratings (current/voltage).</t>
  </si>
  <si>
    <t>SV104-4844</t>
  </si>
  <si>
    <t xml:space="preserve">Opto isolator input side Zener diode.
</t>
  </si>
  <si>
    <t>Upper (D2)
Lower (D14)</t>
  </si>
  <si>
    <t xml:space="preserve">To set the optocoupler enabling threshold to 14.4 V. </t>
  </si>
  <si>
    <t>Upper/lower Power supply fail will not be detected.</t>
  </si>
  <si>
    <t xml:space="preserve">In case of lower/upper diode failure, upper/lower circuit would detect PS fail.
Choosing components with enough FIT rate to fulfill the product life requirements.
Choosing of components with higher ratings (current/voltage).
</t>
  </si>
  <si>
    <t>SV104-4845</t>
  </si>
  <si>
    <t xml:space="preserve">PS fail would be detected when rail would drop to 1.4 V.  </t>
  </si>
  <si>
    <t xml:space="preserve">Gate driver IC can detect voltage drop of VCC and will OFF the corresponding IGBTs in case of supply fail.
Choosing components with enough FIT rate to fulfill the product life requirements.
Choosing of components with higher ratings (current/voltage).
</t>
  </si>
  <si>
    <t>SV104 - 10485</t>
  </si>
  <si>
    <t>Current limiting Resistor</t>
  </si>
  <si>
    <t>Upper (R56) 
Lower (R61)</t>
  </si>
  <si>
    <t>Opto-coupler could not be driven.
False Gate Power supply failure will be detected.</t>
  </si>
  <si>
    <t>SV104 - 10486</t>
  </si>
  <si>
    <t>No immediate effect.
Threshold will be reduced to 14.16 V.</t>
  </si>
  <si>
    <t>SV104 - 10487</t>
  </si>
  <si>
    <t>Voltage Divider Circuit - Resistor</t>
  </si>
  <si>
    <t>Upper (R60)
Lower (R65)</t>
  </si>
  <si>
    <t>Opto-coupler will be damaged.
Pull up resistor at output side will trigger gate PS fail.</t>
  </si>
  <si>
    <t>SV104 - 10488</t>
  </si>
  <si>
    <t>PS failure detection of other gate driver can be used to detect the fault. 
Choosing components with enough FIT rate to fulfill the product life requirements.
Choosing of components with higher ratings (current/voltage).</t>
  </si>
  <si>
    <t>SV104 - 10489</t>
  </si>
  <si>
    <t>Opto-Coupler IC Supply Filter Capacitor</t>
  </si>
  <si>
    <t>(C69)</t>
  </si>
  <si>
    <t>SV104 - 10490</t>
  </si>
  <si>
    <t>5V0 will be shorted to ground.
Communication of iiGD with iiSC will be stopped.
Fail safe resistors at iiSC RS485 receivers will detect Gate fault and gate PS fail.</t>
  </si>
  <si>
    <t xml:space="preserve">Affected device and its associated group of devices will transit to monitoring mode.
System will keep working with reduced injection capability.
</t>
  </si>
  <si>
    <t>SV104 - 10491</t>
  </si>
  <si>
    <t>Opto coupler output line biasing resistor</t>
  </si>
  <si>
    <t>Upper (R59)
Lower (R64)</t>
  </si>
  <si>
    <t>To bias output of opto-coupler.</t>
  </si>
  <si>
    <t>Output signal of opto-coupler will constantly remain LOW.
GATE_PS_FAL_DETECT will constantly be HIGH.
Gate PS failure will not be detected.</t>
  </si>
  <si>
    <t xml:space="preserve">No immediate effect.
Device can operate in both injection and monitoring mode as far as there is no GATE PS failure.
</t>
  </si>
  <si>
    <t xml:space="preserve">System will keep working normally as far as there is no GATE PS failure..
</t>
  </si>
  <si>
    <t xml:space="preserve">PS failure detection of other gate driver can be used to detect the fault. 
Choosing components with enough FIT rate to fulfill the product life requirements.
Choosing of components with higher ratings (current/voltage).
</t>
  </si>
  <si>
    <t>SV104 - 10492</t>
  </si>
  <si>
    <t>GATE_PS_FAiL_DETECT will become LOW.
False PS fail will be detected.</t>
  </si>
  <si>
    <t xml:space="preserve">Affected device and its associated group of devices will keep working normally until fault is detected. 
System will keep working with reduced injection capability.
</t>
  </si>
  <si>
    <t xml:space="preserve">Gate supply failure detection of other gate driver can be used to detect the fault. 
Choosing components with enough FIT rate to fulfill the product life requirements.
Choosing of components with higher ratings (current/voltage).
</t>
  </si>
  <si>
    <t>SV104 - 10493</t>
  </si>
  <si>
    <t>Gate PS failure detect Q10/Q12 biasing resistor</t>
  </si>
  <si>
    <t>Upper (R58)
Lower (R63)</t>
  </si>
  <si>
    <t>To bias Q10/Q12 MOSFET to drive the 
GATE_PS1_FAIL_DETECT output</t>
  </si>
  <si>
    <t>GATE_PS_FAIL_DETECT will be floating.
False Gate Power supply failure will be detected.</t>
  </si>
  <si>
    <t>SV104 - 10494</t>
  </si>
  <si>
    <t>GATE_PS_FAIL_DETECT will constantly be HIGH.
When actually gate PS fail will occur 5V supply will be shorted to ground.
Communication of iiGD with iiSC will be stopped.
Fail Safe resistors at RS-485 iiGD interface will generate gate fault and PS fail fault.</t>
  </si>
  <si>
    <t>SV104-4846</t>
  </si>
  <si>
    <t xml:space="preserve">Opto isolator output side MOSFET.
</t>
  </si>
  <si>
    <t>Upper (Q10)
Lower (Q12)</t>
  </si>
  <si>
    <t>To provide ground.</t>
  </si>
  <si>
    <t>MOSFET fails-short.</t>
  </si>
  <si>
    <t xml:space="preserve">Power supply fail will be detected all the time. 
</t>
  </si>
  <si>
    <t xml:space="preserve">Degradation of Component._x000D_
_x000D_
Thermal Stress._x000D_
_x000D_
Over Current._x000D_
</t>
  </si>
  <si>
    <t xml:space="preserve">Fault will be detected by the other module.
Device will stay in monitoring mode.
Choosing components with enough FIT rate to fulfill the product life requirements.
Choosing of components with higher ratings (current/voltage).
</t>
  </si>
  <si>
    <t>SV104-4847</t>
  </si>
  <si>
    <t>MOSFET fails-open.</t>
  </si>
  <si>
    <t xml:space="preserve">Upper/lower PS fail cannot be detected.
</t>
  </si>
  <si>
    <t>SV104-4849</t>
  </si>
  <si>
    <t xml:space="preserve">IGBT Rectifier input side - transformer.
</t>
  </si>
  <si>
    <t xml:space="preserve">Upper (T1)
Lower (T2) </t>
  </si>
  <si>
    <t>To provide isolation and to step up the voltage.</t>
  </si>
  <si>
    <t xml:space="preserve">Output voltage of transformer  won't be available.
18 V will not be produced.
Gate PS fail will detected.
</t>
  </si>
  <si>
    <t xml:space="preserve">High voltage spike._x000D_
_x000D_
Conductive contaminants._x000D_
_x000D_
Vibrating coil wires._x000D_
</t>
  </si>
  <si>
    <t>Reference Designator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</si>
</sst>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ont>
    <font>
      <sz val="10"/>
      <name val="Arial"/>
      <family val="2"/>
    </font>
    <font>
      <b/>
      <sz val="12"/>
      <name val="Arial"/>
      <family val="2"/>
    </font>
    <font>
      <b/>
      <i/>
      <sz val="16"/>
      <color theme="0"/>
      <name val="Arial"/>
      <family val="2"/>
    </font>
    <font>
      <b/>
      <i/>
      <sz val="16"/>
      <name val="Arial"/>
      <family val="2"/>
    </font>
    <font>
      <sz val="10"/>
      <color theme="1"/>
      <name val="Arial"/>
      <family val="2"/>
    </font>
    <font>
      <b/>
      <sz val="18"/>
      <color rgb="FFFF0000"/>
      <name val="Arial"/>
      <family val="2"/>
    </font>
    <font>
      <sz val="10"/>
      <color rgb="FF9C6500"/>
      <name val="Arial"/>
      <family val="2"/>
    </font>
    <font>
      <b/>
      <sz val="10"/>
      <color indexed="81"/>
      <name val="Arial"/>
      <family val="2"/>
    </font>
    <font>
      <sz val="10"/>
      <color indexed="81"/>
      <name val="Arial"/>
      <family val="2"/>
    </font>
  </fonts>
  <fills count="10">
    <fill>
      <patternFill patternType="none"/>
    </fill>
    <fill>
      <patternFill patternType="gray125"/>
    </fill>
    <fill>
      <patternFill patternType="solid">
        <fgColor rgb="FFFFEB9C"/>
      </patternFill>
    </fill>
    <fill>
      <patternFill patternType="solid">
        <fgColor rgb="FFFFFF00"/>
        <bgColor indexed="64"/>
      </patternFill>
    </fill>
    <fill>
      <patternFill patternType="solid">
        <fgColor indexed="22"/>
        <bgColor indexed="64"/>
      </patternFill>
    </fill>
    <fill>
      <patternFill patternType="solid">
        <fgColor theme="0"/>
        <bgColor indexed="64"/>
      </patternFill>
    </fill>
    <fill>
      <patternFill patternType="solid">
        <fgColor rgb="FF314672"/>
        <bgColor indexed="64"/>
      </patternFill>
    </fill>
    <fill>
      <patternFill patternType="solid">
        <fgColor rgb="FFFFFFFF"/>
        <bgColor rgb="FF000000"/>
      </patternFill>
    </fill>
    <fill>
      <patternFill patternType="solid">
        <fgColor rgb="FF00B0F0"/>
        <bgColor indexed="64"/>
      </patternFill>
    </fill>
    <fill>
      <patternFill patternType="solid">
        <fgColor theme="3" tint="0.79998168889431442"/>
        <bgColor indexed="64"/>
      </patternFill>
    </fill>
  </fills>
  <borders count="56">
    <border>
      <left/>
      <right/>
      <top/>
      <bottom/>
      <diagonal/>
    </border>
    <border>
      <left/>
      <right style="thin">
        <color theme="1"/>
      </right>
      <top style="thin">
        <color theme="1"/>
      </top>
      <bottom/>
      <diagonal/>
    </border>
    <border>
      <left style="thin">
        <color theme="1"/>
      </left>
      <right style="thin">
        <color indexed="64"/>
      </right>
      <top/>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diagonal/>
    </border>
    <border>
      <left/>
      <right style="thin">
        <color indexed="64"/>
      </right>
      <top style="medium">
        <color indexed="64"/>
      </top>
      <bottom style="double">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right style="thin">
        <color theme="1"/>
      </right>
      <top/>
      <bottom/>
      <diagonal/>
    </border>
    <border>
      <left style="thin">
        <color theme="1"/>
      </left>
      <right style="thin">
        <color indexed="64"/>
      </right>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double">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medium">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medium">
        <color indexed="64"/>
      </bottom>
      <diagonal/>
    </border>
    <border>
      <left/>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3">
    <xf numFmtId="0" fontId="0" fillId="0" borderId="0"/>
    <xf numFmtId="0" fontId="7" fillId="2" borderId="0" applyNumberFormat="0" applyBorder="0" applyAlignment="0" applyProtection="0"/>
    <xf numFmtId="0" fontId="1" fillId="0" borderId="0"/>
  </cellStyleXfs>
  <cellXfs count="223">
    <xf numFmtId="0" fontId="0" fillId="0" borderId="0" xfId="0"/>
    <xf numFmtId="0" fontId="2" fillId="0" borderId="0" xfId="2" applyFont="1" applyAlignment="1">
      <alignment horizontal="center" vertical="center" wrapText="1"/>
    </xf>
    <xf numFmtId="0" fontId="2" fillId="0" borderId="0" xfId="2" applyFont="1"/>
    <xf numFmtId="0" fontId="2" fillId="0" borderId="21" xfId="2" applyFont="1" applyBorder="1" applyAlignment="1">
      <alignment horizontal="center" vertical="center" wrapText="1"/>
    </xf>
    <xf numFmtId="0" fontId="2" fillId="0" borderId="22" xfId="2" applyFont="1" applyBorder="1" applyAlignment="1">
      <alignment horizontal="center" vertical="center" wrapText="1"/>
    </xf>
    <xf numFmtId="0" fontId="2" fillId="0" borderId="23" xfId="2" applyFont="1" applyBorder="1" applyAlignment="1">
      <alignment horizontal="center" vertical="center" wrapText="1"/>
    </xf>
    <xf numFmtId="0" fontId="2" fillId="0" borderId="26" xfId="2" applyFont="1" applyBorder="1" applyAlignment="1">
      <alignment horizontal="center" vertical="center" wrapText="1"/>
    </xf>
    <xf numFmtId="0" fontId="2" fillId="0" borderId="27" xfId="2" applyFont="1" applyBorder="1" applyAlignment="1">
      <alignment horizontal="center" vertical="center" wrapText="1"/>
    </xf>
    <xf numFmtId="0" fontId="2" fillId="0" borderId="22" xfId="2" applyFont="1" applyBorder="1" applyAlignment="1">
      <alignment horizontal="center" vertical="center" textRotation="180"/>
    </xf>
    <xf numFmtId="0" fontId="2" fillId="4" borderId="23" xfId="2" applyFont="1" applyFill="1" applyBorder="1" applyAlignment="1">
      <alignment horizontal="center" vertical="center" textRotation="180"/>
    </xf>
    <xf numFmtId="0" fontId="1" fillId="5" borderId="30" xfId="2" applyFill="1" applyBorder="1" applyAlignment="1">
      <alignment horizontal="center" vertical="center"/>
    </xf>
    <xf numFmtId="0" fontId="3" fillId="6" borderId="31" xfId="2" applyFont="1" applyFill="1" applyBorder="1" applyAlignment="1">
      <alignment vertical="top"/>
    </xf>
    <xf numFmtId="0" fontId="3" fillId="6" borderId="32" xfId="2" applyFont="1" applyFill="1" applyBorder="1" applyAlignment="1">
      <alignment horizontal="center" vertical="top"/>
    </xf>
    <xf numFmtId="0" fontId="4" fillId="6" borderId="32" xfId="2" applyFont="1" applyFill="1" applyBorder="1" applyAlignment="1">
      <alignment vertical="top"/>
    </xf>
    <xf numFmtId="0" fontId="3" fillId="6" borderId="32" xfId="2" applyFont="1" applyFill="1" applyBorder="1" applyAlignment="1">
      <alignment vertical="top"/>
    </xf>
    <xf numFmtId="0" fontId="4" fillId="6" borderId="32" xfId="2" applyFont="1" applyFill="1" applyBorder="1" applyAlignment="1">
      <alignment horizontal="center" vertical="center"/>
    </xf>
    <xf numFmtId="0" fontId="4" fillId="6" borderId="33" xfId="2" applyFont="1" applyFill="1" applyBorder="1" applyAlignment="1">
      <alignment vertical="top"/>
    </xf>
    <xf numFmtId="0" fontId="1" fillId="0" borderId="0" xfId="2"/>
    <xf numFmtId="0" fontId="1" fillId="0" borderId="0" xfId="2" applyAlignment="1">
      <alignment vertical="center"/>
    </xf>
    <xf numFmtId="0" fontId="1" fillId="0" borderId="34" xfId="2" applyBorder="1" applyAlignment="1">
      <alignment horizontal="center" vertical="center"/>
    </xf>
    <xf numFmtId="0" fontId="4" fillId="4" borderId="31" xfId="2" applyFont="1" applyFill="1" applyBorder="1" applyAlignment="1">
      <alignment horizontal="left" vertical="top"/>
    </xf>
    <xf numFmtId="0" fontId="4" fillId="4" borderId="32" xfId="2" applyFont="1" applyFill="1" applyBorder="1" applyAlignment="1">
      <alignment horizontal="center" vertical="top"/>
    </xf>
    <xf numFmtId="0" fontId="4" fillId="4" borderId="32" xfId="2" applyFont="1" applyFill="1" applyBorder="1" applyAlignment="1">
      <alignment horizontal="left" vertical="top"/>
    </xf>
    <xf numFmtId="0" fontId="4" fillId="4" borderId="32" xfId="2" applyFont="1" applyFill="1" applyBorder="1" applyAlignment="1">
      <alignment horizontal="center" vertical="center"/>
    </xf>
    <xf numFmtId="0" fontId="4" fillId="4" borderId="33" xfId="2" applyFont="1" applyFill="1" applyBorder="1" applyAlignment="1">
      <alignment horizontal="left" vertical="top"/>
    </xf>
    <xf numFmtId="0" fontId="1" fillId="5" borderId="37" xfId="2" applyFill="1" applyBorder="1" applyAlignment="1">
      <alignment vertical="top" wrapText="1"/>
    </xf>
    <xf numFmtId="0" fontId="1" fillId="5" borderId="38" xfId="2" applyFill="1" applyBorder="1" applyAlignment="1">
      <alignment vertical="top" wrapText="1"/>
    </xf>
    <xf numFmtId="0" fontId="1" fillId="5" borderId="39" xfId="2" applyFill="1" applyBorder="1" applyAlignment="1">
      <alignment horizontal="center" vertical="top" wrapText="1"/>
    </xf>
    <xf numFmtId="0" fontId="1" fillId="5" borderId="40" xfId="2" applyFill="1" applyBorder="1" applyAlignment="1">
      <alignment vertical="top" wrapText="1"/>
    </xf>
    <xf numFmtId="0" fontId="1" fillId="5" borderId="41" xfId="2" applyFill="1" applyBorder="1" applyAlignment="1">
      <alignment vertical="top" wrapText="1"/>
    </xf>
    <xf numFmtId="0" fontId="1" fillId="5" borderId="34" xfId="2" applyFill="1" applyBorder="1" applyAlignment="1">
      <alignment horizontal="left" vertical="top" wrapText="1"/>
    </xf>
    <xf numFmtId="1" fontId="1" fillId="4" borderId="42" xfId="2" applyNumberFormat="1" applyFill="1" applyBorder="1" applyAlignment="1">
      <alignment horizontal="left" vertical="top" wrapText="1"/>
    </xf>
    <xf numFmtId="0" fontId="1" fillId="5" borderId="40" xfId="2" applyFill="1" applyBorder="1" applyAlignment="1">
      <alignment horizontal="left" vertical="top" wrapText="1"/>
    </xf>
    <xf numFmtId="0" fontId="1" fillId="5" borderId="41" xfId="2" applyFill="1" applyBorder="1" applyAlignment="1">
      <alignment horizontal="left" vertical="top" wrapText="1"/>
    </xf>
    <xf numFmtId="1" fontId="1" fillId="5" borderId="34" xfId="2" applyNumberFormat="1" applyFill="1" applyBorder="1" applyAlignment="1">
      <alignment horizontal="left" vertical="top" wrapText="1"/>
    </xf>
    <xf numFmtId="0" fontId="1" fillId="5" borderId="43" xfId="2" applyFill="1" applyBorder="1" applyAlignment="1">
      <alignment horizontal="left" vertical="top" wrapText="1"/>
    </xf>
    <xf numFmtId="0" fontId="1" fillId="0" borderId="37" xfId="2" applyBorder="1" applyAlignment="1">
      <alignment horizontal="center" vertical="center" wrapText="1"/>
    </xf>
    <xf numFmtId="0" fontId="1" fillId="0" borderId="37" xfId="2" applyBorder="1" applyAlignment="1">
      <alignment horizontal="left" vertical="top" wrapText="1"/>
    </xf>
    <xf numFmtId="0" fontId="1" fillId="0" borderId="44" xfId="2" applyBorder="1" applyAlignment="1">
      <alignment horizontal="left" vertical="top" wrapText="1"/>
    </xf>
    <xf numFmtId="0" fontId="1" fillId="0" borderId="38" xfId="2" applyBorder="1" applyAlignment="1">
      <alignment horizontal="left" vertical="top" wrapText="1"/>
    </xf>
    <xf numFmtId="0" fontId="1" fillId="4" borderId="24" xfId="2" applyFill="1" applyBorder="1" applyAlignment="1">
      <alignment horizontal="left" vertical="top" wrapText="1"/>
    </xf>
    <xf numFmtId="0" fontId="1" fillId="0" borderId="45" xfId="2" applyBorder="1" applyAlignment="1">
      <alignment vertical="center"/>
    </xf>
    <xf numFmtId="0" fontId="1" fillId="5" borderId="34" xfId="2" applyFill="1" applyBorder="1" applyAlignment="1">
      <alignment horizontal="center" vertical="top" wrapText="1"/>
    </xf>
    <xf numFmtId="0" fontId="1" fillId="0" borderId="30" xfId="2" applyBorder="1" applyAlignment="1">
      <alignment horizontal="center" vertical="center"/>
    </xf>
    <xf numFmtId="0" fontId="1" fillId="5" borderId="19" xfId="2" applyFill="1" applyBorder="1" applyAlignment="1">
      <alignment horizontal="center" vertical="top" wrapText="1"/>
    </xf>
    <xf numFmtId="1" fontId="1" fillId="5" borderId="42" xfId="2" applyNumberFormat="1" applyFill="1" applyBorder="1" applyAlignment="1">
      <alignment horizontal="left" vertical="top" wrapText="1"/>
    </xf>
    <xf numFmtId="0" fontId="1" fillId="5" borderId="43" xfId="2" applyFill="1" applyBorder="1" applyAlignment="1">
      <alignment horizontal="center" vertical="top" wrapText="1"/>
    </xf>
    <xf numFmtId="0" fontId="1" fillId="5" borderId="28" xfId="2" applyFill="1" applyBorder="1" applyAlignment="1">
      <alignment horizontal="center" vertical="top" wrapText="1"/>
    </xf>
    <xf numFmtId="0" fontId="1" fillId="0" borderId="46" xfId="2" applyBorder="1" applyAlignment="1">
      <alignment vertical="top" wrapText="1"/>
    </xf>
    <xf numFmtId="0" fontId="1" fillId="0" borderId="47" xfId="0" applyFont="1" applyBorder="1" applyAlignment="1">
      <alignment horizontal="left" vertical="top" wrapText="1"/>
    </xf>
    <xf numFmtId="0" fontId="1" fillId="0" borderId="46" xfId="2" applyBorder="1" applyAlignment="1">
      <alignment horizontal="center" vertical="center" wrapText="1"/>
    </xf>
    <xf numFmtId="0" fontId="1" fillId="0" borderId="46" xfId="2" applyBorder="1" applyAlignment="1">
      <alignment horizontal="left" vertical="top" wrapText="1"/>
    </xf>
    <xf numFmtId="0" fontId="1" fillId="0" borderId="47" xfId="2" applyBorder="1" applyAlignment="1">
      <alignment horizontal="left" vertical="top" wrapText="1"/>
    </xf>
    <xf numFmtId="0" fontId="1" fillId="0" borderId="41" xfId="2" applyBorder="1" applyAlignment="1">
      <alignment horizontal="left" vertical="top" wrapText="1"/>
    </xf>
    <xf numFmtId="0" fontId="1" fillId="5" borderId="22" xfId="2" applyFill="1" applyBorder="1" applyAlignment="1">
      <alignment horizontal="center" vertical="top" wrapText="1"/>
    </xf>
    <xf numFmtId="0" fontId="1" fillId="5" borderId="37" xfId="2" applyFill="1" applyBorder="1" applyAlignment="1">
      <alignment horizontal="center" vertical="top" wrapText="1"/>
    </xf>
    <xf numFmtId="0" fontId="1" fillId="5" borderId="49" xfId="2" applyFill="1" applyBorder="1" applyAlignment="1">
      <alignment horizontal="center" vertical="top" wrapText="1"/>
    </xf>
    <xf numFmtId="0" fontId="1" fillId="0" borderId="45" xfId="2" applyBorder="1" applyAlignment="1">
      <alignment vertical="center" wrapText="1"/>
    </xf>
    <xf numFmtId="0" fontId="1" fillId="0" borderId="0" xfId="2" applyAlignment="1">
      <alignment wrapText="1"/>
    </xf>
    <xf numFmtId="0" fontId="1" fillId="0" borderId="0" xfId="2" applyAlignment="1">
      <alignment vertical="top"/>
    </xf>
    <xf numFmtId="0" fontId="0" fillId="0" borderId="46" xfId="0" applyBorder="1" applyAlignment="1">
      <alignment horizontal="left" vertical="top" wrapText="1"/>
    </xf>
    <xf numFmtId="0" fontId="1" fillId="0" borderId="50" xfId="2" applyBorder="1" applyAlignment="1">
      <alignment horizontal="center" vertical="center"/>
    </xf>
    <xf numFmtId="0" fontId="1" fillId="5" borderId="46" xfId="2" applyFill="1" applyBorder="1" applyAlignment="1">
      <alignment horizontal="left" vertical="top" wrapText="1"/>
    </xf>
    <xf numFmtId="0" fontId="1" fillId="0" borderId="0" xfId="2" applyAlignment="1">
      <alignment horizontal="left" vertical="top"/>
    </xf>
    <xf numFmtId="0" fontId="5" fillId="5" borderId="38" xfId="2" applyFont="1" applyFill="1" applyBorder="1" applyAlignment="1">
      <alignment vertical="top" wrapText="1"/>
    </xf>
    <xf numFmtId="0" fontId="1" fillId="0" borderId="45" xfId="2" applyBorder="1" applyAlignment="1">
      <alignment horizontal="left" vertical="top"/>
    </xf>
    <xf numFmtId="0" fontId="1" fillId="5" borderId="37" xfId="2" applyFill="1" applyBorder="1" applyAlignment="1">
      <alignment horizontal="left" vertical="top" wrapText="1"/>
    </xf>
    <xf numFmtId="0" fontId="1" fillId="0" borderId="36" xfId="2" applyBorder="1" applyAlignment="1">
      <alignment horizontal="left" vertical="top" wrapText="1"/>
    </xf>
    <xf numFmtId="0" fontId="1" fillId="0" borderId="36" xfId="2" applyBorder="1" applyAlignment="1">
      <alignment horizontal="center" vertical="top" wrapText="1"/>
    </xf>
    <xf numFmtId="0" fontId="1" fillId="0" borderId="34" xfId="2" applyBorder="1" applyAlignment="1">
      <alignment horizontal="center" vertical="top" wrapText="1"/>
    </xf>
    <xf numFmtId="0" fontId="1" fillId="0" borderId="40" xfId="2" applyBorder="1" applyAlignment="1">
      <alignment vertical="top" wrapText="1"/>
    </xf>
    <xf numFmtId="0" fontId="1" fillId="0" borderId="34" xfId="2" applyBorder="1" applyAlignment="1">
      <alignment horizontal="left" vertical="top" wrapText="1"/>
    </xf>
    <xf numFmtId="0" fontId="1" fillId="0" borderId="40" xfId="2" applyBorder="1" applyAlignment="1">
      <alignment horizontal="left" vertical="top" wrapText="1"/>
    </xf>
    <xf numFmtId="0" fontId="1" fillId="0" borderId="46" xfId="2" applyBorder="1" applyAlignment="1">
      <alignment horizontal="center" vertical="center"/>
    </xf>
    <xf numFmtId="0" fontId="1" fillId="5" borderId="46" xfId="2" applyFill="1" applyBorder="1" applyAlignment="1">
      <alignment vertical="top" wrapText="1"/>
    </xf>
    <xf numFmtId="0" fontId="1" fillId="0" borderId="19" xfId="2" applyBorder="1" applyAlignment="1">
      <alignment horizontal="center" vertical="top" wrapText="1"/>
    </xf>
    <xf numFmtId="0" fontId="6" fillId="0" borderId="40" xfId="2" applyFont="1" applyBorder="1" applyAlignment="1">
      <alignment horizontal="left" vertical="top" wrapText="1"/>
    </xf>
    <xf numFmtId="0" fontId="1" fillId="0" borderId="43" xfId="2" applyBorder="1" applyAlignment="1">
      <alignment horizontal="center" vertical="top" wrapText="1"/>
    </xf>
    <xf numFmtId="0" fontId="1" fillId="0" borderId="24" xfId="2" applyBorder="1" applyAlignment="1">
      <alignment horizontal="left" vertical="top" wrapText="1"/>
    </xf>
    <xf numFmtId="0" fontId="1" fillId="0" borderId="35" xfId="2" applyBorder="1" applyAlignment="1">
      <alignment horizontal="center" vertical="top" wrapText="1"/>
    </xf>
    <xf numFmtId="0" fontId="1" fillId="0" borderId="28" xfId="2" applyBorder="1" applyAlignment="1">
      <alignment horizontal="center" vertical="top" wrapText="1"/>
    </xf>
    <xf numFmtId="0" fontId="1" fillId="7" borderId="46" xfId="0" applyFont="1" applyFill="1" applyBorder="1" applyAlignment="1">
      <alignment vertical="top" wrapText="1"/>
    </xf>
    <xf numFmtId="0" fontId="1" fillId="7" borderId="53" xfId="0" applyFont="1" applyFill="1" applyBorder="1" applyAlignment="1">
      <alignment horizontal="left" vertical="top" wrapText="1"/>
    </xf>
    <xf numFmtId="0" fontId="1" fillId="0" borderId="27" xfId="2" applyBorder="1" applyAlignment="1">
      <alignment horizontal="center" vertical="top" wrapText="1"/>
    </xf>
    <xf numFmtId="0" fontId="4" fillId="4" borderId="54" xfId="2" applyFont="1" applyFill="1" applyBorder="1" applyAlignment="1">
      <alignment horizontal="left" vertical="top"/>
    </xf>
    <xf numFmtId="0" fontId="4" fillId="4" borderId="55" xfId="2" applyFont="1" applyFill="1" applyBorder="1" applyAlignment="1">
      <alignment horizontal="center" vertical="top"/>
    </xf>
    <xf numFmtId="0" fontId="4" fillId="4" borderId="55" xfId="2" applyFont="1" applyFill="1" applyBorder="1" applyAlignment="1">
      <alignment horizontal="left" vertical="top"/>
    </xf>
    <xf numFmtId="0" fontId="1" fillId="0" borderId="37" xfId="2" applyBorder="1" applyAlignment="1">
      <alignment vertical="top" wrapText="1"/>
    </xf>
    <xf numFmtId="0" fontId="1" fillId="0" borderId="38" xfId="2" applyBorder="1" applyAlignment="1">
      <alignment vertical="top" wrapText="1"/>
    </xf>
    <xf numFmtId="1" fontId="1" fillId="0" borderId="42" xfId="2" applyNumberFormat="1" applyBorder="1" applyAlignment="1">
      <alignment horizontal="left" vertical="top" wrapText="1"/>
    </xf>
    <xf numFmtId="0" fontId="1" fillId="5" borderId="31" xfId="2" applyFill="1" applyBorder="1" applyAlignment="1">
      <alignment horizontal="left" vertical="top" wrapText="1"/>
    </xf>
    <xf numFmtId="1" fontId="1" fillId="8" borderId="34" xfId="2" applyNumberFormat="1" applyFill="1" applyBorder="1" applyAlignment="1">
      <alignment horizontal="left" vertical="top" wrapText="1"/>
    </xf>
    <xf numFmtId="0" fontId="1" fillId="0" borderId="39" xfId="2" applyBorder="1" applyAlignment="1">
      <alignment horizontal="center" vertical="top" wrapText="1"/>
    </xf>
    <xf numFmtId="0" fontId="1" fillId="0" borderId="41" xfId="2" applyBorder="1" applyAlignment="1">
      <alignment vertical="top" wrapText="1"/>
    </xf>
    <xf numFmtId="0" fontId="1" fillId="0" borderId="31" xfId="2" applyBorder="1" applyAlignment="1">
      <alignment horizontal="left" vertical="top" wrapText="1"/>
    </xf>
    <xf numFmtId="0" fontId="1" fillId="5" borderId="46" xfId="2" applyFill="1" applyBorder="1" applyAlignment="1">
      <alignment horizontal="center" vertical="center" wrapText="1"/>
    </xf>
    <xf numFmtId="0" fontId="1" fillId="5" borderId="47" xfId="2" applyFill="1" applyBorder="1" applyAlignment="1">
      <alignment horizontal="left" vertical="top" wrapText="1"/>
    </xf>
    <xf numFmtId="1" fontId="1" fillId="3" borderId="34" xfId="2" applyNumberFormat="1" applyFill="1" applyBorder="1" applyAlignment="1">
      <alignment horizontal="left" vertical="top" wrapText="1"/>
    </xf>
    <xf numFmtId="0" fontId="1" fillId="5" borderId="0" xfId="2" applyFill="1"/>
    <xf numFmtId="0" fontId="1" fillId="5" borderId="45" xfId="2" applyFill="1" applyBorder="1" applyAlignment="1">
      <alignment vertical="center"/>
    </xf>
    <xf numFmtId="0" fontId="1" fillId="3" borderId="0" xfId="2" applyFill="1"/>
    <xf numFmtId="0" fontId="1" fillId="0" borderId="38" xfId="1" applyFont="1" applyFill="1" applyBorder="1" applyAlignment="1">
      <alignment horizontal="left" vertical="top" wrapText="1"/>
    </xf>
    <xf numFmtId="0" fontId="1" fillId="0" borderId="46" xfId="2" applyBorder="1" applyAlignment="1">
      <alignment horizontal="center" vertical="top" wrapText="1"/>
    </xf>
    <xf numFmtId="1" fontId="1" fillId="0" borderId="46" xfId="2" applyNumberFormat="1" applyBorder="1" applyAlignment="1">
      <alignment horizontal="left" vertical="top" wrapText="1"/>
    </xf>
    <xf numFmtId="0" fontId="1" fillId="0" borderId="28" xfId="2" applyBorder="1" applyAlignment="1">
      <alignment horizontal="left" vertical="top" wrapText="1"/>
    </xf>
    <xf numFmtId="0" fontId="1" fillId="0" borderId="35" xfId="2" applyBorder="1" applyAlignment="1">
      <alignment horizontal="left" vertical="top" wrapText="1"/>
    </xf>
    <xf numFmtId="0" fontId="1" fillId="0" borderId="26" xfId="2" applyBorder="1" applyAlignment="1">
      <alignment horizontal="left" vertical="top" wrapText="1"/>
    </xf>
    <xf numFmtId="0" fontId="1" fillId="0" borderId="37" xfId="2" applyBorder="1" applyAlignment="1">
      <alignment horizontal="center" vertical="top" wrapText="1"/>
    </xf>
    <xf numFmtId="0" fontId="4" fillId="9" borderId="31" xfId="2" applyFont="1" applyFill="1" applyBorder="1" applyAlignment="1">
      <alignment horizontal="left" vertical="top"/>
    </xf>
    <xf numFmtId="0" fontId="4" fillId="9" borderId="32" xfId="2" applyFont="1" applyFill="1" applyBorder="1" applyAlignment="1">
      <alignment horizontal="center" vertical="top"/>
    </xf>
    <xf numFmtId="0" fontId="4" fillId="9" borderId="32" xfId="2" applyFont="1" applyFill="1" applyBorder="1" applyAlignment="1">
      <alignment horizontal="left" vertical="top"/>
    </xf>
    <xf numFmtId="0" fontId="4" fillId="9" borderId="32" xfId="2" applyFont="1" applyFill="1" applyBorder="1" applyAlignment="1">
      <alignment horizontal="center" vertical="center"/>
    </xf>
    <xf numFmtId="0" fontId="4" fillId="9" borderId="33" xfId="2" applyFont="1" applyFill="1" applyBorder="1" applyAlignment="1">
      <alignment horizontal="left" vertical="top"/>
    </xf>
    <xf numFmtId="1" fontId="1" fillId="8" borderId="42" xfId="2" applyNumberFormat="1" applyFill="1" applyBorder="1" applyAlignment="1">
      <alignment horizontal="left" vertical="top" wrapText="1"/>
    </xf>
    <xf numFmtId="0" fontId="1" fillId="0" borderId="26" xfId="0" applyFont="1" applyBorder="1" applyAlignment="1">
      <alignment horizontal="left" vertical="top" wrapText="1"/>
    </xf>
    <xf numFmtId="0" fontId="1" fillId="5" borderId="46" xfId="2" applyFill="1" applyBorder="1" applyAlignment="1">
      <alignment horizontal="center" vertical="top" wrapText="1"/>
    </xf>
    <xf numFmtId="0" fontId="1" fillId="5" borderId="28" xfId="2" applyFill="1" applyBorder="1" applyAlignment="1">
      <alignment horizontal="left" vertical="top" wrapText="1"/>
    </xf>
    <xf numFmtId="0" fontId="1" fillId="5" borderId="22" xfId="2" applyFill="1" applyBorder="1" applyAlignment="1">
      <alignment horizontal="left" vertical="top" wrapText="1"/>
    </xf>
    <xf numFmtId="0" fontId="5" fillId="5" borderId="37" xfId="2" applyFont="1" applyFill="1" applyBorder="1" applyAlignment="1">
      <alignment vertical="top" wrapText="1"/>
    </xf>
    <xf numFmtId="0" fontId="1" fillId="5" borderId="28" xfId="2" applyFill="1" applyBorder="1" applyAlignment="1">
      <alignment vertical="top" wrapText="1"/>
    </xf>
    <xf numFmtId="1" fontId="1" fillId="3" borderId="42" xfId="2" applyNumberFormat="1" applyFill="1" applyBorder="1" applyAlignment="1">
      <alignment horizontal="left" vertical="top" wrapText="1"/>
    </xf>
    <xf numFmtId="0" fontId="1" fillId="5" borderId="47" xfId="0" applyFont="1" applyFill="1" applyBorder="1" applyAlignment="1">
      <alignment horizontal="left" vertical="top" wrapText="1"/>
    </xf>
    <xf numFmtId="1" fontId="1" fillId="0" borderId="34" xfId="2" applyNumberFormat="1" applyBorder="1" applyAlignment="1">
      <alignment horizontal="left" vertical="top" wrapText="1"/>
    </xf>
    <xf numFmtId="0" fontId="1" fillId="5" borderId="36" xfId="2" applyFill="1" applyBorder="1" applyAlignment="1">
      <alignment horizontal="center" vertical="top" wrapText="1"/>
    </xf>
    <xf numFmtId="0" fontId="1" fillId="0" borderId="47" xfId="2" applyBorder="1" applyAlignment="1">
      <alignment horizontal="center" vertical="center"/>
    </xf>
    <xf numFmtId="0" fontId="1" fillId="0" borderId="27" xfId="2" applyBorder="1" applyAlignment="1">
      <alignment horizontal="left" vertical="top" wrapText="1"/>
    </xf>
    <xf numFmtId="49" fontId="1" fillId="5" borderId="46" xfId="2" applyNumberFormat="1" applyFill="1" applyBorder="1" applyAlignment="1">
      <alignment vertical="top" wrapText="1"/>
    </xf>
    <xf numFmtId="0" fontId="1" fillId="5" borderId="37" xfId="2" quotePrefix="1" applyFill="1" applyBorder="1" applyAlignment="1">
      <alignment vertical="top" wrapText="1"/>
    </xf>
    <xf numFmtId="0" fontId="1" fillId="5" borderId="28" xfId="2" quotePrefix="1" applyFill="1" applyBorder="1" applyAlignment="1">
      <alignment horizontal="center" vertical="top" wrapText="1"/>
    </xf>
    <xf numFmtId="0" fontId="1" fillId="5" borderId="37" xfId="2" quotePrefix="1" applyFill="1" applyBorder="1" applyAlignment="1">
      <alignment horizontal="center" vertical="top" wrapText="1"/>
    </xf>
    <xf numFmtId="0" fontId="1" fillId="5" borderId="46" xfId="2" quotePrefix="1" applyFill="1" applyBorder="1" applyAlignment="1">
      <alignment vertical="top" wrapText="1"/>
    </xf>
    <xf numFmtId="0" fontId="5" fillId="0" borderId="30" xfId="1" applyFont="1" applyFill="1" applyBorder="1" applyAlignment="1">
      <alignment horizontal="center" vertical="center"/>
    </xf>
    <xf numFmtId="0" fontId="1" fillId="0" borderId="0" xfId="2" applyAlignment="1">
      <alignment horizontal="center"/>
    </xf>
    <xf numFmtId="0" fontId="1" fillId="0" borderId="0" xfId="2" applyAlignment="1">
      <alignment horizontal="left" wrapText="1"/>
    </xf>
    <xf numFmtId="0" fontId="1" fillId="0" borderId="0" xfId="2" applyAlignment="1">
      <alignment horizontal="center" vertical="center"/>
    </xf>
    <xf numFmtId="1" fontId="1" fillId="0" borderId="0" xfId="2" applyNumberFormat="1" applyAlignment="1">
      <alignment horizontal="center" vertical="center"/>
    </xf>
    <xf numFmtId="0" fontId="1" fillId="0" borderId="25" xfId="2" applyBorder="1" applyAlignment="1">
      <alignment horizontal="center" vertical="center"/>
    </xf>
    <xf numFmtId="0" fontId="1" fillId="0" borderId="0" xfId="2" applyAlignment="1">
      <alignment horizontal="left"/>
    </xf>
    <xf numFmtId="0" fontId="1" fillId="0" borderId="46" xfId="2" applyBorder="1" applyAlignment="1">
      <alignment horizontal="center" vertical="top" wrapText="1"/>
    </xf>
    <xf numFmtId="0" fontId="1" fillId="5" borderId="46" xfId="2" applyFill="1" applyBorder="1" applyAlignment="1">
      <alignment horizontal="center" vertical="top" wrapText="1"/>
    </xf>
    <xf numFmtId="0" fontId="1" fillId="5" borderId="22" xfId="2" applyFill="1" applyBorder="1" applyAlignment="1">
      <alignment horizontal="left" vertical="top" wrapText="1"/>
    </xf>
    <xf numFmtId="0" fontId="1" fillId="5" borderId="37" xfId="2" applyFill="1" applyBorder="1" applyAlignment="1">
      <alignment horizontal="left" vertical="top" wrapText="1"/>
    </xf>
    <xf numFmtId="0" fontId="1" fillId="5" borderId="28" xfId="2" applyFill="1" applyBorder="1" applyAlignment="1">
      <alignment horizontal="left" vertical="top" wrapText="1"/>
    </xf>
    <xf numFmtId="0" fontId="1" fillId="0" borderId="24" xfId="2" applyBorder="1" applyAlignment="1">
      <alignment horizontal="center" vertical="top" wrapText="1"/>
    </xf>
    <xf numFmtId="0" fontId="1" fillId="0" borderId="51" xfId="2" applyBorder="1" applyAlignment="1">
      <alignment horizontal="center" vertical="top" wrapText="1"/>
    </xf>
    <xf numFmtId="0" fontId="1" fillId="0" borderId="35" xfId="2" applyBorder="1" applyAlignment="1">
      <alignment horizontal="center" vertical="top" wrapText="1"/>
    </xf>
    <xf numFmtId="0" fontId="1" fillId="0" borderId="44" xfId="2" applyBorder="1" applyAlignment="1">
      <alignment horizontal="center" vertical="top" wrapText="1"/>
    </xf>
    <xf numFmtId="0" fontId="1" fillId="0" borderId="28" xfId="2" applyBorder="1" applyAlignment="1">
      <alignment horizontal="left" vertical="top" wrapText="1"/>
    </xf>
    <xf numFmtId="0" fontId="1" fillId="0" borderId="37" xfId="2" applyBorder="1" applyAlignment="1">
      <alignment horizontal="left" vertical="top" wrapText="1"/>
    </xf>
    <xf numFmtId="0" fontId="1" fillId="0" borderId="46" xfId="2" applyBorder="1" applyAlignment="1">
      <alignment horizontal="left" vertical="top" wrapText="1"/>
    </xf>
    <xf numFmtId="0" fontId="1" fillId="0" borderId="35" xfId="2" applyBorder="1" applyAlignment="1">
      <alignment horizontal="left" vertical="top" wrapText="1"/>
    </xf>
    <xf numFmtId="0" fontId="1" fillId="0" borderId="44" xfId="2" applyBorder="1" applyAlignment="1">
      <alignment horizontal="left" vertical="top" wrapText="1"/>
    </xf>
    <xf numFmtId="0" fontId="1" fillId="5" borderId="28" xfId="2" applyFill="1" applyBorder="1" applyAlignment="1">
      <alignment horizontal="center" vertical="top" wrapText="1"/>
    </xf>
    <xf numFmtId="0" fontId="1" fillId="5" borderId="37" xfId="2" applyFill="1" applyBorder="1" applyAlignment="1">
      <alignment horizontal="center" vertical="top" wrapText="1"/>
    </xf>
    <xf numFmtId="49" fontId="1" fillId="0" borderId="35" xfId="2" applyNumberFormat="1" applyBorder="1" applyAlignment="1">
      <alignment horizontal="left" vertical="top" wrapText="1"/>
    </xf>
    <xf numFmtId="49" fontId="1" fillId="0" borderId="44" xfId="2" applyNumberFormat="1" applyBorder="1" applyAlignment="1">
      <alignment horizontal="left" vertical="top" wrapText="1"/>
    </xf>
    <xf numFmtId="0" fontId="1" fillId="5" borderId="35" xfId="2" applyFill="1" applyBorder="1" applyAlignment="1">
      <alignment horizontal="left" vertical="top" wrapText="1"/>
    </xf>
    <xf numFmtId="0" fontId="1" fillId="5" borderId="44" xfId="2" applyFill="1" applyBorder="1" applyAlignment="1">
      <alignment horizontal="left" vertical="top" wrapText="1"/>
    </xf>
    <xf numFmtId="0" fontId="1" fillId="0" borderId="28" xfId="2" applyBorder="1" applyAlignment="1">
      <alignment horizontal="center" vertical="top"/>
    </xf>
    <xf numFmtId="0" fontId="1" fillId="0" borderId="37" xfId="2" applyBorder="1" applyAlignment="1">
      <alignment horizontal="center" vertical="top"/>
    </xf>
    <xf numFmtId="0" fontId="1" fillId="5" borderId="28" xfId="2" quotePrefix="1" applyFill="1" applyBorder="1" applyAlignment="1">
      <alignment horizontal="left" vertical="top" wrapText="1"/>
    </xf>
    <xf numFmtId="0" fontId="1" fillId="5" borderId="37" xfId="2" quotePrefix="1" applyFill="1" applyBorder="1" applyAlignment="1">
      <alignment horizontal="left" vertical="top" wrapText="1"/>
    </xf>
    <xf numFmtId="0" fontId="1" fillId="5" borderId="28" xfId="2" applyFill="1" applyBorder="1" applyAlignment="1">
      <alignment vertical="top" wrapText="1"/>
    </xf>
    <xf numFmtId="0" fontId="1" fillId="5" borderId="37" xfId="2" applyFill="1" applyBorder="1" applyAlignment="1">
      <alignment vertical="top" wrapText="1"/>
    </xf>
    <xf numFmtId="0" fontId="1" fillId="5" borderId="36" xfId="2" applyFill="1" applyBorder="1" applyAlignment="1">
      <alignment horizontal="left" vertical="top" wrapText="1"/>
    </xf>
    <xf numFmtId="0" fontId="1" fillId="5" borderId="35" xfId="2" applyFill="1" applyBorder="1" applyAlignment="1">
      <alignment vertical="top" wrapText="1"/>
    </xf>
    <xf numFmtId="0" fontId="1" fillId="5" borderId="44" xfId="2" applyFill="1" applyBorder="1" applyAlignment="1">
      <alignment vertical="top" wrapText="1"/>
    </xf>
    <xf numFmtId="0" fontId="1" fillId="0" borderId="28" xfId="2" applyBorder="1" applyAlignment="1">
      <alignment vertical="top" wrapText="1"/>
    </xf>
    <xf numFmtId="0" fontId="1" fillId="0" borderId="22" xfId="2" applyBorder="1" applyAlignment="1">
      <alignment vertical="top" wrapText="1"/>
    </xf>
    <xf numFmtId="0" fontId="1" fillId="0" borderId="37" xfId="2" applyBorder="1" applyAlignment="1">
      <alignment vertical="top" wrapText="1"/>
    </xf>
    <xf numFmtId="0" fontId="1" fillId="5" borderId="48" xfId="2" applyFill="1" applyBorder="1" applyAlignment="1">
      <alignment horizontal="left" vertical="top" wrapText="1"/>
    </xf>
    <xf numFmtId="0" fontId="1" fillId="0" borderId="28" xfId="2" applyBorder="1" applyAlignment="1">
      <alignment horizontal="center" vertical="top" wrapText="1"/>
    </xf>
    <xf numFmtId="0" fontId="1" fillId="0" borderId="37" xfId="2" applyBorder="1" applyAlignment="1">
      <alignment horizontal="center" vertical="top" wrapText="1"/>
    </xf>
    <xf numFmtId="0" fontId="1" fillId="0" borderId="26" xfId="2" applyBorder="1" applyAlignment="1">
      <alignment horizontal="left" vertical="top" wrapText="1"/>
    </xf>
    <xf numFmtId="0" fontId="1" fillId="0" borderId="35" xfId="2" applyBorder="1" applyAlignment="1">
      <alignment vertical="top" wrapText="1"/>
    </xf>
    <xf numFmtId="0" fontId="1" fillId="0" borderId="44" xfId="2" applyBorder="1" applyAlignment="1">
      <alignment vertical="top" wrapText="1"/>
    </xf>
    <xf numFmtId="0" fontId="1" fillId="0" borderId="22" xfId="2" applyBorder="1" applyAlignment="1">
      <alignment horizontal="left" vertical="top" wrapText="1"/>
    </xf>
    <xf numFmtId="0" fontId="1" fillId="0" borderId="47" xfId="2" applyBorder="1" applyAlignment="1">
      <alignment horizontal="left" vertical="top" wrapText="1"/>
    </xf>
    <xf numFmtId="0" fontId="1" fillId="0" borderId="26" xfId="2" applyBorder="1" applyAlignment="1">
      <alignment vertical="top" wrapText="1"/>
    </xf>
    <xf numFmtId="0" fontId="1" fillId="0" borderId="22" xfId="2" applyBorder="1" applyAlignment="1">
      <alignment horizontal="center" vertical="top" wrapText="1"/>
    </xf>
    <xf numFmtId="0" fontId="1" fillId="0" borderId="28" xfId="0" applyFont="1" applyBorder="1" applyAlignment="1">
      <alignment horizontal="left" vertical="top" wrapText="1"/>
    </xf>
    <xf numFmtId="0" fontId="1" fillId="0" borderId="37" xfId="0" applyFont="1" applyBorder="1" applyAlignment="1">
      <alignment horizontal="left" vertical="top" wrapText="1"/>
    </xf>
    <xf numFmtId="0" fontId="1" fillId="0" borderId="48" xfId="2" applyBorder="1" applyAlignment="1">
      <alignment horizontal="left" vertical="top" wrapText="1"/>
    </xf>
    <xf numFmtId="0" fontId="1" fillId="0" borderId="36" xfId="2" applyBorder="1" applyAlignment="1">
      <alignment horizontal="center" vertical="top" wrapText="1"/>
    </xf>
    <xf numFmtId="0" fontId="1" fillId="0" borderId="36" xfId="2" applyBorder="1" applyAlignment="1">
      <alignment horizontal="left" vertical="top" wrapText="1"/>
    </xf>
    <xf numFmtId="0" fontId="1" fillId="0" borderId="24" xfId="2" applyBorder="1" applyAlignment="1">
      <alignment horizontal="left" vertical="top" wrapText="1"/>
    </xf>
    <xf numFmtId="0" fontId="1" fillId="0" borderId="51" xfId="2" applyBorder="1" applyAlignment="1">
      <alignment horizontal="left" vertical="top" wrapText="1"/>
    </xf>
    <xf numFmtId="0" fontId="1" fillId="5" borderId="52" xfId="2" applyFill="1" applyBorder="1" applyAlignment="1">
      <alignment horizontal="left" vertical="top" wrapText="1"/>
    </xf>
    <xf numFmtId="0" fontId="1" fillId="5" borderId="35" xfId="2" applyFill="1" applyBorder="1" applyAlignment="1">
      <alignment horizontal="center" vertical="top" wrapText="1"/>
    </xf>
    <xf numFmtId="0" fontId="1" fillId="5" borderId="44" xfId="2" applyFill="1" applyBorder="1" applyAlignment="1">
      <alignment horizontal="center" vertical="top" wrapText="1"/>
    </xf>
    <xf numFmtId="0" fontId="1" fillId="0" borderId="25" xfId="2" applyBorder="1" applyAlignment="1">
      <alignment horizontal="left" vertical="top" wrapText="1"/>
    </xf>
    <xf numFmtId="0" fontId="1" fillId="5" borderId="26" xfId="2" applyFill="1" applyBorder="1" applyAlignment="1">
      <alignment horizontal="center" vertical="top" wrapText="1"/>
    </xf>
    <xf numFmtId="0" fontId="1" fillId="0" borderId="22" xfId="0" applyFont="1" applyBorder="1" applyAlignment="1">
      <alignment horizontal="left" vertical="top" wrapText="1"/>
    </xf>
    <xf numFmtId="1" fontId="2" fillId="0" borderId="12" xfId="2" applyNumberFormat="1" applyFont="1" applyBorder="1" applyAlignment="1">
      <alignment horizontal="center" vertical="center" textRotation="180"/>
    </xf>
    <xf numFmtId="1" fontId="2" fillId="0" borderId="23" xfId="2" applyNumberFormat="1" applyFont="1" applyBorder="1" applyAlignment="1">
      <alignment horizontal="center" vertical="center" textRotation="180"/>
    </xf>
    <xf numFmtId="0" fontId="2" fillId="0" borderId="3" xfId="2" applyFont="1" applyBorder="1" applyAlignment="1">
      <alignment horizontal="center" vertical="center" wrapText="1"/>
    </xf>
    <xf numFmtId="0" fontId="2" fillId="0" borderId="19" xfId="2" applyFont="1" applyBorder="1" applyAlignment="1">
      <alignment horizontal="center" vertical="center" wrapText="1"/>
    </xf>
    <xf numFmtId="0" fontId="2" fillId="0" borderId="13" xfId="2" applyFont="1" applyBorder="1" applyAlignment="1">
      <alignment horizontal="center" vertical="center" textRotation="180" wrapText="1"/>
    </xf>
    <xf numFmtId="0" fontId="2" fillId="0" borderId="28" xfId="2" applyFont="1" applyBorder="1" applyAlignment="1">
      <alignment horizontal="center" vertical="center" textRotation="180" wrapText="1"/>
    </xf>
    <xf numFmtId="0" fontId="2" fillId="0" borderId="9" xfId="2" applyFont="1" applyBorder="1" applyAlignment="1">
      <alignment horizontal="center" vertical="center" textRotation="180" wrapText="1"/>
    </xf>
    <xf numFmtId="0" fontId="2" fillId="0" borderId="20" xfId="2" applyFont="1" applyBorder="1" applyAlignment="1">
      <alignment horizontal="center" vertical="center" textRotation="180" wrapText="1"/>
    </xf>
    <xf numFmtId="0" fontId="2" fillId="0" borderId="8" xfId="2" applyFont="1" applyBorder="1" applyAlignment="1">
      <alignment horizontal="center" vertical="center" textRotation="180"/>
    </xf>
    <xf numFmtId="0" fontId="2" fillId="0" borderId="24" xfId="2" applyFont="1" applyBorder="1" applyAlignment="1">
      <alignment horizontal="center" vertical="center" textRotation="180"/>
    </xf>
    <xf numFmtId="0" fontId="2" fillId="0" borderId="9" xfId="2" applyFont="1" applyBorder="1" applyAlignment="1">
      <alignment horizontal="center" vertical="center" wrapText="1"/>
    </xf>
    <xf numFmtId="0" fontId="2" fillId="0" borderId="20" xfId="2" applyFont="1" applyBorder="1" applyAlignment="1">
      <alignment horizontal="center" vertical="center" wrapText="1"/>
    </xf>
    <xf numFmtId="0" fontId="2" fillId="0" borderId="10" xfId="2" applyFont="1" applyBorder="1" applyAlignment="1">
      <alignment horizontal="center" vertical="center" textRotation="180"/>
    </xf>
    <xf numFmtId="0" fontId="2" fillId="0" borderId="25" xfId="2" applyFont="1" applyBorder="1" applyAlignment="1">
      <alignment horizontal="center" vertical="center" textRotation="180"/>
    </xf>
    <xf numFmtId="0" fontId="2" fillId="0" borderId="5" xfId="2" applyFont="1" applyBorder="1" applyAlignment="1">
      <alignment horizontal="center" vertical="center" wrapText="1"/>
    </xf>
    <xf numFmtId="0" fontId="2" fillId="0" borderId="6" xfId="2" applyFont="1" applyBorder="1" applyAlignment="1">
      <alignment horizontal="center" vertical="center" wrapText="1"/>
    </xf>
    <xf numFmtId="0" fontId="2" fillId="0" borderId="11" xfId="2" applyFont="1" applyBorder="1" applyAlignment="1">
      <alignment horizontal="center" vertical="center" wrapText="1"/>
    </xf>
    <xf numFmtId="0" fontId="2" fillId="0" borderId="1" xfId="2" applyFont="1" applyBorder="1" applyAlignment="1">
      <alignment horizontal="center" vertical="center"/>
    </xf>
    <xf numFmtId="0" fontId="2" fillId="0" borderId="17" xfId="2" applyFont="1" applyBorder="1" applyAlignment="1">
      <alignment horizontal="center" vertical="center"/>
    </xf>
    <xf numFmtId="0" fontId="2" fillId="0" borderId="2" xfId="2" applyFont="1" applyBorder="1" applyAlignment="1">
      <alignment horizontal="center" vertical="center" wrapText="1"/>
    </xf>
    <xf numFmtId="0" fontId="2" fillId="0" borderId="18" xfId="2" applyFont="1" applyBorder="1" applyAlignment="1">
      <alignment horizontal="center" vertical="center" wrapText="1"/>
    </xf>
    <xf numFmtId="0" fontId="2" fillId="0" borderId="4" xfId="2" applyFont="1" applyBorder="1" applyAlignment="1">
      <alignment horizontal="center" vertical="center" wrapText="1"/>
    </xf>
    <xf numFmtId="0" fontId="2" fillId="3" borderId="5" xfId="2" applyFont="1" applyFill="1" applyBorder="1" applyAlignment="1">
      <alignment horizontal="center" vertical="center" wrapText="1"/>
    </xf>
    <xf numFmtId="0" fontId="1" fillId="3" borderId="6" xfId="2" applyFill="1" applyBorder="1" applyAlignment="1">
      <alignment horizontal="center" vertical="center" wrapText="1"/>
    </xf>
    <xf numFmtId="0" fontId="1" fillId="3" borderId="7" xfId="2" applyFill="1" applyBorder="1" applyAlignment="1">
      <alignment horizontal="center" vertical="center" wrapText="1"/>
    </xf>
    <xf numFmtId="0" fontId="2" fillId="0" borderId="14" xfId="2" applyFont="1" applyBorder="1" applyAlignment="1">
      <alignment horizontal="center" vertical="center"/>
    </xf>
    <xf numFmtId="0" fontId="2" fillId="0" borderId="15" xfId="2" applyFont="1" applyBorder="1" applyAlignment="1">
      <alignment horizontal="center" vertical="center"/>
    </xf>
    <xf numFmtId="0" fontId="2" fillId="0" borderId="16" xfId="2" applyFont="1" applyBorder="1" applyAlignment="1">
      <alignment horizontal="center" vertical="center"/>
    </xf>
    <xf numFmtId="0" fontId="2" fillId="0" borderId="8" xfId="2" applyFont="1" applyBorder="1" applyAlignment="1">
      <alignment horizontal="center" vertical="center" wrapText="1"/>
    </xf>
    <xf numFmtId="0" fontId="2" fillId="0" borderId="29" xfId="2" applyFont="1" applyBorder="1" applyAlignment="1">
      <alignment horizontal="center" vertical="center" wrapText="1"/>
    </xf>
  </cellXfs>
  <cellStyles count="3">
    <cellStyle name="Neutral" xfId="1" builtinId="28"/>
    <cellStyle name="Normal" xfId="0" builtinId="0"/>
    <cellStyle name="Normal 2" xfId="2" xr:uid="{F129105E-C5A7-4065-9624-FA56E777A709}"/>
  </cellStyles>
  <dxfs count="1168">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s01\Smartwires-QA\fs01\HDE%20World\Polarion\4.%20Polarion-Exported-Docs\20180625-Product-PRDs\SmartByPass-P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Report"/>
      <sheetName val="Polarion"/>
      <sheetName val="_polarion"/>
      <sheetName val="SmartByPass-PRD"/>
      <sheetName val="Data Validation"/>
    </sheetNames>
    <sheetDataSet>
      <sheetData sheetId="0" refreshError="1"/>
      <sheetData sheetId="1" refreshError="1"/>
      <sheetData sheetId="2"/>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C79F6-6503-425A-BB55-6FC42785F40D}">
  <sheetPr>
    <tabColor indexed="10"/>
    <outlinePr summaryBelow="0"/>
    <pageSetUpPr fitToPage="1"/>
  </sheetPr>
  <dimension ref="A1:WQ1824"/>
  <sheetViews>
    <sheetView showGridLines="0" tabSelected="1" zoomScale="70" zoomScaleNormal="70" workbookViewId="0">
      <pane ySplit="2" topLeftCell="A3" activePane="bottomLeft" state="frozen"/>
      <selection activeCell="A7" sqref="A7"/>
      <selection pane="bottomLeft" activeCell="Q5" sqref="Q5"/>
    </sheetView>
  </sheetViews>
  <sheetFormatPr defaultColWidth="0" defaultRowHeight="12.75" outlineLevelRow="4" x14ac:dyDescent="0.2"/>
  <cols>
    <col min="1" max="1" width="15.42578125" style="136" customWidth="1"/>
    <col min="2" max="2" width="23.140625" style="137" customWidth="1"/>
    <col min="3" max="3" width="17.42578125" style="132" customWidth="1"/>
    <col min="4" max="4" width="22.140625" style="133" customWidth="1"/>
    <col min="5" max="5" width="25.42578125" style="58" customWidth="1"/>
    <col min="6" max="7" width="22.85546875" style="17" customWidth="1"/>
    <col min="8" max="8" width="22.85546875" style="58" customWidth="1"/>
    <col min="9" max="9" width="3.28515625" style="134" customWidth="1"/>
    <col min="10" max="10" width="22" style="58" customWidth="1"/>
    <col min="11" max="11" width="24.7109375" style="58" customWidth="1"/>
    <col min="12" max="12" width="3.28515625" style="134" customWidth="1"/>
    <col min="13" max="13" width="3.7109375" style="134" customWidth="1"/>
    <col min="14" max="15" width="20.28515625" style="17" customWidth="1"/>
    <col min="16" max="16" width="3.28515625" style="134" customWidth="1"/>
    <col min="17" max="17" width="4.7109375" style="135" customWidth="1"/>
    <col min="18" max="18" width="21.28515625" style="17" customWidth="1"/>
    <col min="19" max="19" width="23.28515625" style="17" customWidth="1"/>
    <col min="20" max="20" width="33.85546875" style="17" customWidth="1"/>
    <col min="21" max="21" width="15.140625" style="134" customWidth="1"/>
    <col min="22" max="22" width="11.28515625" style="17" customWidth="1"/>
    <col min="23" max="23" width="12.28515625" style="17" customWidth="1"/>
    <col min="24" max="27" width="3.28515625" style="134" customWidth="1"/>
    <col min="28" max="28" width="19.140625" style="17" bestFit="1" customWidth="1"/>
    <col min="29" max="29" width="19.140625" style="17" customWidth="1"/>
    <col min="30" max="30" width="15.85546875" style="17" customWidth="1"/>
    <col min="31" max="207" width="0" style="17" hidden="1" customWidth="1"/>
    <col min="208" max="208" width="3" style="17" customWidth="1"/>
    <col min="209" max="209" width="9.140625" style="17" hidden="1" customWidth="1"/>
    <col min="210" max="210" width="2.140625" style="17" hidden="1" customWidth="1"/>
    <col min="211" max="211" width="3.85546875" style="17" hidden="1" customWidth="1"/>
    <col min="212" max="212" width="9.140625" style="17" hidden="1" customWidth="1"/>
    <col min="213" max="213" width="2.42578125" style="17" hidden="1" customWidth="1"/>
    <col min="214" max="214" width="9.140625" style="17" hidden="1" customWidth="1"/>
    <col min="215" max="215" width="3.140625" style="17" hidden="1" customWidth="1"/>
    <col min="216" max="615" width="0" style="17" hidden="1" customWidth="1"/>
    <col min="616" max="16384" width="9.140625" style="17" hidden="1"/>
  </cols>
  <sheetData>
    <row r="1" spans="1:31" s="2" customFormat="1" ht="16.5" customHeight="1" thickBot="1" x14ac:dyDescent="0.3">
      <c r="A1" s="210" t="s">
        <v>0</v>
      </c>
      <c r="B1" s="210" t="s">
        <v>1</v>
      </c>
      <c r="C1" s="212" t="s">
        <v>1414</v>
      </c>
      <c r="D1" s="195" t="s">
        <v>2</v>
      </c>
      <c r="E1" s="214" t="s">
        <v>3</v>
      </c>
      <c r="F1" s="215" t="s">
        <v>4</v>
      </c>
      <c r="G1" s="216"/>
      <c r="H1" s="217"/>
      <c r="I1" s="201" t="s">
        <v>5</v>
      </c>
      <c r="J1" s="195" t="s">
        <v>6</v>
      </c>
      <c r="K1" s="203" t="s">
        <v>7</v>
      </c>
      <c r="L1" s="201" t="s">
        <v>8</v>
      </c>
      <c r="M1" s="205" t="s">
        <v>9</v>
      </c>
      <c r="N1" s="207" t="s">
        <v>10</v>
      </c>
      <c r="O1" s="208"/>
      <c r="P1" s="209"/>
      <c r="Q1" s="193" t="s">
        <v>11</v>
      </c>
      <c r="R1" s="195" t="s">
        <v>12</v>
      </c>
      <c r="S1" s="195" t="s">
        <v>13</v>
      </c>
      <c r="T1" s="195" t="s">
        <v>14</v>
      </c>
      <c r="U1" s="197" t="s">
        <v>15</v>
      </c>
      <c r="V1" s="199" t="s">
        <v>16</v>
      </c>
      <c r="W1" s="218" t="s">
        <v>17</v>
      </c>
      <c r="X1" s="219"/>
      <c r="Y1" s="219"/>
      <c r="Z1" s="219"/>
      <c r="AA1" s="220"/>
      <c r="AB1" s="221" t="s">
        <v>18</v>
      </c>
      <c r="AC1" s="1"/>
    </row>
    <row r="2" spans="1:31" s="2" customFormat="1" ht="113.25" thickTop="1" thickBot="1" x14ac:dyDescent="0.3">
      <c r="A2" s="211" t="s">
        <v>0</v>
      </c>
      <c r="B2" s="211"/>
      <c r="C2" s="213"/>
      <c r="D2" s="196"/>
      <c r="E2" s="204"/>
      <c r="F2" s="3" t="s">
        <v>19</v>
      </c>
      <c r="G2" s="4" t="s">
        <v>20</v>
      </c>
      <c r="H2" s="5" t="s">
        <v>21</v>
      </c>
      <c r="I2" s="202"/>
      <c r="J2" s="196"/>
      <c r="K2" s="204"/>
      <c r="L2" s="202"/>
      <c r="M2" s="206"/>
      <c r="N2" s="6" t="s">
        <v>22</v>
      </c>
      <c r="O2" s="7" t="s">
        <v>23</v>
      </c>
      <c r="P2" s="8" t="s">
        <v>24</v>
      </c>
      <c r="Q2" s="194"/>
      <c r="R2" s="196"/>
      <c r="S2" s="196"/>
      <c r="T2" s="196"/>
      <c r="U2" s="198"/>
      <c r="V2" s="200"/>
      <c r="W2" s="6" t="s">
        <v>25</v>
      </c>
      <c r="X2" s="8" t="s">
        <v>5</v>
      </c>
      <c r="Y2" s="8" t="s">
        <v>8</v>
      </c>
      <c r="Z2" s="8" t="s">
        <v>24</v>
      </c>
      <c r="AA2" s="9" t="s">
        <v>26</v>
      </c>
      <c r="AB2" s="222"/>
      <c r="AC2" s="1"/>
    </row>
    <row r="3" spans="1:31" ht="25.5" customHeight="1" thickBot="1" x14ac:dyDescent="0.25">
      <c r="A3" s="10"/>
      <c r="B3" s="11" t="s">
        <v>27</v>
      </c>
      <c r="C3" s="12"/>
      <c r="D3" s="13"/>
      <c r="E3" s="14"/>
      <c r="F3" s="13"/>
      <c r="G3" s="13"/>
      <c r="H3" s="13"/>
      <c r="I3" s="13"/>
      <c r="J3" s="13"/>
      <c r="K3" s="13"/>
      <c r="L3" s="13"/>
      <c r="M3" s="13"/>
      <c r="N3" s="13"/>
      <c r="O3" s="13"/>
      <c r="P3" s="13"/>
      <c r="Q3" s="13"/>
      <c r="R3" s="13"/>
      <c r="S3" s="13"/>
      <c r="T3" s="13"/>
      <c r="U3" s="15"/>
      <c r="V3" s="13"/>
      <c r="W3" s="13"/>
      <c r="X3" s="13"/>
      <c r="Y3" s="13"/>
      <c r="Z3" s="13"/>
      <c r="AA3" s="13"/>
      <c r="AB3" s="16"/>
      <c r="AE3" s="18">
        <f t="shared" ref="AE3:AE66" si="0">VALUE(RIGHT((IF(A3="",0,A3)),4))</f>
        <v>0</v>
      </c>
    </row>
    <row r="4" spans="1:31" ht="21" outlineLevel="1" thickBot="1" x14ac:dyDescent="0.25">
      <c r="A4" s="19"/>
      <c r="B4" s="20" t="s">
        <v>28</v>
      </c>
      <c r="C4" s="21"/>
      <c r="D4" s="22"/>
      <c r="E4" s="22"/>
      <c r="F4" s="22"/>
      <c r="G4" s="22"/>
      <c r="H4" s="22"/>
      <c r="I4" s="22"/>
      <c r="J4" s="22"/>
      <c r="K4" s="22"/>
      <c r="L4" s="22"/>
      <c r="M4" s="22"/>
      <c r="N4" s="22"/>
      <c r="O4" s="22"/>
      <c r="P4" s="22"/>
      <c r="Q4" s="22"/>
      <c r="R4" s="22"/>
      <c r="S4" s="22"/>
      <c r="T4" s="22"/>
      <c r="U4" s="23"/>
      <c r="V4" s="22"/>
      <c r="W4" s="22"/>
      <c r="X4" s="22"/>
      <c r="Y4" s="22"/>
      <c r="Z4" s="22"/>
      <c r="AA4" s="22"/>
      <c r="AB4" s="24"/>
      <c r="AE4" s="18">
        <f t="shared" si="0"/>
        <v>0</v>
      </c>
    </row>
    <row r="5" spans="1:31" ht="409.5" customHeight="1" outlineLevel="3" thickBot="1" x14ac:dyDescent="0.25">
      <c r="A5" s="10" t="s">
        <v>29</v>
      </c>
      <c r="B5" s="170" t="s">
        <v>30</v>
      </c>
      <c r="C5" s="164" t="s">
        <v>31</v>
      </c>
      <c r="D5" s="142" t="s">
        <v>32</v>
      </c>
      <c r="E5" s="25" t="s">
        <v>33</v>
      </c>
      <c r="F5" s="25" t="s">
        <v>34</v>
      </c>
      <c r="G5" s="25" t="s">
        <v>35</v>
      </c>
      <c r="H5" s="26" t="s">
        <v>36</v>
      </c>
      <c r="I5" s="27">
        <v>2</v>
      </c>
      <c r="J5" s="28" t="s">
        <v>37</v>
      </c>
      <c r="K5" s="29" t="s">
        <v>38</v>
      </c>
      <c r="L5" s="30">
        <v>2</v>
      </c>
      <c r="M5" s="31">
        <f t="shared" ref="M5:M18" si="1">I5*L5</f>
        <v>4</v>
      </c>
      <c r="N5" s="32" t="s">
        <v>39</v>
      </c>
      <c r="O5" s="33" t="s">
        <v>40</v>
      </c>
      <c r="P5" s="30">
        <v>2</v>
      </c>
      <c r="Q5" s="34">
        <f t="shared" ref="Q5:Q18" si="2">M5*P5</f>
        <v>8</v>
      </c>
      <c r="R5" s="35"/>
      <c r="S5" s="35"/>
      <c r="T5" s="35" t="s">
        <v>41</v>
      </c>
      <c r="U5" s="36"/>
      <c r="V5" s="37"/>
      <c r="W5" s="38"/>
      <c r="X5" s="37"/>
      <c r="Y5" s="37"/>
      <c r="Z5" s="39"/>
      <c r="AA5" s="40"/>
      <c r="AB5" s="41"/>
      <c r="AD5" s="17">
        <f t="shared" ref="AD5:AD68" si="3">VALUE(RIGHT((IF(A5="",0,A5)),5))</f>
        <v>5978</v>
      </c>
      <c r="AE5" s="18">
        <f t="shared" si="0"/>
        <v>5978</v>
      </c>
    </row>
    <row r="6" spans="1:31" ht="230.25" outlineLevel="3" thickBot="1" x14ac:dyDescent="0.25">
      <c r="A6" s="10" t="s">
        <v>42</v>
      </c>
      <c r="B6" s="157"/>
      <c r="C6" s="141"/>
      <c r="D6" s="141"/>
      <c r="E6" s="25" t="s">
        <v>43</v>
      </c>
      <c r="F6" s="25" t="s">
        <v>44</v>
      </c>
      <c r="G6" s="25" t="s">
        <v>45</v>
      </c>
      <c r="H6" s="26" t="s">
        <v>46</v>
      </c>
      <c r="I6" s="42">
        <v>3</v>
      </c>
      <c r="J6" s="28" t="s">
        <v>47</v>
      </c>
      <c r="K6" s="29" t="s">
        <v>48</v>
      </c>
      <c r="L6" s="30">
        <v>2</v>
      </c>
      <c r="M6" s="31">
        <f t="shared" si="1"/>
        <v>6</v>
      </c>
      <c r="N6" s="32" t="s">
        <v>39</v>
      </c>
      <c r="O6" s="33" t="s">
        <v>49</v>
      </c>
      <c r="P6" s="30">
        <v>1</v>
      </c>
      <c r="Q6" s="34">
        <f t="shared" si="2"/>
        <v>6</v>
      </c>
      <c r="R6" s="35"/>
      <c r="S6" s="35"/>
      <c r="T6" s="35"/>
      <c r="U6" s="36"/>
      <c r="V6" s="37"/>
      <c r="W6" s="38"/>
      <c r="X6" s="37"/>
      <c r="Y6" s="37"/>
      <c r="Z6" s="39"/>
      <c r="AA6" s="40"/>
      <c r="AB6" s="41"/>
      <c r="AD6" s="17">
        <f t="shared" si="3"/>
        <v>5979</v>
      </c>
      <c r="AE6" s="18">
        <f t="shared" si="0"/>
        <v>5979</v>
      </c>
    </row>
    <row r="7" spans="1:31" ht="409.6" outlineLevel="3" thickBot="1" x14ac:dyDescent="0.25">
      <c r="A7" s="10" t="s">
        <v>50</v>
      </c>
      <c r="B7" s="156" t="s">
        <v>51</v>
      </c>
      <c r="C7" s="152" t="s">
        <v>52</v>
      </c>
      <c r="D7" s="142" t="s">
        <v>53</v>
      </c>
      <c r="E7" s="25" t="s">
        <v>54</v>
      </c>
      <c r="F7" s="25" t="s">
        <v>55</v>
      </c>
      <c r="G7" s="25" t="s">
        <v>56</v>
      </c>
      <c r="H7" s="26" t="s">
        <v>36</v>
      </c>
      <c r="I7" s="27">
        <v>2</v>
      </c>
      <c r="J7" s="28" t="s">
        <v>47</v>
      </c>
      <c r="K7" s="29" t="s">
        <v>38</v>
      </c>
      <c r="L7" s="30">
        <v>2</v>
      </c>
      <c r="M7" s="31">
        <f t="shared" si="1"/>
        <v>4</v>
      </c>
      <c r="N7" s="32" t="s">
        <v>39</v>
      </c>
      <c r="O7" s="33" t="s">
        <v>40</v>
      </c>
      <c r="P7" s="30">
        <v>3</v>
      </c>
      <c r="Q7" s="34">
        <f t="shared" si="2"/>
        <v>12</v>
      </c>
      <c r="R7" s="35"/>
      <c r="S7" s="35"/>
      <c r="T7" s="35"/>
      <c r="U7" s="36"/>
      <c r="V7" s="37"/>
      <c r="W7" s="38"/>
      <c r="X7" s="37"/>
      <c r="Y7" s="37"/>
      <c r="Z7" s="39"/>
      <c r="AA7" s="40"/>
      <c r="AB7" s="41"/>
      <c r="AD7" s="17">
        <f t="shared" si="3"/>
        <v>5980</v>
      </c>
      <c r="AE7" s="18">
        <f t="shared" si="0"/>
        <v>5980</v>
      </c>
    </row>
    <row r="8" spans="1:31" ht="230.25" outlineLevel="3" thickBot="1" x14ac:dyDescent="0.25">
      <c r="A8" s="10" t="s">
        <v>57</v>
      </c>
      <c r="B8" s="157"/>
      <c r="C8" s="153"/>
      <c r="D8" s="141"/>
      <c r="E8" s="25" t="s">
        <v>58</v>
      </c>
      <c r="F8" s="25" t="s">
        <v>59</v>
      </c>
      <c r="G8" s="25" t="s">
        <v>60</v>
      </c>
      <c r="H8" s="26" t="s">
        <v>61</v>
      </c>
      <c r="I8" s="27">
        <v>2</v>
      </c>
      <c r="J8" s="28" t="s">
        <v>47</v>
      </c>
      <c r="K8" s="29" t="s">
        <v>62</v>
      </c>
      <c r="L8" s="30">
        <v>2</v>
      </c>
      <c r="M8" s="31">
        <f t="shared" si="1"/>
        <v>4</v>
      </c>
      <c r="N8" s="32" t="s">
        <v>39</v>
      </c>
      <c r="O8" s="33" t="s">
        <v>49</v>
      </c>
      <c r="P8" s="30">
        <v>3</v>
      </c>
      <c r="Q8" s="34">
        <f t="shared" si="2"/>
        <v>12</v>
      </c>
      <c r="R8" s="35"/>
      <c r="S8" s="35"/>
      <c r="T8" s="35"/>
      <c r="U8" s="36"/>
      <c r="V8" s="37"/>
      <c r="W8" s="38"/>
      <c r="X8" s="37"/>
      <c r="Y8" s="37"/>
      <c r="Z8" s="39"/>
      <c r="AA8" s="40"/>
      <c r="AB8" s="41"/>
      <c r="AD8" s="17">
        <f t="shared" si="3"/>
        <v>5981</v>
      </c>
      <c r="AE8" s="18">
        <f t="shared" si="0"/>
        <v>5981</v>
      </c>
    </row>
    <row r="9" spans="1:31" ht="409.6" outlineLevel="3" thickBot="1" x14ac:dyDescent="0.25">
      <c r="A9" s="43" t="s">
        <v>63</v>
      </c>
      <c r="B9" s="156" t="s">
        <v>64</v>
      </c>
      <c r="C9" s="44" t="s">
        <v>65</v>
      </c>
      <c r="D9" s="142" t="s">
        <v>66</v>
      </c>
      <c r="E9" s="25" t="s">
        <v>67</v>
      </c>
      <c r="F9" s="25" t="s">
        <v>68</v>
      </c>
      <c r="G9" s="25" t="s">
        <v>56</v>
      </c>
      <c r="H9" s="26" t="s">
        <v>36</v>
      </c>
      <c r="I9" s="27">
        <v>2</v>
      </c>
      <c r="J9" s="28" t="s">
        <v>47</v>
      </c>
      <c r="K9" s="29" t="s">
        <v>69</v>
      </c>
      <c r="L9" s="30">
        <v>1</v>
      </c>
      <c r="M9" s="45">
        <f t="shared" si="1"/>
        <v>2</v>
      </c>
      <c r="N9" s="32" t="s">
        <v>39</v>
      </c>
      <c r="O9" s="33" t="s">
        <v>40</v>
      </c>
      <c r="P9" s="30">
        <v>3</v>
      </c>
      <c r="Q9" s="34">
        <f t="shared" si="2"/>
        <v>6</v>
      </c>
      <c r="R9" s="35"/>
      <c r="S9" s="35"/>
      <c r="T9" s="35"/>
      <c r="U9" s="36"/>
      <c r="V9" s="37"/>
      <c r="W9" s="38"/>
      <c r="X9" s="37"/>
      <c r="Y9" s="37"/>
      <c r="Z9" s="39"/>
      <c r="AA9" s="40"/>
      <c r="AB9" s="41"/>
      <c r="AD9" s="17">
        <f t="shared" si="3"/>
        <v>5982</v>
      </c>
      <c r="AE9" s="18">
        <f t="shared" si="0"/>
        <v>5982</v>
      </c>
    </row>
    <row r="10" spans="1:31" ht="230.25" outlineLevel="3" thickBot="1" x14ac:dyDescent="0.25">
      <c r="A10" s="43" t="s">
        <v>70</v>
      </c>
      <c r="B10" s="157"/>
      <c r="C10" s="46"/>
      <c r="D10" s="141"/>
      <c r="E10" s="25" t="s">
        <v>71</v>
      </c>
      <c r="F10" s="25" t="s">
        <v>72</v>
      </c>
      <c r="G10" s="25" t="s">
        <v>73</v>
      </c>
      <c r="H10" s="26" t="s">
        <v>61</v>
      </c>
      <c r="I10" s="27">
        <v>2</v>
      </c>
      <c r="J10" s="28" t="s">
        <v>74</v>
      </c>
      <c r="K10" s="29" t="s">
        <v>75</v>
      </c>
      <c r="L10" s="30">
        <v>1</v>
      </c>
      <c r="M10" s="45">
        <f t="shared" si="1"/>
        <v>2</v>
      </c>
      <c r="N10" s="32" t="s">
        <v>39</v>
      </c>
      <c r="O10" s="33" t="s">
        <v>76</v>
      </c>
      <c r="P10" s="30">
        <v>5</v>
      </c>
      <c r="Q10" s="34">
        <f t="shared" si="2"/>
        <v>10</v>
      </c>
      <c r="R10" s="35"/>
      <c r="S10" s="35"/>
      <c r="T10" s="35"/>
      <c r="U10" s="36"/>
      <c r="V10" s="37"/>
      <c r="W10" s="38"/>
      <c r="X10" s="37"/>
      <c r="Y10" s="37"/>
      <c r="Z10" s="39"/>
      <c r="AA10" s="40"/>
      <c r="AB10" s="41"/>
      <c r="AD10" s="17">
        <f t="shared" si="3"/>
        <v>5983</v>
      </c>
      <c r="AE10" s="18">
        <f t="shared" si="0"/>
        <v>5983</v>
      </c>
    </row>
    <row r="11" spans="1:31" ht="230.25" outlineLevel="3" thickBot="1" x14ac:dyDescent="0.25">
      <c r="A11" s="43" t="s">
        <v>77</v>
      </c>
      <c r="B11" s="142" t="s">
        <v>78</v>
      </c>
      <c r="C11" s="47" t="s">
        <v>79</v>
      </c>
      <c r="D11" s="167" t="s">
        <v>80</v>
      </c>
      <c r="E11" s="48" t="s">
        <v>81</v>
      </c>
      <c r="F11" s="48" t="s">
        <v>82</v>
      </c>
      <c r="G11" s="48" t="s">
        <v>83</v>
      </c>
      <c r="H11" s="26" t="s">
        <v>61</v>
      </c>
      <c r="I11" s="42">
        <v>2</v>
      </c>
      <c r="J11" s="28" t="s">
        <v>84</v>
      </c>
      <c r="K11" s="29" t="s">
        <v>75</v>
      </c>
      <c r="L11" s="30">
        <v>1</v>
      </c>
      <c r="M11" s="31">
        <f t="shared" si="1"/>
        <v>2</v>
      </c>
      <c r="N11" s="32" t="s">
        <v>39</v>
      </c>
      <c r="O11" s="33" t="s">
        <v>76</v>
      </c>
      <c r="P11" s="30">
        <v>5</v>
      </c>
      <c r="Q11" s="34">
        <f t="shared" si="2"/>
        <v>10</v>
      </c>
      <c r="R11" s="49"/>
      <c r="S11" s="49"/>
      <c r="T11" s="49"/>
      <c r="U11" s="50"/>
      <c r="V11" s="51"/>
      <c r="W11" s="52"/>
      <c r="X11" s="51"/>
      <c r="Y11" s="51"/>
      <c r="Z11" s="53"/>
      <c r="AA11" s="40"/>
      <c r="AB11" s="41"/>
      <c r="AD11" s="17">
        <f t="shared" si="3"/>
        <v>5984</v>
      </c>
      <c r="AE11" s="18">
        <f t="shared" si="0"/>
        <v>5984</v>
      </c>
    </row>
    <row r="12" spans="1:31" ht="230.25" outlineLevel="3" thickBot="1" x14ac:dyDescent="0.25">
      <c r="A12" s="43" t="s">
        <v>85</v>
      </c>
      <c r="B12" s="140"/>
      <c r="C12" s="54"/>
      <c r="D12" s="168"/>
      <c r="E12" s="48" t="s">
        <v>86</v>
      </c>
      <c r="F12" s="48" t="s">
        <v>87</v>
      </c>
      <c r="G12" s="48" t="s">
        <v>83</v>
      </c>
      <c r="H12" s="26" t="s">
        <v>61</v>
      </c>
      <c r="I12" s="42">
        <v>2</v>
      </c>
      <c r="J12" s="28" t="s">
        <v>88</v>
      </c>
      <c r="K12" s="29" t="s">
        <v>75</v>
      </c>
      <c r="L12" s="30">
        <v>1</v>
      </c>
      <c r="M12" s="31">
        <f t="shared" si="1"/>
        <v>2</v>
      </c>
      <c r="N12" s="32" t="s">
        <v>39</v>
      </c>
      <c r="O12" s="33" t="s">
        <v>76</v>
      </c>
      <c r="P12" s="30">
        <v>5</v>
      </c>
      <c r="Q12" s="34">
        <f t="shared" si="2"/>
        <v>10</v>
      </c>
      <c r="R12" s="49"/>
      <c r="S12" s="49"/>
      <c r="T12" s="49"/>
      <c r="U12" s="50"/>
      <c r="V12" s="51"/>
      <c r="W12" s="52"/>
      <c r="X12" s="51"/>
      <c r="Y12" s="51"/>
      <c r="Z12" s="53"/>
      <c r="AA12" s="40"/>
      <c r="AB12" s="41"/>
      <c r="AD12" s="17">
        <f t="shared" si="3"/>
        <v>5985</v>
      </c>
      <c r="AE12" s="18">
        <f t="shared" si="0"/>
        <v>5985</v>
      </c>
    </row>
    <row r="13" spans="1:31" ht="230.25" outlineLevel="3" thickBot="1" x14ac:dyDescent="0.25">
      <c r="A13" s="43" t="s">
        <v>89</v>
      </c>
      <c r="B13" s="140"/>
      <c r="C13" s="54"/>
      <c r="D13" s="168"/>
      <c r="E13" s="48" t="s">
        <v>90</v>
      </c>
      <c r="F13" s="48" t="s">
        <v>87</v>
      </c>
      <c r="G13" s="48" t="s">
        <v>83</v>
      </c>
      <c r="H13" s="26" t="s">
        <v>61</v>
      </c>
      <c r="I13" s="42">
        <v>2</v>
      </c>
      <c r="J13" s="28" t="s">
        <v>84</v>
      </c>
      <c r="K13" s="29" t="s">
        <v>75</v>
      </c>
      <c r="L13" s="30">
        <v>1</v>
      </c>
      <c r="M13" s="31">
        <f t="shared" si="1"/>
        <v>2</v>
      </c>
      <c r="N13" s="32" t="s">
        <v>39</v>
      </c>
      <c r="O13" s="33" t="s">
        <v>76</v>
      </c>
      <c r="P13" s="30">
        <v>5</v>
      </c>
      <c r="Q13" s="34">
        <f t="shared" si="2"/>
        <v>10</v>
      </c>
      <c r="R13" s="49"/>
      <c r="S13" s="49"/>
      <c r="T13" s="49"/>
      <c r="U13" s="50"/>
      <c r="V13" s="51"/>
      <c r="W13" s="52"/>
      <c r="X13" s="51"/>
      <c r="Y13" s="51"/>
      <c r="Z13" s="53"/>
      <c r="AA13" s="40"/>
      <c r="AB13" s="41"/>
      <c r="AD13" s="17">
        <f t="shared" si="3"/>
        <v>5986</v>
      </c>
      <c r="AE13" s="18">
        <f t="shared" si="0"/>
        <v>5986</v>
      </c>
    </row>
    <row r="14" spans="1:31" ht="230.25" outlineLevel="3" thickBot="1" x14ac:dyDescent="0.25">
      <c r="A14" s="43" t="s">
        <v>91</v>
      </c>
      <c r="B14" s="141"/>
      <c r="C14" s="55"/>
      <c r="D14" s="169"/>
      <c r="E14" s="48" t="s">
        <v>92</v>
      </c>
      <c r="F14" s="48" t="s">
        <v>93</v>
      </c>
      <c r="G14" s="48" t="s">
        <v>83</v>
      </c>
      <c r="H14" s="26" t="s">
        <v>61</v>
      </c>
      <c r="I14" s="42">
        <v>2</v>
      </c>
      <c r="J14" s="28" t="s">
        <v>74</v>
      </c>
      <c r="K14" s="29" t="s">
        <v>75</v>
      </c>
      <c r="L14" s="30">
        <v>1</v>
      </c>
      <c r="M14" s="31">
        <f t="shared" si="1"/>
        <v>2</v>
      </c>
      <c r="N14" s="32" t="s">
        <v>39</v>
      </c>
      <c r="O14" s="33" t="s">
        <v>76</v>
      </c>
      <c r="P14" s="30">
        <v>5</v>
      </c>
      <c r="Q14" s="34">
        <f t="shared" si="2"/>
        <v>10</v>
      </c>
      <c r="R14" s="49"/>
      <c r="S14" s="49"/>
      <c r="T14" s="49"/>
      <c r="U14" s="50"/>
      <c r="V14" s="51"/>
      <c r="W14" s="52"/>
      <c r="X14" s="51"/>
      <c r="Y14" s="51"/>
      <c r="Z14" s="53"/>
      <c r="AA14" s="40"/>
      <c r="AB14" s="41"/>
      <c r="AD14" s="17">
        <f t="shared" si="3"/>
        <v>5987</v>
      </c>
      <c r="AE14" s="18">
        <f t="shared" si="0"/>
        <v>5987</v>
      </c>
    </row>
    <row r="15" spans="1:31" ht="409.6" outlineLevel="3" thickBot="1" x14ac:dyDescent="0.25">
      <c r="A15" s="10" t="s">
        <v>94</v>
      </c>
      <c r="B15" s="156" t="s">
        <v>95</v>
      </c>
      <c r="C15" s="44" t="s">
        <v>96</v>
      </c>
      <c r="D15" s="142" t="s">
        <v>97</v>
      </c>
      <c r="E15" s="25" t="s">
        <v>33</v>
      </c>
      <c r="F15" s="25" t="s">
        <v>34</v>
      </c>
      <c r="G15" s="25" t="s">
        <v>35</v>
      </c>
      <c r="H15" s="26" t="s">
        <v>36</v>
      </c>
      <c r="I15" s="27">
        <v>2</v>
      </c>
      <c r="J15" s="28" t="s">
        <v>47</v>
      </c>
      <c r="K15" s="29" t="s">
        <v>98</v>
      </c>
      <c r="L15" s="30">
        <v>1</v>
      </c>
      <c r="M15" s="31">
        <f t="shared" si="1"/>
        <v>2</v>
      </c>
      <c r="N15" s="32" t="s">
        <v>39</v>
      </c>
      <c r="O15" s="33" t="s">
        <v>40</v>
      </c>
      <c r="P15" s="30">
        <v>2</v>
      </c>
      <c r="Q15" s="34">
        <f t="shared" si="2"/>
        <v>4</v>
      </c>
      <c r="R15" s="35"/>
      <c r="S15" s="35"/>
      <c r="T15" s="35"/>
      <c r="U15" s="36"/>
      <c r="V15" s="37"/>
      <c r="W15" s="38"/>
      <c r="X15" s="37"/>
      <c r="Y15" s="37"/>
      <c r="Z15" s="39"/>
      <c r="AA15" s="40"/>
      <c r="AB15" s="41"/>
      <c r="AD15" s="17">
        <f t="shared" si="3"/>
        <v>5988</v>
      </c>
      <c r="AE15" s="18">
        <f t="shared" si="0"/>
        <v>5988</v>
      </c>
    </row>
    <row r="16" spans="1:31" ht="230.25" outlineLevel="3" thickBot="1" x14ac:dyDescent="0.25">
      <c r="A16" s="10" t="s">
        <v>99</v>
      </c>
      <c r="B16" s="157"/>
      <c r="C16" s="46"/>
      <c r="D16" s="141"/>
      <c r="E16" s="25" t="s">
        <v>58</v>
      </c>
      <c r="F16" s="25" t="s">
        <v>44</v>
      </c>
      <c r="G16" s="25" t="s">
        <v>45</v>
      </c>
      <c r="H16" s="26" t="s">
        <v>46</v>
      </c>
      <c r="I16" s="42">
        <v>3</v>
      </c>
      <c r="J16" s="28" t="s">
        <v>47</v>
      </c>
      <c r="K16" s="29" t="s">
        <v>100</v>
      </c>
      <c r="L16" s="30">
        <v>1</v>
      </c>
      <c r="M16" s="31">
        <f t="shared" si="1"/>
        <v>3</v>
      </c>
      <c r="N16" s="32" t="s">
        <v>39</v>
      </c>
      <c r="O16" s="33" t="s">
        <v>49</v>
      </c>
      <c r="P16" s="30">
        <v>1</v>
      </c>
      <c r="Q16" s="34">
        <f t="shared" si="2"/>
        <v>3</v>
      </c>
      <c r="R16" s="35"/>
      <c r="S16" s="35"/>
      <c r="T16" s="35"/>
      <c r="U16" s="36"/>
      <c r="V16" s="37"/>
      <c r="W16" s="38"/>
      <c r="X16" s="37"/>
      <c r="Y16" s="37"/>
      <c r="Z16" s="39"/>
      <c r="AA16" s="40"/>
      <c r="AB16" s="41"/>
      <c r="AD16" s="17">
        <f t="shared" si="3"/>
        <v>5989</v>
      </c>
      <c r="AE16" s="18">
        <f t="shared" si="0"/>
        <v>5989</v>
      </c>
    </row>
    <row r="17" spans="1:33" ht="230.25" outlineLevel="3" thickBot="1" x14ac:dyDescent="0.25">
      <c r="A17" s="43" t="s">
        <v>101</v>
      </c>
      <c r="B17" s="156" t="s">
        <v>102</v>
      </c>
      <c r="C17" s="44" t="s">
        <v>103</v>
      </c>
      <c r="D17" s="142" t="s">
        <v>104</v>
      </c>
      <c r="E17" s="25" t="s">
        <v>67</v>
      </c>
      <c r="F17" s="25" t="s">
        <v>105</v>
      </c>
      <c r="G17" s="25" t="s">
        <v>106</v>
      </c>
      <c r="H17" s="26" t="s">
        <v>107</v>
      </c>
      <c r="I17" s="27">
        <v>2</v>
      </c>
      <c r="J17" s="28" t="s">
        <v>84</v>
      </c>
      <c r="K17" s="29" t="s">
        <v>108</v>
      </c>
      <c r="L17" s="30">
        <v>1</v>
      </c>
      <c r="M17" s="31">
        <f t="shared" si="1"/>
        <v>2</v>
      </c>
      <c r="N17" s="32" t="s">
        <v>39</v>
      </c>
      <c r="O17" s="33" t="s">
        <v>76</v>
      </c>
      <c r="P17" s="30">
        <v>5</v>
      </c>
      <c r="Q17" s="34">
        <f t="shared" si="2"/>
        <v>10</v>
      </c>
      <c r="R17" s="35"/>
      <c r="S17" s="35"/>
      <c r="T17" s="35"/>
      <c r="U17" s="36"/>
      <c r="V17" s="37"/>
      <c r="W17" s="38"/>
      <c r="X17" s="37"/>
      <c r="Y17" s="37"/>
      <c r="Z17" s="39"/>
      <c r="AA17" s="40"/>
      <c r="AB17" s="41"/>
      <c r="AD17" s="17">
        <f t="shared" si="3"/>
        <v>5990</v>
      </c>
      <c r="AE17" s="18">
        <f t="shared" si="0"/>
        <v>5990</v>
      </c>
    </row>
    <row r="18" spans="1:33" ht="230.25" outlineLevel="3" thickBot="1" x14ac:dyDescent="0.25">
      <c r="A18" s="43" t="s">
        <v>109</v>
      </c>
      <c r="B18" s="157"/>
      <c r="C18" s="46"/>
      <c r="D18" s="141"/>
      <c r="E18" s="25" t="s">
        <v>71</v>
      </c>
      <c r="F18" s="25" t="s">
        <v>110</v>
      </c>
      <c r="G18" s="25" t="s">
        <v>111</v>
      </c>
      <c r="H18" s="26" t="s">
        <v>61</v>
      </c>
      <c r="I18" s="27">
        <v>2</v>
      </c>
      <c r="J18" s="28" t="s">
        <v>112</v>
      </c>
      <c r="K18" s="29" t="s">
        <v>108</v>
      </c>
      <c r="L18" s="30">
        <v>1</v>
      </c>
      <c r="M18" s="31">
        <f t="shared" si="1"/>
        <v>2</v>
      </c>
      <c r="N18" s="32" t="s">
        <v>39</v>
      </c>
      <c r="O18" s="33" t="s">
        <v>76</v>
      </c>
      <c r="P18" s="30">
        <v>5</v>
      </c>
      <c r="Q18" s="34">
        <f t="shared" si="2"/>
        <v>10</v>
      </c>
      <c r="R18" s="35"/>
      <c r="S18" s="35"/>
      <c r="T18" s="35"/>
      <c r="U18" s="36"/>
      <c r="V18" s="37"/>
      <c r="W18" s="38"/>
      <c r="X18" s="37"/>
      <c r="Y18" s="37"/>
      <c r="Z18" s="39"/>
      <c r="AA18" s="40"/>
      <c r="AB18" s="41"/>
      <c r="AD18" s="17">
        <f t="shared" si="3"/>
        <v>5991</v>
      </c>
      <c r="AE18" s="18">
        <f t="shared" si="0"/>
        <v>5991</v>
      </c>
    </row>
    <row r="19" spans="1:33" ht="21" outlineLevel="1" thickBot="1" x14ac:dyDescent="0.25">
      <c r="A19" s="19"/>
      <c r="B19" s="20" t="s">
        <v>113</v>
      </c>
      <c r="C19" s="21"/>
      <c r="D19" s="22"/>
      <c r="E19" s="22"/>
      <c r="F19" s="22"/>
      <c r="G19" s="22"/>
      <c r="H19" s="22"/>
      <c r="I19" s="22"/>
      <c r="J19" s="22"/>
      <c r="K19" s="22"/>
      <c r="L19" s="22"/>
      <c r="M19" s="22"/>
      <c r="N19" s="22"/>
      <c r="O19" s="22"/>
      <c r="P19" s="22"/>
      <c r="Q19" s="22"/>
      <c r="R19" s="22"/>
      <c r="S19" s="22"/>
      <c r="T19" s="22"/>
      <c r="U19" s="23"/>
      <c r="V19" s="22"/>
      <c r="W19" s="22"/>
      <c r="X19" s="22"/>
      <c r="Y19" s="22"/>
      <c r="Z19" s="22"/>
      <c r="AA19" s="22"/>
      <c r="AB19" s="24"/>
      <c r="AD19" s="17">
        <f t="shared" si="3"/>
        <v>0</v>
      </c>
      <c r="AE19" s="18">
        <f t="shared" si="0"/>
        <v>0</v>
      </c>
    </row>
    <row r="20" spans="1:33" ht="230.25" outlineLevel="3" thickBot="1" x14ac:dyDescent="0.25">
      <c r="A20" s="10" t="s">
        <v>114</v>
      </c>
      <c r="B20" s="170" t="s">
        <v>115</v>
      </c>
      <c r="C20" s="56" t="s">
        <v>116</v>
      </c>
      <c r="D20" s="164" t="s">
        <v>117</v>
      </c>
      <c r="E20" s="25" t="s">
        <v>118</v>
      </c>
      <c r="F20" s="25" t="s">
        <v>119</v>
      </c>
      <c r="G20" s="25" t="s">
        <v>120</v>
      </c>
      <c r="H20" s="26" t="s">
        <v>121</v>
      </c>
      <c r="I20" s="42">
        <v>3</v>
      </c>
      <c r="J20" s="28" t="s">
        <v>47</v>
      </c>
      <c r="K20" s="29" t="s">
        <v>122</v>
      </c>
      <c r="L20" s="30">
        <v>2</v>
      </c>
      <c r="M20" s="31">
        <f>I20*L20</f>
        <v>6</v>
      </c>
      <c r="N20" s="32" t="s">
        <v>39</v>
      </c>
      <c r="O20" s="33" t="s">
        <v>123</v>
      </c>
      <c r="P20" s="30">
        <v>1</v>
      </c>
      <c r="Q20" s="34">
        <f t="shared" ref="Q20:Q90" si="4">M20*P20</f>
        <v>6</v>
      </c>
      <c r="R20" s="35"/>
      <c r="S20" s="35"/>
      <c r="T20" s="35"/>
      <c r="U20" s="36"/>
      <c r="V20" s="37"/>
      <c r="W20" s="38"/>
      <c r="X20" s="37"/>
      <c r="Y20" s="37"/>
      <c r="Z20" s="39"/>
      <c r="AA20" s="40"/>
      <c r="AB20" s="41"/>
      <c r="AD20" s="17">
        <f t="shared" si="3"/>
        <v>-1484</v>
      </c>
      <c r="AE20" s="18">
        <f t="shared" si="0"/>
        <v>1484</v>
      </c>
    </row>
    <row r="21" spans="1:33" ht="230.25" outlineLevel="3" thickBot="1" x14ac:dyDescent="0.25">
      <c r="A21" s="10" t="s">
        <v>124</v>
      </c>
      <c r="B21" s="157"/>
      <c r="C21" s="46"/>
      <c r="D21" s="141"/>
      <c r="E21" s="25" t="s">
        <v>43</v>
      </c>
      <c r="F21" s="25" t="s">
        <v>125</v>
      </c>
      <c r="G21" s="25" t="s">
        <v>126</v>
      </c>
      <c r="H21" s="26" t="s">
        <v>127</v>
      </c>
      <c r="I21" s="27">
        <v>3</v>
      </c>
      <c r="J21" s="28" t="s">
        <v>47</v>
      </c>
      <c r="K21" s="29" t="s">
        <v>128</v>
      </c>
      <c r="L21" s="30">
        <v>2</v>
      </c>
      <c r="M21" s="31">
        <f t="shared" ref="M21:M402" si="5">I21*L21</f>
        <v>6</v>
      </c>
      <c r="N21" s="32" t="s">
        <v>39</v>
      </c>
      <c r="O21" s="33" t="s">
        <v>129</v>
      </c>
      <c r="P21" s="30">
        <v>1</v>
      </c>
      <c r="Q21" s="34">
        <f t="shared" si="4"/>
        <v>6</v>
      </c>
      <c r="R21" s="32"/>
      <c r="S21" s="32"/>
      <c r="T21" s="32"/>
      <c r="U21" s="36"/>
      <c r="V21" s="37"/>
      <c r="W21" s="38"/>
      <c r="X21" s="37"/>
      <c r="Y21" s="37"/>
      <c r="Z21" s="39"/>
      <c r="AA21" s="40"/>
      <c r="AB21" s="41"/>
      <c r="AD21" s="17">
        <f t="shared" si="3"/>
        <v>-1485</v>
      </c>
      <c r="AE21" s="18">
        <f t="shared" si="0"/>
        <v>1485</v>
      </c>
    </row>
    <row r="22" spans="1:33" ht="230.25" outlineLevel="3" thickBot="1" x14ac:dyDescent="0.25">
      <c r="A22" s="10" t="s">
        <v>130</v>
      </c>
      <c r="B22" s="165" t="s">
        <v>131</v>
      </c>
      <c r="C22" s="44" t="s">
        <v>132</v>
      </c>
      <c r="D22" s="142" t="s">
        <v>133</v>
      </c>
      <c r="E22" s="25" t="s">
        <v>118</v>
      </c>
      <c r="F22" s="25" t="s">
        <v>119</v>
      </c>
      <c r="G22" s="25" t="s">
        <v>120</v>
      </c>
      <c r="H22" s="26" t="s">
        <v>121</v>
      </c>
      <c r="I22" s="27">
        <v>3</v>
      </c>
      <c r="J22" s="28" t="s">
        <v>47</v>
      </c>
      <c r="K22" s="29" t="s">
        <v>122</v>
      </c>
      <c r="L22" s="30">
        <v>2</v>
      </c>
      <c r="M22" s="31">
        <f t="shared" si="5"/>
        <v>6</v>
      </c>
      <c r="N22" s="32" t="s">
        <v>39</v>
      </c>
      <c r="O22" s="33" t="s">
        <v>123</v>
      </c>
      <c r="P22" s="30">
        <v>1</v>
      </c>
      <c r="Q22" s="34">
        <f t="shared" si="4"/>
        <v>6</v>
      </c>
      <c r="R22" s="35"/>
      <c r="S22" s="35"/>
      <c r="T22" s="35"/>
      <c r="U22" s="36"/>
      <c r="V22" s="37"/>
      <c r="W22" s="38"/>
      <c r="X22" s="37"/>
      <c r="Y22" s="37"/>
      <c r="Z22" s="39"/>
      <c r="AA22" s="40"/>
      <c r="AB22" s="41"/>
      <c r="AD22" s="17">
        <f t="shared" si="3"/>
        <v>-1486</v>
      </c>
      <c r="AE22" s="18">
        <f t="shared" si="0"/>
        <v>1486</v>
      </c>
    </row>
    <row r="23" spans="1:33" ht="230.25" outlineLevel="3" thickBot="1" x14ac:dyDescent="0.25">
      <c r="A23" s="10" t="s">
        <v>134</v>
      </c>
      <c r="B23" s="166"/>
      <c r="C23" s="46"/>
      <c r="D23" s="141"/>
      <c r="E23" s="25" t="s">
        <v>43</v>
      </c>
      <c r="F23" s="25" t="s">
        <v>125</v>
      </c>
      <c r="G23" s="25" t="s">
        <v>126</v>
      </c>
      <c r="H23" s="26" t="s">
        <v>127</v>
      </c>
      <c r="I23" s="27">
        <v>3</v>
      </c>
      <c r="J23" s="28" t="s">
        <v>47</v>
      </c>
      <c r="K23" s="29" t="s">
        <v>128</v>
      </c>
      <c r="L23" s="30">
        <v>2</v>
      </c>
      <c r="M23" s="31">
        <f t="shared" si="5"/>
        <v>6</v>
      </c>
      <c r="N23" s="32" t="s">
        <v>39</v>
      </c>
      <c r="O23" s="33" t="s">
        <v>129</v>
      </c>
      <c r="P23" s="30">
        <v>1</v>
      </c>
      <c r="Q23" s="34">
        <f t="shared" si="4"/>
        <v>6</v>
      </c>
      <c r="R23" s="35"/>
      <c r="S23" s="35"/>
      <c r="T23" s="35"/>
      <c r="U23" s="36"/>
      <c r="V23" s="37"/>
      <c r="W23" s="38"/>
      <c r="X23" s="37"/>
      <c r="Y23" s="37"/>
      <c r="Z23" s="39"/>
      <c r="AA23" s="40"/>
      <c r="AB23" s="41"/>
      <c r="AD23" s="17">
        <f t="shared" si="3"/>
        <v>-1487</v>
      </c>
      <c r="AE23" s="18">
        <f t="shared" si="0"/>
        <v>1487</v>
      </c>
    </row>
    <row r="24" spans="1:33" ht="230.25" outlineLevel="3" thickBot="1" x14ac:dyDescent="0.25">
      <c r="A24" s="43" t="s">
        <v>135</v>
      </c>
      <c r="B24" s="156" t="s">
        <v>136</v>
      </c>
      <c r="C24" s="44" t="s">
        <v>137</v>
      </c>
      <c r="D24" s="142" t="s">
        <v>138</v>
      </c>
      <c r="E24" s="25" t="s">
        <v>67</v>
      </c>
      <c r="F24" s="25" t="s">
        <v>139</v>
      </c>
      <c r="G24" s="25" t="s">
        <v>140</v>
      </c>
      <c r="H24" s="26" t="s">
        <v>141</v>
      </c>
      <c r="I24" s="27">
        <v>2</v>
      </c>
      <c r="J24" s="28" t="s">
        <v>84</v>
      </c>
      <c r="K24" s="29" t="s">
        <v>142</v>
      </c>
      <c r="L24" s="30">
        <v>1</v>
      </c>
      <c r="M24" s="31">
        <f t="shared" si="5"/>
        <v>2</v>
      </c>
      <c r="N24" s="32" t="s">
        <v>39</v>
      </c>
      <c r="O24" s="33" t="s">
        <v>143</v>
      </c>
      <c r="P24" s="30">
        <v>3</v>
      </c>
      <c r="Q24" s="34">
        <f t="shared" si="4"/>
        <v>6</v>
      </c>
      <c r="R24" s="35"/>
      <c r="S24" s="35"/>
      <c r="T24" s="35"/>
      <c r="U24" s="36"/>
      <c r="V24" s="37"/>
      <c r="W24" s="38"/>
      <c r="X24" s="37"/>
      <c r="Y24" s="37"/>
      <c r="Z24" s="39"/>
      <c r="AA24" s="40"/>
      <c r="AB24" s="41"/>
      <c r="AD24" s="17">
        <f t="shared" si="3"/>
        <v>-1488</v>
      </c>
      <c r="AE24" s="18">
        <f t="shared" si="0"/>
        <v>1488</v>
      </c>
    </row>
    <row r="25" spans="1:33" ht="230.25" outlineLevel="3" thickBot="1" x14ac:dyDescent="0.25">
      <c r="A25" s="10" t="s">
        <v>144</v>
      </c>
      <c r="B25" s="157"/>
      <c r="C25" s="46"/>
      <c r="D25" s="141"/>
      <c r="E25" s="25" t="s">
        <v>71</v>
      </c>
      <c r="F25" s="25" t="s">
        <v>145</v>
      </c>
      <c r="G25" s="25" t="s">
        <v>146</v>
      </c>
      <c r="H25" s="26" t="s">
        <v>147</v>
      </c>
      <c r="I25" s="27">
        <v>2</v>
      </c>
      <c r="J25" s="28" t="s">
        <v>74</v>
      </c>
      <c r="K25" s="29" t="s">
        <v>75</v>
      </c>
      <c r="L25" s="30">
        <v>1</v>
      </c>
      <c r="M25" s="31">
        <f t="shared" si="5"/>
        <v>2</v>
      </c>
      <c r="N25" s="32" t="s">
        <v>39</v>
      </c>
      <c r="O25" s="33" t="s">
        <v>76</v>
      </c>
      <c r="P25" s="30">
        <v>5</v>
      </c>
      <c r="Q25" s="34">
        <f t="shared" si="4"/>
        <v>10</v>
      </c>
      <c r="R25" s="35"/>
      <c r="S25" s="35"/>
      <c r="T25" s="35"/>
      <c r="U25" s="36"/>
      <c r="V25" s="37"/>
      <c r="W25" s="38"/>
      <c r="X25" s="37"/>
      <c r="Y25" s="37"/>
      <c r="Z25" s="39"/>
      <c r="AA25" s="40"/>
      <c r="AB25" s="41"/>
      <c r="AD25" s="17">
        <f t="shared" si="3"/>
        <v>-1489</v>
      </c>
      <c r="AE25" s="18">
        <f t="shared" si="0"/>
        <v>1489</v>
      </c>
    </row>
    <row r="26" spans="1:33" ht="230.25" outlineLevel="3" thickBot="1" x14ac:dyDescent="0.25">
      <c r="A26" s="10" t="s">
        <v>148</v>
      </c>
      <c r="B26" s="156" t="s">
        <v>149</v>
      </c>
      <c r="C26" s="44" t="s">
        <v>150</v>
      </c>
      <c r="D26" s="142" t="s">
        <v>151</v>
      </c>
      <c r="E26" s="25" t="s">
        <v>67</v>
      </c>
      <c r="F26" s="25" t="s">
        <v>152</v>
      </c>
      <c r="G26" s="25" t="s">
        <v>153</v>
      </c>
      <c r="H26" s="26" t="s">
        <v>107</v>
      </c>
      <c r="I26" s="27">
        <v>2</v>
      </c>
      <c r="J26" s="28" t="s">
        <v>84</v>
      </c>
      <c r="K26" s="29" t="s">
        <v>75</v>
      </c>
      <c r="L26" s="30">
        <v>1</v>
      </c>
      <c r="M26" s="31">
        <f t="shared" si="5"/>
        <v>2</v>
      </c>
      <c r="N26" s="32" t="s">
        <v>39</v>
      </c>
      <c r="O26" s="33" t="s">
        <v>76</v>
      </c>
      <c r="P26" s="30">
        <v>5</v>
      </c>
      <c r="Q26" s="34">
        <f t="shared" si="4"/>
        <v>10</v>
      </c>
      <c r="R26" s="35"/>
      <c r="S26" s="35"/>
      <c r="T26" s="35"/>
      <c r="U26" s="36"/>
      <c r="V26" s="37"/>
      <c r="W26" s="38"/>
      <c r="X26" s="37"/>
      <c r="Y26" s="37"/>
      <c r="Z26" s="39"/>
      <c r="AA26" s="40"/>
      <c r="AB26" s="41"/>
      <c r="AD26" s="17">
        <f t="shared" si="3"/>
        <v>-1490</v>
      </c>
      <c r="AE26" s="18">
        <f t="shared" si="0"/>
        <v>1490</v>
      </c>
    </row>
    <row r="27" spans="1:33" ht="230.25" outlineLevel="3" thickBot="1" x14ac:dyDescent="0.25">
      <c r="A27" s="10" t="s">
        <v>154</v>
      </c>
      <c r="B27" s="157"/>
      <c r="C27" s="46"/>
      <c r="D27" s="141"/>
      <c r="E27" s="25" t="s">
        <v>155</v>
      </c>
      <c r="F27" s="25" t="s">
        <v>156</v>
      </c>
      <c r="G27" s="25" t="s">
        <v>120</v>
      </c>
      <c r="H27" s="26" t="s">
        <v>121</v>
      </c>
      <c r="I27" s="27">
        <v>3</v>
      </c>
      <c r="J27" s="28" t="s">
        <v>47</v>
      </c>
      <c r="K27" s="29" t="s">
        <v>122</v>
      </c>
      <c r="L27" s="30">
        <v>1</v>
      </c>
      <c r="M27" s="31">
        <f>I27*L27</f>
        <v>3</v>
      </c>
      <c r="N27" s="32" t="s">
        <v>39</v>
      </c>
      <c r="O27" s="33" t="s">
        <v>123</v>
      </c>
      <c r="P27" s="30">
        <v>3</v>
      </c>
      <c r="Q27" s="34">
        <f t="shared" si="4"/>
        <v>9</v>
      </c>
      <c r="R27" s="35"/>
      <c r="S27" s="35"/>
      <c r="T27" s="35"/>
      <c r="U27" s="36"/>
      <c r="V27" s="37"/>
      <c r="W27" s="38"/>
      <c r="X27" s="37"/>
      <c r="Y27" s="37"/>
      <c r="Z27" s="39"/>
      <c r="AA27" s="40"/>
      <c r="AB27" s="41"/>
      <c r="AD27" s="17">
        <f t="shared" si="3"/>
        <v>-1491</v>
      </c>
      <c r="AE27" s="18">
        <f t="shared" si="0"/>
        <v>1491</v>
      </c>
    </row>
    <row r="28" spans="1:33" ht="230.25" outlineLevel="3" thickBot="1" x14ac:dyDescent="0.25">
      <c r="A28" s="10" t="s">
        <v>157</v>
      </c>
      <c r="B28" s="156" t="s">
        <v>158</v>
      </c>
      <c r="C28" s="44" t="s">
        <v>159</v>
      </c>
      <c r="D28" s="142" t="s">
        <v>160</v>
      </c>
      <c r="E28" s="25" t="s">
        <v>67</v>
      </c>
      <c r="F28" s="25" t="s">
        <v>152</v>
      </c>
      <c r="G28" s="25" t="s">
        <v>153</v>
      </c>
      <c r="H28" s="26" t="s">
        <v>107</v>
      </c>
      <c r="I28" s="27">
        <v>2</v>
      </c>
      <c r="J28" s="28" t="s">
        <v>84</v>
      </c>
      <c r="K28" s="29" t="s">
        <v>75</v>
      </c>
      <c r="L28" s="30">
        <v>1</v>
      </c>
      <c r="M28" s="31">
        <f t="shared" si="5"/>
        <v>2</v>
      </c>
      <c r="N28" s="32" t="s">
        <v>39</v>
      </c>
      <c r="O28" s="33" t="s">
        <v>76</v>
      </c>
      <c r="P28" s="30">
        <v>5</v>
      </c>
      <c r="Q28" s="34">
        <f t="shared" si="4"/>
        <v>10</v>
      </c>
      <c r="R28" s="35"/>
      <c r="S28" s="35"/>
      <c r="T28" s="35"/>
      <c r="U28" s="36"/>
      <c r="V28" s="37"/>
      <c r="W28" s="38"/>
      <c r="X28" s="37"/>
      <c r="Y28" s="37"/>
      <c r="Z28" s="39"/>
      <c r="AA28" s="40"/>
      <c r="AB28" s="57"/>
      <c r="AD28" s="17">
        <f t="shared" si="3"/>
        <v>-1492</v>
      </c>
      <c r="AE28" s="18">
        <f t="shared" si="0"/>
        <v>1492</v>
      </c>
      <c r="AG28" s="58"/>
    </row>
    <row r="29" spans="1:33" ht="230.25" outlineLevel="3" thickBot="1" x14ac:dyDescent="0.25">
      <c r="A29" s="10" t="s">
        <v>161</v>
      </c>
      <c r="B29" s="157"/>
      <c r="C29" s="46"/>
      <c r="D29" s="141"/>
      <c r="E29" s="25" t="s">
        <v>71</v>
      </c>
      <c r="F29" s="25" t="s">
        <v>162</v>
      </c>
      <c r="G29" s="25" t="s">
        <v>163</v>
      </c>
      <c r="H29" s="26" t="s">
        <v>164</v>
      </c>
      <c r="I29" s="27">
        <v>2</v>
      </c>
      <c r="J29" s="28" t="s">
        <v>74</v>
      </c>
      <c r="K29" s="29" t="s">
        <v>165</v>
      </c>
      <c r="L29" s="30">
        <v>1</v>
      </c>
      <c r="M29" s="31">
        <f t="shared" si="5"/>
        <v>2</v>
      </c>
      <c r="N29" s="32" t="s">
        <v>39</v>
      </c>
      <c r="O29" s="33" t="s">
        <v>166</v>
      </c>
      <c r="P29" s="30">
        <v>3</v>
      </c>
      <c r="Q29" s="34">
        <f t="shared" si="4"/>
        <v>6</v>
      </c>
      <c r="R29" s="35"/>
      <c r="S29" s="35"/>
      <c r="T29" s="35"/>
      <c r="U29" s="36"/>
      <c r="V29" s="37"/>
      <c r="W29" s="38"/>
      <c r="X29" s="37"/>
      <c r="Y29" s="37"/>
      <c r="Z29" s="39"/>
      <c r="AA29" s="40"/>
      <c r="AB29" s="57"/>
      <c r="AD29" s="17">
        <f t="shared" si="3"/>
        <v>-1493</v>
      </c>
      <c r="AE29" s="18">
        <f t="shared" si="0"/>
        <v>1493</v>
      </c>
      <c r="AG29" s="58"/>
    </row>
    <row r="30" spans="1:33" ht="230.25" outlineLevel="3" thickBot="1" x14ac:dyDescent="0.25">
      <c r="A30" s="10" t="s">
        <v>167</v>
      </c>
      <c r="B30" s="156" t="s">
        <v>168</v>
      </c>
      <c r="C30" s="44" t="s">
        <v>169</v>
      </c>
      <c r="D30" s="142" t="s">
        <v>170</v>
      </c>
      <c r="E30" s="25" t="s">
        <v>171</v>
      </c>
      <c r="F30" s="25" t="s">
        <v>172</v>
      </c>
      <c r="G30" s="25" t="s">
        <v>173</v>
      </c>
      <c r="H30" s="26" t="s">
        <v>61</v>
      </c>
      <c r="I30" s="27">
        <v>1</v>
      </c>
      <c r="J30" s="28" t="s">
        <v>174</v>
      </c>
      <c r="K30" s="29" t="s">
        <v>75</v>
      </c>
      <c r="L30" s="30">
        <v>1</v>
      </c>
      <c r="M30" s="31">
        <f t="shared" si="5"/>
        <v>1</v>
      </c>
      <c r="N30" s="32" t="s">
        <v>39</v>
      </c>
      <c r="O30" s="33" t="s">
        <v>76</v>
      </c>
      <c r="P30" s="30">
        <v>5</v>
      </c>
      <c r="Q30" s="34">
        <f t="shared" si="4"/>
        <v>5</v>
      </c>
      <c r="R30" s="35"/>
      <c r="S30" s="35"/>
      <c r="T30" s="35"/>
      <c r="U30" s="36"/>
      <c r="V30" s="37"/>
      <c r="W30" s="38"/>
      <c r="X30" s="37"/>
      <c r="Y30" s="37"/>
      <c r="Z30" s="39"/>
      <c r="AA30" s="40"/>
      <c r="AB30" s="41"/>
      <c r="AD30" s="17">
        <f t="shared" si="3"/>
        <v>-1494</v>
      </c>
      <c r="AE30" s="18">
        <f t="shared" si="0"/>
        <v>1494</v>
      </c>
    </row>
    <row r="31" spans="1:33" ht="230.25" outlineLevel="3" thickBot="1" x14ac:dyDescent="0.25">
      <c r="A31" s="10" t="s">
        <v>175</v>
      </c>
      <c r="B31" s="157"/>
      <c r="C31" s="46"/>
      <c r="D31" s="141"/>
      <c r="E31" s="25" t="s">
        <v>176</v>
      </c>
      <c r="F31" s="25" t="s">
        <v>177</v>
      </c>
      <c r="G31" s="25" t="s">
        <v>45</v>
      </c>
      <c r="H31" s="26" t="s">
        <v>46</v>
      </c>
      <c r="I31" s="42">
        <v>3</v>
      </c>
      <c r="J31" s="28" t="s">
        <v>47</v>
      </c>
      <c r="K31" s="29" t="s">
        <v>178</v>
      </c>
      <c r="L31" s="30">
        <v>1</v>
      </c>
      <c r="M31" s="31">
        <f t="shared" si="5"/>
        <v>3</v>
      </c>
      <c r="N31" s="32" t="s">
        <v>39</v>
      </c>
      <c r="O31" s="33" t="s">
        <v>49</v>
      </c>
      <c r="P31" s="30">
        <v>3</v>
      </c>
      <c r="Q31" s="34">
        <f t="shared" si="4"/>
        <v>9</v>
      </c>
      <c r="R31" s="35"/>
      <c r="S31" s="35"/>
      <c r="T31" s="35"/>
      <c r="U31" s="36"/>
      <c r="V31" s="37"/>
      <c r="W31" s="38"/>
      <c r="X31" s="37"/>
      <c r="Y31" s="37"/>
      <c r="Z31" s="39"/>
      <c r="AA31" s="40"/>
      <c r="AB31" s="41"/>
      <c r="AD31" s="17">
        <f t="shared" si="3"/>
        <v>-1495</v>
      </c>
      <c r="AE31" s="18">
        <f t="shared" si="0"/>
        <v>1495</v>
      </c>
    </row>
    <row r="32" spans="1:33" ht="230.25" outlineLevel="3" thickBot="1" x14ac:dyDescent="0.25">
      <c r="A32" s="10" t="s">
        <v>179</v>
      </c>
      <c r="B32" s="156" t="s">
        <v>180</v>
      </c>
      <c r="C32" s="44" t="s">
        <v>181</v>
      </c>
      <c r="D32" s="162" t="s">
        <v>182</v>
      </c>
      <c r="E32" s="25" t="s">
        <v>183</v>
      </c>
      <c r="F32" s="25" t="s">
        <v>184</v>
      </c>
      <c r="G32" s="25" t="s">
        <v>185</v>
      </c>
      <c r="H32" s="26" t="s">
        <v>107</v>
      </c>
      <c r="I32" s="27">
        <v>2</v>
      </c>
      <c r="J32" s="28" t="s">
        <v>186</v>
      </c>
      <c r="K32" s="29" t="s">
        <v>187</v>
      </c>
      <c r="L32" s="30">
        <v>1</v>
      </c>
      <c r="M32" s="31">
        <f t="shared" si="5"/>
        <v>2</v>
      </c>
      <c r="N32" s="32" t="s">
        <v>39</v>
      </c>
      <c r="O32" s="59" t="s">
        <v>76</v>
      </c>
      <c r="P32" s="30">
        <v>5</v>
      </c>
      <c r="Q32" s="34">
        <f>M32*P32</f>
        <v>10</v>
      </c>
      <c r="R32" s="35"/>
      <c r="S32" s="35"/>
      <c r="T32" s="35"/>
      <c r="U32" s="36"/>
      <c r="V32" s="37"/>
      <c r="W32" s="38"/>
      <c r="X32" s="37"/>
      <c r="Y32" s="37"/>
      <c r="Z32" s="39"/>
      <c r="AA32" s="40"/>
      <c r="AB32" s="41"/>
      <c r="AD32" s="17">
        <f t="shared" si="3"/>
        <v>-1496</v>
      </c>
      <c r="AE32" s="18">
        <f t="shared" si="0"/>
        <v>1496</v>
      </c>
    </row>
    <row r="33" spans="1:31" ht="255.75" outlineLevel="3" thickBot="1" x14ac:dyDescent="0.25">
      <c r="A33" s="10" t="s">
        <v>188</v>
      </c>
      <c r="B33" s="157"/>
      <c r="C33" s="46"/>
      <c r="D33" s="163"/>
      <c r="E33" s="25" t="s">
        <v>189</v>
      </c>
      <c r="F33" s="25" t="s">
        <v>190</v>
      </c>
      <c r="G33" s="25" t="s">
        <v>191</v>
      </c>
      <c r="H33" s="26" t="s">
        <v>46</v>
      </c>
      <c r="I33" s="27">
        <v>4</v>
      </c>
      <c r="J33" s="28" t="s">
        <v>192</v>
      </c>
      <c r="K33" s="29" t="s">
        <v>193</v>
      </c>
      <c r="L33" s="30">
        <v>1</v>
      </c>
      <c r="M33" s="45">
        <f t="shared" si="5"/>
        <v>4</v>
      </c>
      <c r="N33" s="32" t="s">
        <v>39</v>
      </c>
      <c r="O33" s="33" t="s">
        <v>166</v>
      </c>
      <c r="P33" s="30">
        <v>3</v>
      </c>
      <c r="Q33" s="34">
        <f>M33*P33</f>
        <v>12</v>
      </c>
      <c r="R33" s="35"/>
      <c r="S33" s="35"/>
      <c r="T33" s="35"/>
      <c r="U33" s="36"/>
      <c r="V33" s="37"/>
      <c r="W33" s="38"/>
      <c r="X33" s="37"/>
      <c r="Y33" s="37"/>
      <c r="Z33" s="39"/>
      <c r="AA33" s="40"/>
      <c r="AB33" s="41"/>
      <c r="AD33" s="17">
        <f t="shared" si="3"/>
        <v>-1497</v>
      </c>
      <c r="AE33" s="18">
        <f t="shared" si="0"/>
        <v>1497</v>
      </c>
    </row>
    <row r="34" spans="1:31" ht="306.75" outlineLevel="3" thickBot="1" x14ac:dyDescent="0.25">
      <c r="A34" s="10" t="s">
        <v>194</v>
      </c>
      <c r="B34" s="156" t="s">
        <v>195</v>
      </c>
      <c r="C34" s="44" t="s">
        <v>196</v>
      </c>
      <c r="D34" s="142" t="s">
        <v>197</v>
      </c>
      <c r="E34" s="25" t="s">
        <v>198</v>
      </c>
      <c r="F34" s="25" t="s">
        <v>199</v>
      </c>
      <c r="G34" s="25" t="s">
        <v>200</v>
      </c>
      <c r="H34" s="26" t="s">
        <v>201</v>
      </c>
      <c r="I34" s="27">
        <v>2</v>
      </c>
      <c r="J34" s="28" t="s">
        <v>186</v>
      </c>
      <c r="K34" s="29" t="s">
        <v>202</v>
      </c>
      <c r="L34" s="30">
        <v>2</v>
      </c>
      <c r="M34" s="31">
        <f t="shared" si="5"/>
        <v>4</v>
      </c>
      <c r="N34" s="32" t="s">
        <v>39</v>
      </c>
      <c r="O34" s="33" t="s">
        <v>166</v>
      </c>
      <c r="P34" s="30">
        <v>2</v>
      </c>
      <c r="Q34" s="34">
        <f t="shared" si="4"/>
        <v>8</v>
      </c>
      <c r="R34" s="35"/>
      <c r="S34" s="35"/>
      <c r="T34" s="35"/>
      <c r="U34" s="36"/>
      <c r="V34" s="37"/>
      <c r="W34" s="38"/>
      <c r="X34" s="37"/>
      <c r="Y34" s="37"/>
      <c r="Z34" s="39"/>
      <c r="AA34" s="40"/>
      <c r="AB34" s="41"/>
      <c r="AD34" s="17">
        <f t="shared" si="3"/>
        <v>-1498</v>
      </c>
      <c r="AE34" s="18">
        <f t="shared" si="0"/>
        <v>1498</v>
      </c>
    </row>
    <row r="35" spans="1:31" ht="230.25" outlineLevel="3" thickBot="1" x14ac:dyDescent="0.25">
      <c r="A35" s="10" t="s">
        <v>203</v>
      </c>
      <c r="B35" s="157"/>
      <c r="C35" s="46"/>
      <c r="D35" s="141"/>
      <c r="E35" s="25" t="s">
        <v>204</v>
      </c>
      <c r="F35" s="25" t="s">
        <v>205</v>
      </c>
      <c r="G35" s="25" t="s">
        <v>206</v>
      </c>
      <c r="H35" s="26" t="s">
        <v>207</v>
      </c>
      <c r="I35" s="27">
        <v>2</v>
      </c>
      <c r="J35" s="28" t="s">
        <v>192</v>
      </c>
      <c r="K35" s="29" t="s">
        <v>208</v>
      </c>
      <c r="L35" s="30">
        <v>2</v>
      </c>
      <c r="M35" s="31">
        <f t="shared" si="5"/>
        <v>4</v>
      </c>
      <c r="N35" s="32" t="s">
        <v>39</v>
      </c>
      <c r="O35" s="33" t="s">
        <v>76</v>
      </c>
      <c r="P35" s="30">
        <v>5</v>
      </c>
      <c r="Q35" s="34">
        <f t="shared" si="4"/>
        <v>20</v>
      </c>
      <c r="R35" s="35"/>
      <c r="S35" s="35"/>
      <c r="T35" s="35"/>
      <c r="U35" s="36"/>
      <c r="V35" s="37"/>
      <c r="W35" s="38"/>
      <c r="X35" s="37"/>
      <c r="Y35" s="37"/>
      <c r="Z35" s="39"/>
      <c r="AA35" s="40"/>
      <c r="AB35" s="41"/>
      <c r="AD35" s="17">
        <f t="shared" si="3"/>
        <v>-1499</v>
      </c>
      <c r="AE35" s="18">
        <f t="shared" si="0"/>
        <v>1499</v>
      </c>
    </row>
    <row r="36" spans="1:31" ht="230.25" outlineLevel="3" thickBot="1" x14ac:dyDescent="0.25">
      <c r="A36" s="43" t="s">
        <v>209</v>
      </c>
      <c r="B36" s="156" t="s">
        <v>210</v>
      </c>
      <c r="C36" s="44" t="s">
        <v>211</v>
      </c>
      <c r="D36" s="142" t="s">
        <v>212</v>
      </c>
      <c r="E36" s="25" t="s">
        <v>67</v>
      </c>
      <c r="F36" s="25" t="s">
        <v>213</v>
      </c>
      <c r="G36" s="25" t="s">
        <v>214</v>
      </c>
      <c r="H36" s="26" t="s">
        <v>215</v>
      </c>
      <c r="I36" s="27">
        <v>2</v>
      </c>
      <c r="J36" s="28" t="s">
        <v>84</v>
      </c>
      <c r="K36" s="29" t="s">
        <v>208</v>
      </c>
      <c r="L36" s="30">
        <v>1</v>
      </c>
      <c r="M36" s="31">
        <f t="shared" si="5"/>
        <v>2</v>
      </c>
      <c r="N36" s="32" t="s">
        <v>39</v>
      </c>
      <c r="O36" s="60" t="s">
        <v>123</v>
      </c>
      <c r="P36" s="30">
        <v>1</v>
      </c>
      <c r="Q36" s="34">
        <f t="shared" si="4"/>
        <v>2</v>
      </c>
      <c r="R36" s="35"/>
      <c r="S36" s="35"/>
      <c r="T36" s="35"/>
      <c r="U36" s="36"/>
      <c r="V36" s="37"/>
      <c r="W36" s="38"/>
      <c r="X36" s="37"/>
      <c r="Y36" s="37"/>
      <c r="Z36" s="39"/>
      <c r="AA36" s="40"/>
      <c r="AB36" s="41"/>
      <c r="AD36" s="17">
        <f t="shared" si="3"/>
        <v>-1500</v>
      </c>
      <c r="AE36" s="18">
        <f t="shared" si="0"/>
        <v>1500</v>
      </c>
    </row>
    <row r="37" spans="1:31" ht="230.25" outlineLevel="3" thickBot="1" x14ac:dyDescent="0.25">
      <c r="A37" s="10" t="s">
        <v>216</v>
      </c>
      <c r="B37" s="157"/>
      <c r="C37" s="46"/>
      <c r="D37" s="141"/>
      <c r="E37" s="25" t="s">
        <v>71</v>
      </c>
      <c r="F37" s="25" t="s">
        <v>217</v>
      </c>
      <c r="G37" s="25" t="s">
        <v>218</v>
      </c>
      <c r="H37" s="26" t="s">
        <v>107</v>
      </c>
      <c r="I37" s="27">
        <v>2</v>
      </c>
      <c r="J37" s="28" t="s">
        <v>219</v>
      </c>
      <c r="K37" s="29" t="s">
        <v>75</v>
      </c>
      <c r="L37" s="30">
        <v>1</v>
      </c>
      <c r="M37" s="45">
        <f t="shared" si="5"/>
        <v>2</v>
      </c>
      <c r="N37" s="32" t="s">
        <v>39</v>
      </c>
      <c r="O37" s="33" t="s">
        <v>76</v>
      </c>
      <c r="P37" s="30">
        <v>5</v>
      </c>
      <c r="Q37" s="34">
        <f t="shared" si="4"/>
        <v>10</v>
      </c>
      <c r="R37" s="35"/>
      <c r="S37" s="35"/>
      <c r="T37" s="35"/>
      <c r="U37" s="36"/>
      <c r="V37" s="37"/>
      <c r="W37" s="38"/>
      <c r="X37" s="37"/>
      <c r="Y37" s="37"/>
      <c r="Z37" s="39"/>
      <c r="AA37" s="40"/>
      <c r="AB37" s="41"/>
      <c r="AD37" s="17">
        <f t="shared" si="3"/>
        <v>-1501</v>
      </c>
      <c r="AE37" s="18">
        <f t="shared" si="0"/>
        <v>1501</v>
      </c>
    </row>
    <row r="38" spans="1:31" ht="230.25" outlineLevel="3" thickBot="1" x14ac:dyDescent="0.25">
      <c r="A38" s="10" t="s">
        <v>220</v>
      </c>
      <c r="B38" s="156" t="s">
        <v>221</v>
      </c>
      <c r="C38" s="44" t="s">
        <v>222</v>
      </c>
      <c r="D38" s="142" t="s">
        <v>223</v>
      </c>
      <c r="E38" s="25" t="s">
        <v>224</v>
      </c>
      <c r="F38" s="25" t="s">
        <v>225</v>
      </c>
      <c r="G38" s="25" t="s">
        <v>226</v>
      </c>
      <c r="H38" s="26" t="s">
        <v>107</v>
      </c>
      <c r="I38" s="27">
        <v>2</v>
      </c>
      <c r="J38" s="28" t="s">
        <v>84</v>
      </c>
      <c r="K38" s="29" t="s">
        <v>75</v>
      </c>
      <c r="L38" s="30">
        <v>1</v>
      </c>
      <c r="M38" s="31">
        <f t="shared" si="5"/>
        <v>2</v>
      </c>
      <c r="N38" s="32" t="s">
        <v>39</v>
      </c>
      <c r="O38" s="33" t="s">
        <v>76</v>
      </c>
      <c r="P38" s="30">
        <v>5</v>
      </c>
      <c r="Q38" s="34">
        <f t="shared" si="4"/>
        <v>10</v>
      </c>
      <c r="R38" s="35"/>
      <c r="S38" s="35"/>
      <c r="T38" s="35"/>
      <c r="U38" s="36"/>
      <c r="V38" s="37"/>
      <c r="W38" s="38"/>
      <c r="X38" s="37"/>
      <c r="Y38" s="37"/>
      <c r="Z38" s="39"/>
      <c r="AA38" s="40"/>
      <c r="AB38" s="41"/>
      <c r="AD38" s="17">
        <f t="shared" si="3"/>
        <v>-1502</v>
      </c>
      <c r="AE38" s="18">
        <f t="shared" si="0"/>
        <v>1502</v>
      </c>
    </row>
    <row r="39" spans="1:31" ht="230.25" outlineLevel="3" thickBot="1" x14ac:dyDescent="0.25">
      <c r="A39" s="10" t="s">
        <v>227</v>
      </c>
      <c r="B39" s="157"/>
      <c r="C39" s="46"/>
      <c r="D39" s="141"/>
      <c r="E39" s="25" t="s">
        <v>228</v>
      </c>
      <c r="F39" s="25" t="s">
        <v>229</v>
      </c>
      <c r="G39" s="25" t="s">
        <v>226</v>
      </c>
      <c r="H39" s="26" t="s">
        <v>107</v>
      </c>
      <c r="I39" s="27">
        <v>2</v>
      </c>
      <c r="J39" s="28" t="s">
        <v>74</v>
      </c>
      <c r="K39" s="29" t="s">
        <v>75</v>
      </c>
      <c r="L39" s="30">
        <v>1</v>
      </c>
      <c r="M39" s="31">
        <f t="shared" si="5"/>
        <v>2</v>
      </c>
      <c r="N39" s="32" t="s">
        <v>39</v>
      </c>
      <c r="O39" s="33" t="s">
        <v>76</v>
      </c>
      <c r="P39" s="30">
        <v>5</v>
      </c>
      <c r="Q39" s="34">
        <f t="shared" si="4"/>
        <v>10</v>
      </c>
      <c r="R39" s="35"/>
      <c r="S39" s="35"/>
      <c r="T39" s="35"/>
      <c r="U39" s="36"/>
      <c r="V39" s="37"/>
      <c r="W39" s="38"/>
      <c r="X39" s="37"/>
      <c r="Y39" s="37"/>
      <c r="Z39" s="39"/>
      <c r="AA39" s="40"/>
      <c r="AB39" s="41"/>
      <c r="AD39" s="17">
        <f t="shared" si="3"/>
        <v>-1503</v>
      </c>
      <c r="AE39" s="18">
        <f t="shared" si="0"/>
        <v>1503</v>
      </c>
    </row>
    <row r="40" spans="1:31" ht="230.25" outlineLevel="3" thickBot="1" x14ac:dyDescent="0.25">
      <c r="A40" s="10" t="s">
        <v>230</v>
      </c>
      <c r="B40" s="156" t="s">
        <v>231</v>
      </c>
      <c r="C40" s="152" t="s">
        <v>232</v>
      </c>
      <c r="D40" s="142" t="s">
        <v>233</v>
      </c>
      <c r="E40" s="25" t="s">
        <v>234</v>
      </c>
      <c r="F40" s="25" t="s">
        <v>235</v>
      </c>
      <c r="G40" s="25" t="s">
        <v>236</v>
      </c>
      <c r="H40" s="26" t="s">
        <v>147</v>
      </c>
      <c r="I40" s="27">
        <v>2</v>
      </c>
      <c r="J40" s="28" t="s">
        <v>237</v>
      </c>
      <c r="K40" s="29" t="s">
        <v>238</v>
      </c>
      <c r="L40" s="30">
        <v>1</v>
      </c>
      <c r="M40" s="31">
        <f t="shared" si="5"/>
        <v>2</v>
      </c>
      <c r="N40" s="32" t="s">
        <v>39</v>
      </c>
      <c r="O40" s="33" t="s">
        <v>76</v>
      </c>
      <c r="P40" s="30">
        <v>5</v>
      </c>
      <c r="Q40" s="34">
        <f t="shared" si="4"/>
        <v>10</v>
      </c>
      <c r="R40" s="35"/>
      <c r="S40" s="35"/>
      <c r="T40" s="35"/>
      <c r="U40" s="36"/>
      <c r="V40" s="37"/>
      <c r="W40" s="38"/>
      <c r="X40" s="37"/>
      <c r="Y40" s="37"/>
      <c r="Z40" s="39"/>
      <c r="AA40" s="40"/>
      <c r="AB40" s="41"/>
      <c r="AD40" s="17">
        <f t="shared" si="3"/>
        <v>-1504</v>
      </c>
      <c r="AE40" s="18">
        <f t="shared" si="0"/>
        <v>1504</v>
      </c>
    </row>
    <row r="41" spans="1:31" ht="255.75" outlineLevel="3" thickBot="1" x14ac:dyDescent="0.25">
      <c r="A41" s="10" t="s">
        <v>239</v>
      </c>
      <c r="B41" s="157"/>
      <c r="C41" s="153"/>
      <c r="D41" s="141"/>
      <c r="E41" s="25" t="s">
        <v>240</v>
      </c>
      <c r="F41" s="25" t="s">
        <v>241</v>
      </c>
      <c r="G41" s="25" t="s">
        <v>191</v>
      </c>
      <c r="H41" s="26" t="s">
        <v>46</v>
      </c>
      <c r="I41" s="27">
        <v>3</v>
      </c>
      <c r="J41" s="28" t="s">
        <v>242</v>
      </c>
      <c r="K41" s="29" t="s">
        <v>193</v>
      </c>
      <c r="L41" s="30">
        <v>1</v>
      </c>
      <c r="M41" s="45">
        <f t="shared" si="5"/>
        <v>3</v>
      </c>
      <c r="N41" s="32" t="s">
        <v>39</v>
      </c>
      <c r="O41" s="33" t="s">
        <v>166</v>
      </c>
      <c r="P41" s="30">
        <v>3</v>
      </c>
      <c r="Q41" s="34">
        <f t="shared" si="4"/>
        <v>9</v>
      </c>
      <c r="R41" s="35"/>
      <c r="S41" s="35"/>
      <c r="T41" s="35"/>
      <c r="U41" s="36"/>
      <c r="V41" s="37"/>
      <c r="W41" s="38"/>
      <c r="X41" s="37"/>
      <c r="Y41" s="37"/>
      <c r="Z41" s="39"/>
      <c r="AA41" s="40"/>
      <c r="AB41" s="41"/>
      <c r="AD41" s="17">
        <f t="shared" si="3"/>
        <v>-1505</v>
      </c>
      <c r="AE41" s="18">
        <f t="shared" si="0"/>
        <v>1505</v>
      </c>
    </row>
    <row r="42" spans="1:31" ht="230.25" outlineLevel="3" thickBot="1" x14ac:dyDescent="0.25">
      <c r="A42" s="10" t="s">
        <v>243</v>
      </c>
      <c r="B42" s="156" t="s">
        <v>244</v>
      </c>
      <c r="C42" s="44" t="s">
        <v>245</v>
      </c>
      <c r="D42" s="142" t="s">
        <v>246</v>
      </c>
      <c r="E42" s="25" t="s">
        <v>247</v>
      </c>
      <c r="F42" s="25" t="s">
        <v>248</v>
      </c>
      <c r="G42" s="25" t="s">
        <v>236</v>
      </c>
      <c r="H42" s="26" t="s">
        <v>147</v>
      </c>
      <c r="I42" s="27">
        <v>2</v>
      </c>
      <c r="J42" s="28" t="s">
        <v>237</v>
      </c>
      <c r="K42" s="29" t="s">
        <v>249</v>
      </c>
      <c r="L42" s="30">
        <v>1</v>
      </c>
      <c r="M42" s="31">
        <f t="shared" si="5"/>
        <v>2</v>
      </c>
      <c r="N42" s="32" t="s">
        <v>39</v>
      </c>
      <c r="O42" s="33" t="s">
        <v>76</v>
      </c>
      <c r="P42" s="30">
        <v>5</v>
      </c>
      <c r="Q42" s="34">
        <f t="shared" si="4"/>
        <v>10</v>
      </c>
      <c r="R42" s="35"/>
      <c r="S42" s="35"/>
      <c r="T42" s="35"/>
      <c r="U42" s="36"/>
      <c r="V42" s="37"/>
      <c r="W42" s="38"/>
      <c r="X42" s="37"/>
      <c r="Y42" s="37"/>
      <c r="Z42" s="39"/>
      <c r="AA42" s="40"/>
      <c r="AB42" s="41"/>
      <c r="AD42" s="17">
        <f t="shared" si="3"/>
        <v>-1506</v>
      </c>
      <c r="AE42" s="18">
        <f t="shared" si="0"/>
        <v>1506</v>
      </c>
    </row>
    <row r="43" spans="1:31" ht="255.75" outlineLevel="3" thickBot="1" x14ac:dyDescent="0.25">
      <c r="A43" s="10" t="s">
        <v>250</v>
      </c>
      <c r="B43" s="157"/>
      <c r="C43" s="46"/>
      <c r="D43" s="141"/>
      <c r="E43" s="25" t="s">
        <v>240</v>
      </c>
      <c r="F43" s="25" t="s">
        <v>251</v>
      </c>
      <c r="G43" s="25" t="s">
        <v>191</v>
      </c>
      <c r="H43" s="26" t="s">
        <v>46</v>
      </c>
      <c r="I43" s="42">
        <v>3</v>
      </c>
      <c r="J43" s="28" t="s">
        <v>242</v>
      </c>
      <c r="K43" s="29" t="s">
        <v>193</v>
      </c>
      <c r="L43" s="30">
        <v>1</v>
      </c>
      <c r="M43" s="31">
        <f t="shared" si="5"/>
        <v>3</v>
      </c>
      <c r="N43" s="32" t="s">
        <v>39</v>
      </c>
      <c r="O43" s="33" t="s">
        <v>166</v>
      </c>
      <c r="P43" s="30">
        <v>3</v>
      </c>
      <c r="Q43" s="34">
        <f t="shared" si="4"/>
        <v>9</v>
      </c>
      <c r="R43" s="35"/>
      <c r="S43" s="35"/>
      <c r="T43" s="35"/>
      <c r="U43" s="36"/>
      <c r="V43" s="37"/>
      <c r="W43" s="38"/>
      <c r="X43" s="37"/>
      <c r="Y43" s="37"/>
      <c r="Z43" s="39"/>
      <c r="AA43" s="40"/>
      <c r="AB43" s="41"/>
      <c r="AD43" s="17">
        <f t="shared" si="3"/>
        <v>-1507</v>
      </c>
      <c r="AE43" s="18">
        <f t="shared" si="0"/>
        <v>1507</v>
      </c>
    </row>
    <row r="44" spans="1:31" ht="230.25" outlineLevel="3" thickBot="1" x14ac:dyDescent="0.25">
      <c r="A44" s="43" t="s">
        <v>252</v>
      </c>
      <c r="B44" s="156" t="s">
        <v>253</v>
      </c>
      <c r="C44" s="44" t="s">
        <v>254</v>
      </c>
      <c r="D44" s="142" t="s">
        <v>255</v>
      </c>
      <c r="E44" s="25" t="s">
        <v>256</v>
      </c>
      <c r="F44" s="25" t="s">
        <v>257</v>
      </c>
      <c r="G44" s="25" t="s">
        <v>226</v>
      </c>
      <c r="H44" s="26" t="s">
        <v>107</v>
      </c>
      <c r="I44" s="42">
        <v>2</v>
      </c>
      <c r="J44" s="28" t="s">
        <v>84</v>
      </c>
      <c r="K44" s="29" t="s">
        <v>75</v>
      </c>
      <c r="L44" s="30">
        <v>1</v>
      </c>
      <c r="M44" s="31">
        <f t="shared" si="5"/>
        <v>2</v>
      </c>
      <c r="N44" s="32" t="s">
        <v>39</v>
      </c>
      <c r="O44" s="33" t="s">
        <v>76</v>
      </c>
      <c r="P44" s="30">
        <v>5</v>
      </c>
      <c r="Q44" s="34">
        <f t="shared" si="4"/>
        <v>10</v>
      </c>
      <c r="R44" s="35"/>
      <c r="S44" s="35"/>
      <c r="T44" s="35"/>
      <c r="U44" s="36"/>
      <c r="V44" s="37"/>
      <c r="W44" s="38"/>
      <c r="X44" s="37"/>
      <c r="Y44" s="37"/>
      <c r="Z44" s="39"/>
      <c r="AA44" s="40"/>
      <c r="AB44" s="41"/>
      <c r="AD44" s="17">
        <f t="shared" si="3"/>
        <v>-1508</v>
      </c>
      <c r="AE44" s="18">
        <f t="shared" si="0"/>
        <v>1508</v>
      </c>
    </row>
    <row r="45" spans="1:31" ht="255.75" outlineLevel="3" thickBot="1" x14ac:dyDescent="0.25">
      <c r="A45" s="10" t="s">
        <v>258</v>
      </c>
      <c r="B45" s="157"/>
      <c r="C45" s="46"/>
      <c r="D45" s="141"/>
      <c r="E45" s="25" t="s">
        <v>71</v>
      </c>
      <c r="F45" s="25" t="s">
        <v>259</v>
      </c>
      <c r="G45" s="25" t="s">
        <v>191</v>
      </c>
      <c r="H45" s="26" t="s">
        <v>46</v>
      </c>
      <c r="I45" s="27">
        <v>4</v>
      </c>
      <c r="J45" s="28" t="s">
        <v>74</v>
      </c>
      <c r="K45" s="29" t="s">
        <v>193</v>
      </c>
      <c r="L45" s="30">
        <v>1</v>
      </c>
      <c r="M45" s="31">
        <f t="shared" si="5"/>
        <v>4</v>
      </c>
      <c r="N45" s="32" t="s">
        <v>39</v>
      </c>
      <c r="O45" s="33" t="s">
        <v>166</v>
      </c>
      <c r="P45" s="30">
        <v>3</v>
      </c>
      <c r="Q45" s="34">
        <f t="shared" si="4"/>
        <v>12</v>
      </c>
      <c r="R45" s="35"/>
      <c r="S45" s="35"/>
      <c r="T45" s="35"/>
      <c r="U45" s="36"/>
      <c r="V45" s="37"/>
      <c r="W45" s="38"/>
      <c r="X45" s="37"/>
      <c r="Y45" s="37"/>
      <c r="Z45" s="39"/>
      <c r="AA45" s="40"/>
      <c r="AB45" s="41"/>
      <c r="AD45" s="17">
        <f t="shared" si="3"/>
        <v>-1509</v>
      </c>
      <c r="AE45" s="18">
        <f t="shared" si="0"/>
        <v>1509</v>
      </c>
    </row>
    <row r="46" spans="1:31" ht="230.25" outlineLevel="3" thickBot="1" x14ac:dyDescent="0.25">
      <c r="A46" s="10" t="s">
        <v>260</v>
      </c>
      <c r="B46" s="156" t="s">
        <v>261</v>
      </c>
      <c r="C46" s="44" t="s">
        <v>262</v>
      </c>
      <c r="D46" s="142" t="s">
        <v>263</v>
      </c>
      <c r="E46" s="25" t="s">
        <v>264</v>
      </c>
      <c r="F46" s="25" t="s">
        <v>265</v>
      </c>
      <c r="G46" s="25" t="s">
        <v>226</v>
      </c>
      <c r="H46" s="26" t="s">
        <v>107</v>
      </c>
      <c r="I46" s="27">
        <v>2</v>
      </c>
      <c r="J46" s="28" t="s">
        <v>186</v>
      </c>
      <c r="K46" s="29" t="s">
        <v>75</v>
      </c>
      <c r="L46" s="30">
        <v>1</v>
      </c>
      <c r="M46" s="31">
        <f t="shared" si="5"/>
        <v>2</v>
      </c>
      <c r="N46" s="32" t="s">
        <v>39</v>
      </c>
      <c r="O46" s="33" t="s">
        <v>76</v>
      </c>
      <c r="P46" s="30">
        <v>5</v>
      </c>
      <c r="Q46" s="34">
        <f t="shared" si="4"/>
        <v>10</v>
      </c>
      <c r="R46" s="35"/>
      <c r="S46" s="35"/>
      <c r="T46" s="35"/>
      <c r="U46" s="36"/>
      <c r="V46" s="37"/>
      <c r="W46" s="38"/>
      <c r="X46" s="37"/>
      <c r="Y46" s="37"/>
      <c r="Z46" s="39"/>
      <c r="AA46" s="40"/>
      <c r="AB46" s="41"/>
      <c r="AD46" s="17">
        <f t="shared" si="3"/>
        <v>-1510</v>
      </c>
      <c r="AE46" s="18">
        <f t="shared" si="0"/>
        <v>1510</v>
      </c>
    </row>
    <row r="47" spans="1:31" ht="230.25" outlineLevel="3" thickBot="1" x14ac:dyDescent="0.25">
      <c r="A47" s="10" t="s">
        <v>266</v>
      </c>
      <c r="B47" s="157"/>
      <c r="C47" s="46"/>
      <c r="D47" s="141"/>
      <c r="E47" s="25" t="s">
        <v>204</v>
      </c>
      <c r="F47" s="25" t="s">
        <v>267</v>
      </c>
      <c r="G47" s="25" t="s">
        <v>191</v>
      </c>
      <c r="H47" s="26" t="s">
        <v>46</v>
      </c>
      <c r="I47" s="27">
        <v>4</v>
      </c>
      <c r="J47" s="28" t="s">
        <v>192</v>
      </c>
      <c r="K47" s="29" t="s">
        <v>268</v>
      </c>
      <c r="L47" s="30">
        <v>1</v>
      </c>
      <c r="M47" s="31">
        <f t="shared" si="5"/>
        <v>4</v>
      </c>
      <c r="N47" s="32" t="s">
        <v>39</v>
      </c>
      <c r="O47" s="33" t="s">
        <v>143</v>
      </c>
      <c r="P47" s="30">
        <v>3</v>
      </c>
      <c r="Q47" s="34">
        <f t="shared" si="4"/>
        <v>12</v>
      </c>
      <c r="R47" s="35"/>
      <c r="S47" s="35"/>
      <c r="T47" s="35"/>
      <c r="U47" s="36"/>
      <c r="V47" s="37"/>
      <c r="W47" s="38"/>
      <c r="X47" s="37"/>
      <c r="Y47" s="37"/>
      <c r="Z47" s="39"/>
      <c r="AA47" s="40"/>
      <c r="AB47" s="41"/>
      <c r="AD47" s="17">
        <f t="shared" si="3"/>
        <v>-1511</v>
      </c>
      <c r="AE47" s="18">
        <f t="shared" si="0"/>
        <v>1511</v>
      </c>
    </row>
    <row r="48" spans="1:31" ht="230.25" outlineLevel="3" thickBot="1" x14ac:dyDescent="0.25">
      <c r="A48" s="61" t="s">
        <v>269</v>
      </c>
      <c r="B48" s="147" t="s">
        <v>270</v>
      </c>
      <c r="C48" s="171" t="s">
        <v>271</v>
      </c>
      <c r="D48" s="147" t="s">
        <v>272</v>
      </c>
      <c r="E48" s="62" t="s">
        <v>273</v>
      </c>
      <c r="F48" s="25" t="s">
        <v>274</v>
      </c>
      <c r="G48" s="25" t="s">
        <v>275</v>
      </c>
      <c r="H48" s="25" t="s">
        <v>107</v>
      </c>
      <c r="I48" s="27">
        <v>1</v>
      </c>
      <c r="J48" s="28" t="s">
        <v>47</v>
      </c>
      <c r="K48" s="29" t="s">
        <v>276</v>
      </c>
      <c r="L48" s="30">
        <v>1</v>
      </c>
      <c r="M48" s="31">
        <f t="shared" si="5"/>
        <v>1</v>
      </c>
      <c r="N48" s="32" t="s">
        <v>39</v>
      </c>
      <c r="O48" s="63" t="s">
        <v>76</v>
      </c>
      <c r="P48" s="30">
        <v>5</v>
      </c>
      <c r="Q48" s="34">
        <f t="shared" si="4"/>
        <v>5</v>
      </c>
      <c r="R48" s="35"/>
      <c r="S48" s="35"/>
      <c r="T48" s="35"/>
      <c r="U48" s="36"/>
      <c r="V48" s="37"/>
      <c r="W48" s="38"/>
      <c r="X48" s="37"/>
      <c r="Y48" s="37"/>
      <c r="Z48" s="39"/>
      <c r="AA48" s="40"/>
      <c r="AB48" s="41"/>
      <c r="AD48" s="17">
        <f t="shared" si="3"/>
        <v>10434</v>
      </c>
      <c r="AE48" s="18"/>
    </row>
    <row r="49" spans="1:31" ht="230.25" outlineLevel="3" thickBot="1" x14ac:dyDescent="0.25">
      <c r="A49" s="61" t="s">
        <v>277</v>
      </c>
      <c r="B49" s="148"/>
      <c r="C49" s="172"/>
      <c r="D49" s="176"/>
      <c r="E49" s="62" t="s">
        <v>278</v>
      </c>
      <c r="F49" s="25" t="s">
        <v>279</v>
      </c>
      <c r="G49" s="25" t="s">
        <v>280</v>
      </c>
      <c r="H49" s="64" t="s">
        <v>281</v>
      </c>
      <c r="I49" s="27">
        <v>3</v>
      </c>
      <c r="J49" s="28" t="s">
        <v>47</v>
      </c>
      <c r="K49" s="29" t="s">
        <v>276</v>
      </c>
      <c r="L49" s="30">
        <v>1</v>
      </c>
      <c r="M49" s="31">
        <f t="shared" si="5"/>
        <v>3</v>
      </c>
      <c r="N49" s="32" t="s">
        <v>39</v>
      </c>
      <c r="O49" s="60" t="s">
        <v>49</v>
      </c>
      <c r="P49" s="30">
        <v>1</v>
      </c>
      <c r="Q49" s="34">
        <f t="shared" si="4"/>
        <v>3</v>
      </c>
      <c r="R49" s="35"/>
      <c r="S49" s="35"/>
      <c r="T49" s="35"/>
      <c r="U49" s="36"/>
      <c r="V49" s="37"/>
      <c r="W49" s="38"/>
      <c r="X49" s="37"/>
      <c r="Y49" s="37"/>
      <c r="Z49" s="39"/>
      <c r="AA49" s="40"/>
      <c r="AB49" s="41"/>
      <c r="AD49" s="17">
        <f t="shared" si="3"/>
        <v>10435</v>
      </c>
      <c r="AE49" s="18"/>
    </row>
    <row r="50" spans="1:31" ht="230.25" outlineLevel="3" thickBot="1" x14ac:dyDescent="0.25">
      <c r="A50" s="61" t="s">
        <v>282</v>
      </c>
      <c r="B50" s="185" t="s">
        <v>283</v>
      </c>
      <c r="C50" s="171" t="s">
        <v>284</v>
      </c>
      <c r="D50" s="147" t="s">
        <v>285</v>
      </c>
      <c r="E50" s="62" t="s">
        <v>273</v>
      </c>
      <c r="F50" s="25" t="s">
        <v>274</v>
      </c>
      <c r="G50" s="25" t="s">
        <v>275</v>
      </c>
      <c r="H50" s="25" t="s">
        <v>107</v>
      </c>
      <c r="I50" s="27">
        <v>1</v>
      </c>
      <c r="J50" s="28" t="s">
        <v>47</v>
      </c>
      <c r="K50" s="29" t="s">
        <v>276</v>
      </c>
      <c r="L50" s="30">
        <v>1</v>
      </c>
      <c r="M50" s="31">
        <f>I50*L50</f>
        <v>1</v>
      </c>
      <c r="N50" s="32" t="s">
        <v>39</v>
      </c>
      <c r="O50" s="65" t="s">
        <v>76</v>
      </c>
      <c r="P50" s="30">
        <v>5</v>
      </c>
      <c r="Q50" s="34">
        <f t="shared" si="4"/>
        <v>5</v>
      </c>
      <c r="R50" s="35"/>
      <c r="S50" s="35"/>
      <c r="T50" s="35"/>
      <c r="U50" s="36"/>
      <c r="V50" s="37"/>
      <c r="W50" s="38"/>
      <c r="X50" s="37"/>
      <c r="Y50" s="37"/>
      <c r="Z50" s="39"/>
      <c r="AA50" s="40"/>
      <c r="AB50" s="41"/>
      <c r="AD50" s="17">
        <f t="shared" si="3"/>
        <v>10436</v>
      </c>
      <c r="AE50" s="18"/>
    </row>
    <row r="51" spans="1:31" ht="230.25" outlineLevel="3" thickBot="1" x14ac:dyDescent="0.25">
      <c r="A51" s="61" t="s">
        <v>286</v>
      </c>
      <c r="B51" s="190"/>
      <c r="C51" s="172"/>
      <c r="D51" s="176"/>
      <c r="E51" s="62" t="s">
        <v>278</v>
      </c>
      <c r="F51" s="25" t="s">
        <v>287</v>
      </c>
      <c r="G51" s="25" t="s">
        <v>275</v>
      </c>
      <c r="H51" s="25" t="s">
        <v>107</v>
      </c>
      <c r="I51" s="27">
        <v>2</v>
      </c>
      <c r="J51" s="28" t="s">
        <v>47</v>
      </c>
      <c r="K51" s="29" t="s">
        <v>276</v>
      </c>
      <c r="L51" s="30">
        <v>1</v>
      </c>
      <c r="M51" s="31">
        <f t="shared" ref="M51:M58" si="6">I51*L51</f>
        <v>2</v>
      </c>
      <c r="N51" s="32" t="s">
        <v>39</v>
      </c>
      <c r="O51" s="65" t="s">
        <v>76</v>
      </c>
      <c r="P51" s="30">
        <v>5</v>
      </c>
      <c r="Q51" s="34">
        <f t="shared" si="4"/>
        <v>10</v>
      </c>
      <c r="R51" s="35"/>
      <c r="S51" s="35"/>
      <c r="T51" s="35"/>
      <c r="U51" s="36"/>
      <c r="V51" s="37"/>
      <c r="W51" s="38"/>
      <c r="X51" s="37"/>
      <c r="Y51" s="37"/>
      <c r="Z51" s="39"/>
      <c r="AA51" s="40"/>
      <c r="AB51" s="41"/>
      <c r="AD51" s="17">
        <f t="shared" si="3"/>
        <v>10437</v>
      </c>
      <c r="AE51" s="18"/>
    </row>
    <row r="52" spans="1:31" ht="230.25" outlineLevel="3" thickBot="1" x14ac:dyDescent="0.25">
      <c r="A52" s="61" t="s">
        <v>288</v>
      </c>
      <c r="B52" s="185" t="s">
        <v>289</v>
      </c>
      <c r="C52" s="188" t="s">
        <v>290</v>
      </c>
      <c r="D52" s="180" t="s">
        <v>291</v>
      </c>
      <c r="E52" s="66" t="s">
        <v>292</v>
      </c>
      <c r="F52" s="25" t="s">
        <v>293</v>
      </c>
      <c r="G52" s="25" t="s">
        <v>275</v>
      </c>
      <c r="H52" s="25" t="s">
        <v>107</v>
      </c>
      <c r="I52" s="27">
        <v>2</v>
      </c>
      <c r="J52" s="28" t="s">
        <v>47</v>
      </c>
      <c r="K52" s="29" t="s">
        <v>276</v>
      </c>
      <c r="L52" s="30">
        <v>1</v>
      </c>
      <c r="M52" s="31">
        <f t="shared" si="6"/>
        <v>2</v>
      </c>
      <c r="N52" s="32" t="s">
        <v>39</v>
      </c>
      <c r="O52" s="65" t="s">
        <v>76</v>
      </c>
      <c r="P52" s="30">
        <v>5</v>
      </c>
      <c r="Q52" s="34">
        <f t="shared" si="4"/>
        <v>10</v>
      </c>
      <c r="R52" s="35"/>
      <c r="S52" s="35"/>
      <c r="T52" s="35"/>
      <c r="U52" s="36"/>
      <c r="V52" s="37"/>
      <c r="W52" s="38"/>
      <c r="X52" s="37"/>
      <c r="Y52" s="37"/>
      <c r="Z52" s="39"/>
      <c r="AA52" s="40"/>
      <c r="AB52" s="41"/>
      <c r="AD52" s="17">
        <f t="shared" si="3"/>
        <v>10438</v>
      </c>
      <c r="AE52" s="18"/>
    </row>
    <row r="53" spans="1:31" ht="230.25" outlineLevel="3" thickBot="1" x14ac:dyDescent="0.25">
      <c r="A53" s="61" t="s">
        <v>294</v>
      </c>
      <c r="B53" s="190"/>
      <c r="C53" s="191"/>
      <c r="D53" s="192"/>
      <c r="E53" s="66" t="s">
        <v>295</v>
      </c>
      <c r="F53" s="25" t="s">
        <v>296</v>
      </c>
      <c r="G53" s="25" t="s">
        <v>275</v>
      </c>
      <c r="H53" s="25" t="s">
        <v>107</v>
      </c>
      <c r="I53" s="27">
        <v>2</v>
      </c>
      <c r="J53" s="28" t="s">
        <v>47</v>
      </c>
      <c r="K53" s="29" t="s">
        <v>276</v>
      </c>
      <c r="L53" s="30">
        <v>1</v>
      </c>
      <c r="M53" s="31">
        <f t="shared" si="6"/>
        <v>2</v>
      </c>
      <c r="N53" s="32" t="s">
        <v>39</v>
      </c>
      <c r="O53" s="65" t="s">
        <v>76</v>
      </c>
      <c r="P53" s="30">
        <v>5</v>
      </c>
      <c r="Q53" s="34">
        <f t="shared" si="4"/>
        <v>10</v>
      </c>
      <c r="R53" s="35"/>
      <c r="S53" s="35"/>
      <c r="T53" s="35"/>
      <c r="U53" s="36"/>
      <c r="V53" s="37"/>
      <c r="W53" s="38"/>
      <c r="X53" s="37"/>
      <c r="Y53" s="37"/>
      <c r="Z53" s="39"/>
      <c r="AA53" s="40"/>
      <c r="AB53" s="41"/>
      <c r="AD53" s="17">
        <f t="shared" si="3"/>
        <v>10439</v>
      </c>
      <c r="AE53" s="18"/>
    </row>
    <row r="54" spans="1:31" ht="230.25" outlineLevel="3" thickBot="1" x14ac:dyDescent="0.25">
      <c r="A54" s="61" t="s">
        <v>297</v>
      </c>
      <c r="B54" s="190"/>
      <c r="C54" s="191"/>
      <c r="D54" s="192"/>
      <c r="E54" s="66" t="s">
        <v>298</v>
      </c>
      <c r="F54" s="25" t="s">
        <v>299</v>
      </c>
      <c r="G54" s="25" t="s">
        <v>275</v>
      </c>
      <c r="H54" s="25" t="s">
        <v>107</v>
      </c>
      <c r="I54" s="27">
        <v>2</v>
      </c>
      <c r="J54" s="28" t="s">
        <v>47</v>
      </c>
      <c r="K54" s="29" t="s">
        <v>276</v>
      </c>
      <c r="L54" s="30">
        <v>1</v>
      </c>
      <c r="M54" s="31">
        <f t="shared" si="6"/>
        <v>2</v>
      </c>
      <c r="N54" s="32" t="s">
        <v>39</v>
      </c>
      <c r="O54" s="65" t="s">
        <v>76</v>
      </c>
      <c r="P54" s="30">
        <v>5</v>
      </c>
      <c r="Q54" s="34">
        <f t="shared" si="4"/>
        <v>10</v>
      </c>
      <c r="R54" s="35"/>
      <c r="S54" s="35"/>
      <c r="T54" s="35"/>
      <c r="U54" s="36"/>
      <c r="V54" s="37"/>
      <c r="W54" s="38"/>
      <c r="X54" s="37"/>
      <c r="Y54" s="37"/>
      <c r="Z54" s="39"/>
      <c r="AA54" s="40"/>
      <c r="AB54" s="41"/>
      <c r="AD54" s="17">
        <f t="shared" si="3"/>
        <v>10440</v>
      </c>
      <c r="AE54" s="18"/>
    </row>
    <row r="55" spans="1:31" ht="230.25" outlineLevel="3" thickBot="1" x14ac:dyDescent="0.25">
      <c r="A55" s="61" t="s">
        <v>300</v>
      </c>
      <c r="B55" s="186"/>
      <c r="C55" s="189"/>
      <c r="D55" s="181"/>
      <c r="E55" s="66" t="s">
        <v>301</v>
      </c>
      <c r="F55" s="25" t="s">
        <v>302</v>
      </c>
      <c r="G55" s="25" t="s">
        <v>275</v>
      </c>
      <c r="H55" s="25" t="s">
        <v>107</v>
      </c>
      <c r="I55" s="27">
        <v>2</v>
      </c>
      <c r="J55" s="28" t="s">
        <v>47</v>
      </c>
      <c r="K55" s="29" t="s">
        <v>276</v>
      </c>
      <c r="L55" s="30">
        <v>1</v>
      </c>
      <c r="M55" s="31">
        <f t="shared" si="6"/>
        <v>2</v>
      </c>
      <c r="N55" s="32" t="s">
        <v>39</v>
      </c>
      <c r="O55" s="65" t="s">
        <v>76</v>
      </c>
      <c r="P55" s="30">
        <v>5</v>
      </c>
      <c r="Q55" s="34">
        <f t="shared" si="4"/>
        <v>10</v>
      </c>
      <c r="R55" s="35"/>
      <c r="S55" s="35"/>
      <c r="T55" s="35"/>
      <c r="U55" s="36"/>
      <c r="V55" s="37"/>
      <c r="W55" s="38"/>
      <c r="X55" s="37"/>
      <c r="Y55" s="37"/>
      <c r="Z55" s="39"/>
      <c r="AA55" s="40"/>
      <c r="AB55" s="41"/>
      <c r="AD55" s="17">
        <f t="shared" si="3"/>
        <v>10441</v>
      </c>
      <c r="AE55" s="18"/>
    </row>
    <row r="56" spans="1:31" ht="230.25" outlineLevel="3" thickBot="1" x14ac:dyDescent="0.25">
      <c r="A56" s="61" t="s">
        <v>303</v>
      </c>
      <c r="B56" s="185" t="s">
        <v>304</v>
      </c>
      <c r="C56" s="188" t="s">
        <v>305</v>
      </c>
      <c r="D56" s="180" t="s">
        <v>306</v>
      </c>
      <c r="E56" s="25" t="s">
        <v>198</v>
      </c>
      <c r="F56" s="25" t="s">
        <v>307</v>
      </c>
      <c r="G56" s="25" t="s">
        <v>275</v>
      </c>
      <c r="H56" s="25" t="s">
        <v>107</v>
      </c>
      <c r="I56" s="27">
        <v>2</v>
      </c>
      <c r="J56" s="28" t="s">
        <v>47</v>
      </c>
      <c r="K56" s="29" t="s">
        <v>276</v>
      </c>
      <c r="L56" s="30">
        <v>1</v>
      </c>
      <c r="M56" s="31">
        <f t="shared" si="6"/>
        <v>2</v>
      </c>
      <c r="N56" s="32" t="s">
        <v>39</v>
      </c>
      <c r="O56" s="65" t="s">
        <v>76</v>
      </c>
      <c r="P56" s="30">
        <v>5</v>
      </c>
      <c r="Q56" s="34">
        <f t="shared" si="4"/>
        <v>10</v>
      </c>
      <c r="R56" s="35"/>
      <c r="S56" s="35"/>
      <c r="T56" s="35"/>
      <c r="U56" s="36"/>
      <c r="V56" s="37"/>
      <c r="W56" s="38"/>
      <c r="X56" s="37"/>
      <c r="Y56" s="37"/>
      <c r="Z56" s="39"/>
      <c r="AA56" s="40"/>
      <c r="AB56" s="41"/>
      <c r="AD56" s="17">
        <f t="shared" si="3"/>
        <v>10442</v>
      </c>
      <c r="AE56" s="18"/>
    </row>
    <row r="57" spans="1:31" ht="230.25" outlineLevel="3" thickBot="1" x14ac:dyDescent="0.25">
      <c r="A57" s="61" t="s">
        <v>308</v>
      </c>
      <c r="B57" s="186"/>
      <c r="C57" s="189"/>
      <c r="D57" s="181"/>
      <c r="E57" s="25" t="s">
        <v>204</v>
      </c>
      <c r="F57" s="25" t="s">
        <v>309</v>
      </c>
      <c r="G57" s="25" t="s">
        <v>275</v>
      </c>
      <c r="H57" s="25" t="s">
        <v>107</v>
      </c>
      <c r="I57" s="27">
        <v>2</v>
      </c>
      <c r="J57" s="28" t="s">
        <v>47</v>
      </c>
      <c r="K57" s="29" t="s">
        <v>276</v>
      </c>
      <c r="L57" s="30">
        <v>1</v>
      </c>
      <c r="M57" s="31">
        <f t="shared" si="6"/>
        <v>2</v>
      </c>
      <c r="N57" s="32" t="s">
        <v>39</v>
      </c>
      <c r="O57" s="65" t="s">
        <v>76</v>
      </c>
      <c r="P57" s="30">
        <v>5</v>
      </c>
      <c r="Q57" s="34">
        <f t="shared" si="4"/>
        <v>10</v>
      </c>
      <c r="R57" s="35"/>
      <c r="S57" s="35"/>
      <c r="T57" s="35"/>
      <c r="U57" s="36"/>
      <c r="V57" s="37"/>
      <c r="W57" s="38"/>
      <c r="X57" s="37"/>
      <c r="Y57" s="37"/>
      <c r="Z57" s="39"/>
      <c r="AA57" s="40"/>
      <c r="AB57" s="41"/>
      <c r="AD57" s="17">
        <f t="shared" si="3"/>
        <v>10443</v>
      </c>
      <c r="AE57" s="18"/>
    </row>
    <row r="58" spans="1:31" ht="230.25" outlineLevel="3" thickBot="1" x14ac:dyDescent="0.25">
      <c r="A58" s="61" t="s">
        <v>310</v>
      </c>
      <c r="B58" s="185" t="s">
        <v>311</v>
      </c>
      <c r="C58" s="188" t="s">
        <v>312</v>
      </c>
      <c r="D58" s="180" t="s">
        <v>313</v>
      </c>
      <c r="E58" s="25" t="s">
        <v>198</v>
      </c>
      <c r="F58" s="25" t="s">
        <v>314</v>
      </c>
      <c r="G58" s="25" t="s">
        <v>275</v>
      </c>
      <c r="H58" s="26" t="s">
        <v>61</v>
      </c>
      <c r="I58" s="27">
        <v>1</v>
      </c>
      <c r="J58" s="28" t="s">
        <v>47</v>
      </c>
      <c r="K58" s="29" t="s">
        <v>276</v>
      </c>
      <c r="L58" s="30">
        <v>1</v>
      </c>
      <c r="M58" s="31">
        <f t="shared" si="6"/>
        <v>1</v>
      </c>
      <c r="N58" s="32" t="s">
        <v>39</v>
      </c>
      <c r="O58" s="33" t="s">
        <v>76</v>
      </c>
      <c r="P58" s="30">
        <v>5</v>
      </c>
      <c r="Q58" s="34">
        <f t="shared" si="4"/>
        <v>5</v>
      </c>
      <c r="R58" s="35"/>
      <c r="S58" s="35"/>
      <c r="T58" s="35"/>
      <c r="U58" s="36"/>
      <c r="V58" s="37"/>
      <c r="W58" s="38"/>
      <c r="X58" s="37"/>
      <c r="Y58" s="37"/>
      <c r="Z58" s="39"/>
      <c r="AA58" s="40"/>
      <c r="AB58" s="41"/>
      <c r="AD58" s="17">
        <f t="shared" si="3"/>
        <v>10444</v>
      </c>
      <c r="AE58" s="18"/>
    </row>
    <row r="59" spans="1:31" ht="230.25" outlineLevel="3" thickBot="1" x14ac:dyDescent="0.25">
      <c r="A59" s="61" t="s">
        <v>315</v>
      </c>
      <c r="B59" s="186"/>
      <c r="C59" s="189"/>
      <c r="D59" s="181"/>
      <c r="E59" s="25" t="s">
        <v>204</v>
      </c>
      <c r="F59" s="25" t="s">
        <v>316</v>
      </c>
      <c r="G59" s="25" t="s">
        <v>275</v>
      </c>
      <c r="H59" s="26" t="s">
        <v>61</v>
      </c>
      <c r="I59" s="27">
        <v>1</v>
      </c>
      <c r="J59" s="28" t="s">
        <v>47</v>
      </c>
      <c r="K59" s="29" t="s">
        <v>276</v>
      </c>
      <c r="L59" s="30">
        <v>2</v>
      </c>
      <c r="M59" s="31">
        <f>I59*L59</f>
        <v>2</v>
      </c>
      <c r="N59" s="32" t="s">
        <v>39</v>
      </c>
      <c r="O59" s="33" t="s">
        <v>76</v>
      </c>
      <c r="P59" s="30">
        <v>5</v>
      </c>
      <c r="Q59" s="34">
        <f t="shared" si="4"/>
        <v>10</v>
      </c>
      <c r="R59" s="35"/>
      <c r="S59" s="35"/>
      <c r="T59" s="35"/>
      <c r="U59" s="36"/>
      <c r="V59" s="37"/>
      <c r="W59" s="38"/>
      <c r="X59" s="37"/>
      <c r="Y59" s="37"/>
      <c r="Z59" s="39"/>
      <c r="AA59" s="40"/>
      <c r="AB59" s="41"/>
      <c r="AD59" s="17">
        <f t="shared" si="3"/>
        <v>10445</v>
      </c>
      <c r="AE59" s="18"/>
    </row>
    <row r="60" spans="1:31" ht="230.25" outlineLevel="3" thickBot="1" x14ac:dyDescent="0.25">
      <c r="A60" s="10" t="s">
        <v>317</v>
      </c>
      <c r="B60" s="156" t="s">
        <v>318</v>
      </c>
      <c r="C60" s="44" t="s">
        <v>319</v>
      </c>
      <c r="D60" s="142" t="s">
        <v>320</v>
      </c>
      <c r="E60" s="25" t="s">
        <v>198</v>
      </c>
      <c r="F60" s="25" t="s">
        <v>321</v>
      </c>
      <c r="G60" s="25" t="s">
        <v>226</v>
      </c>
      <c r="H60" s="26" t="s">
        <v>107</v>
      </c>
      <c r="I60" s="27">
        <v>2</v>
      </c>
      <c r="J60" s="28" t="s">
        <v>186</v>
      </c>
      <c r="K60" s="29" t="s">
        <v>75</v>
      </c>
      <c r="L60" s="30">
        <v>1</v>
      </c>
      <c r="M60" s="31">
        <f t="shared" si="5"/>
        <v>2</v>
      </c>
      <c r="N60" s="32" t="s">
        <v>39</v>
      </c>
      <c r="O60" s="33" t="s">
        <v>76</v>
      </c>
      <c r="P60" s="30">
        <v>5</v>
      </c>
      <c r="Q60" s="34">
        <f t="shared" si="4"/>
        <v>10</v>
      </c>
      <c r="R60" s="35"/>
      <c r="S60" s="35"/>
      <c r="T60" s="35"/>
      <c r="U60" s="36"/>
      <c r="V60" s="37"/>
      <c r="W60" s="38"/>
      <c r="X60" s="37"/>
      <c r="Y60" s="37"/>
      <c r="Z60" s="39"/>
      <c r="AA60" s="40"/>
      <c r="AB60" s="41"/>
      <c r="AD60" s="17">
        <f t="shared" si="3"/>
        <v>-1512</v>
      </c>
      <c r="AE60" s="18">
        <f t="shared" si="0"/>
        <v>1512</v>
      </c>
    </row>
    <row r="61" spans="1:31" ht="230.25" outlineLevel="3" thickBot="1" x14ac:dyDescent="0.25">
      <c r="A61" s="10" t="s">
        <v>322</v>
      </c>
      <c r="B61" s="157"/>
      <c r="C61" s="46"/>
      <c r="D61" s="141"/>
      <c r="E61" s="25" t="s">
        <v>204</v>
      </c>
      <c r="F61" s="25" t="s">
        <v>323</v>
      </c>
      <c r="G61" s="25" t="s">
        <v>191</v>
      </c>
      <c r="H61" s="26" t="s">
        <v>46</v>
      </c>
      <c r="I61" s="27">
        <v>4</v>
      </c>
      <c r="J61" s="28" t="s">
        <v>192</v>
      </c>
      <c r="K61" s="29" t="s">
        <v>324</v>
      </c>
      <c r="L61" s="30">
        <v>1</v>
      </c>
      <c r="M61" s="31">
        <f t="shared" si="5"/>
        <v>4</v>
      </c>
      <c r="N61" s="32" t="s">
        <v>39</v>
      </c>
      <c r="O61" s="60" t="s">
        <v>123</v>
      </c>
      <c r="P61" s="30">
        <v>2</v>
      </c>
      <c r="Q61" s="34">
        <f t="shared" si="4"/>
        <v>8</v>
      </c>
      <c r="R61" s="35"/>
      <c r="S61" s="35"/>
      <c r="T61" s="35"/>
      <c r="U61" s="36"/>
      <c r="V61" s="37"/>
      <c r="W61" s="38"/>
      <c r="X61" s="37"/>
      <c r="Y61" s="37"/>
      <c r="Z61" s="39"/>
      <c r="AA61" s="40"/>
      <c r="AB61" s="41"/>
      <c r="AD61" s="17">
        <f t="shared" si="3"/>
        <v>-1513</v>
      </c>
      <c r="AE61" s="18">
        <f t="shared" si="0"/>
        <v>1513</v>
      </c>
    </row>
    <row r="62" spans="1:31" ht="230.25" outlineLevel="3" thickBot="1" x14ac:dyDescent="0.25">
      <c r="A62" s="10" t="s">
        <v>325</v>
      </c>
      <c r="B62" s="156" t="s">
        <v>326</v>
      </c>
      <c r="C62" s="44" t="s">
        <v>327</v>
      </c>
      <c r="D62" s="142" t="s">
        <v>328</v>
      </c>
      <c r="E62" s="25" t="s">
        <v>33</v>
      </c>
      <c r="F62" s="25" t="s">
        <v>329</v>
      </c>
      <c r="G62" s="25" t="s">
        <v>275</v>
      </c>
      <c r="H62" s="26" t="s">
        <v>61</v>
      </c>
      <c r="I62" s="27">
        <v>1</v>
      </c>
      <c r="J62" s="28" t="s">
        <v>47</v>
      </c>
      <c r="K62" s="29" t="s">
        <v>62</v>
      </c>
      <c r="L62" s="30">
        <v>2</v>
      </c>
      <c r="M62" s="31">
        <f t="shared" si="5"/>
        <v>2</v>
      </c>
      <c r="N62" s="32" t="s">
        <v>39</v>
      </c>
      <c r="O62" s="33" t="s">
        <v>76</v>
      </c>
      <c r="P62" s="30">
        <v>5</v>
      </c>
      <c r="Q62" s="34">
        <f t="shared" si="4"/>
        <v>10</v>
      </c>
      <c r="R62" s="35"/>
      <c r="S62" s="35"/>
      <c r="T62" s="35"/>
      <c r="U62" s="36"/>
      <c r="V62" s="37"/>
      <c r="W62" s="38"/>
      <c r="X62" s="37"/>
      <c r="Y62" s="37"/>
      <c r="Z62" s="39"/>
      <c r="AA62" s="40"/>
      <c r="AB62" s="41"/>
      <c r="AD62" s="17">
        <f t="shared" si="3"/>
        <v>-1514</v>
      </c>
      <c r="AE62" s="18">
        <f t="shared" si="0"/>
        <v>1514</v>
      </c>
    </row>
    <row r="63" spans="1:31" ht="230.25" outlineLevel="3" thickBot="1" x14ac:dyDescent="0.25">
      <c r="A63" s="10" t="s">
        <v>330</v>
      </c>
      <c r="B63" s="157"/>
      <c r="C63" s="46"/>
      <c r="D63" s="141"/>
      <c r="E63" s="25" t="s">
        <v>58</v>
      </c>
      <c r="F63" s="25" t="s">
        <v>331</v>
      </c>
      <c r="G63" s="25" t="s">
        <v>191</v>
      </c>
      <c r="H63" s="26" t="s">
        <v>46</v>
      </c>
      <c r="I63" s="27">
        <v>3</v>
      </c>
      <c r="J63" s="28" t="s">
        <v>47</v>
      </c>
      <c r="K63" s="29" t="s">
        <v>332</v>
      </c>
      <c r="L63" s="30">
        <v>2</v>
      </c>
      <c r="M63" s="31">
        <f t="shared" si="5"/>
        <v>6</v>
      </c>
      <c r="N63" s="32" t="s">
        <v>39</v>
      </c>
      <c r="O63" s="33" t="s">
        <v>166</v>
      </c>
      <c r="P63" s="30">
        <v>1</v>
      </c>
      <c r="Q63" s="34">
        <f t="shared" si="4"/>
        <v>6</v>
      </c>
      <c r="R63" s="35"/>
      <c r="S63" s="35"/>
      <c r="T63" s="35"/>
      <c r="U63" s="36"/>
      <c r="V63" s="37"/>
      <c r="W63" s="38"/>
      <c r="X63" s="37"/>
      <c r="Y63" s="37"/>
      <c r="Z63" s="39"/>
      <c r="AA63" s="40"/>
      <c r="AB63" s="41"/>
      <c r="AD63" s="17">
        <f t="shared" si="3"/>
        <v>-1515</v>
      </c>
      <c r="AE63" s="18">
        <f t="shared" si="0"/>
        <v>1515</v>
      </c>
    </row>
    <row r="64" spans="1:31" ht="230.25" outlineLevel="3" thickBot="1" x14ac:dyDescent="0.25">
      <c r="A64" s="10" t="s">
        <v>333</v>
      </c>
      <c r="B64" s="156" t="s">
        <v>334</v>
      </c>
      <c r="C64" s="44" t="s">
        <v>335</v>
      </c>
      <c r="D64" s="142" t="s">
        <v>336</v>
      </c>
      <c r="E64" s="25" t="s">
        <v>33</v>
      </c>
      <c r="F64" s="25" t="s">
        <v>337</v>
      </c>
      <c r="G64" s="25" t="s">
        <v>338</v>
      </c>
      <c r="H64" s="26" t="s">
        <v>339</v>
      </c>
      <c r="I64" s="27">
        <v>2</v>
      </c>
      <c r="J64" s="28" t="s">
        <v>47</v>
      </c>
      <c r="K64" s="29" t="s">
        <v>340</v>
      </c>
      <c r="L64" s="30">
        <v>2</v>
      </c>
      <c r="M64" s="45">
        <f t="shared" si="5"/>
        <v>4</v>
      </c>
      <c r="N64" s="32" t="s">
        <v>39</v>
      </c>
      <c r="O64" s="33" t="s">
        <v>76</v>
      </c>
      <c r="P64" s="30">
        <v>5</v>
      </c>
      <c r="Q64" s="34">
        <f t="shared" si="4"/>
        <v>20</v>
      </c>
      <c r="R64" s="35"/>
      <c r="S64" s="35"/>
      <c r="T64" s="35"/>
      <c r="U64" s="36"/>
      <c r="V64" s="37"/>
      <c r="W64" s="38"/>
      <c r="X64" s="37"/>
      <c r="Y64" s="37"/>
      <c r="Z64" s="39"/>
      <c r="AA64" s="40"/>
      <c r="AB64" s="41"/>
      <c r="AD64" s="17">
        <f t="shared" si="3"/>
        <v>-1516</v>
      </c>
      <c r="AE64" s="18">
        <f t="shared" si="0"/>
        <v>1516</v>
      </c>
    </row>
    <row r="65" spans="1:31" ht="230.25" outlineLevel="3" thickBot="1" x14ac:dyDescent="0.25">
      <c r="A65" s="10" t="s">
        <v>341</v>
      </c>
      <c r="B65" s="157"/>
      <c r="C65" s="46"/>
      <c r="D65" s="141"/>
      <c r="E65" s="25" t="s">
        <v>58</v>
      </c>
      <c r="F65" s="25" t="s">
        <v>342</v>
      </c>
      <c r="G65" s="25" t="s">
        <v>191</v>
      </c>
      <c r="H65" s="26" t="s">
        <v>46</v>
      </c>
      <c r="I65" s="27">
        <v>3</v>
      </c>
      <c r="J65" s="28" t="s">
        <v>47</v>
      </c>
      <c r="K65" s="29" t="s">
        <v>332</v>
      </c>
      <c r="L65" s="30">
        <v>2</v>
      </c>
      <c r="M65" s="31">
        <f t="shared" si="5"/>
        <v>6</v>
      </c>
      <c r="N65" s="32" t="s">
        <v>39</v>
      </c>
      <c r="O65" s="33" t="s">
        <v>166</v>
      </c>
      <c r="P65" s="30">
        <v>1</v>
      </c>
      <c r="Q65" s="34">
        <f t="shared" si="4"/>
        <v>6</v>
      </c>
      <c r="R65" s="35"/>
      <c r="S65" s="35"/>
      <c r="T65" s="35"/>
      <c r="U65" s="36"/>
      <c r="V65" s="37"/>
      <c r="W65" s="38"/>
      <c r="X65" s="37"/>
      <c r="Y65" s="37"/>
      <c r="Z65" s="39"/>
      <c r="AA65" s="40"/>
      <c r="AB65" s="41"/>
      <c r="AD65" s="17">
        <f t="shared" si="3"/>
        <v>-1517</v>
      </c>
      <c r="AE65" s="18">
        <f t="shared" si="0"/>
        <v>1517</v>
      </c>
    </row>
    <row r="66" spans="1:31" ht="230.25" outlineLevel="3" thickBot="1" x14ac:dyDescent="0.25">
      <c r="A66" s="10" t="s">
        <v>343</v>
      </c>
      <c r="B66" s="142" t="s">
        <v>344</v>
      </c>
      <c r="C66" s="47" t="s">
        <v>345</v>
      </c>
      <c r="D66" s="142" t="s">
        <v>346</v>
      </c>
      <c r="E66" s="25" t="s">
        <v>33</v>
      </c>
      <c r="F66" s="25" t="s">
        <v>347</v>
      </c>
      <c r="G66" s="25" t="s">
        <v>348</v>
      </c>
      <c r="H66" s="26" t="s">
        <v>339</v>
      </c>
      <c r="I66" s="27">
        <v>2</v>
      </c>
      <c r="J66" s="28" t="s">
        <v>47</v>
      </c>
      <c r="K66" s="29" t="s">
        <v>349</v>
      </c>
      <c r="L66" s="30">
        <v>2</v>
      </c>
      <c r="M66" s="31">
        <f t="shared" si="5"/>
        <v>4</v>
      </c>
      <c r="N66" s="32" t="s">
        <v>39</v>
      </c>
      <c r="O66" s="33" t="s">
        <v>76</v>
      </c>
      <c r="P66" s="30">
        <v>5</v>
      </c>
      <c r="Q66" s="34">
        <f t="shared" si="4"/>
        <v>20</v>
      </c>
      <c r="R66" s="35"/>
      <c r="S66" s="35"/>
      <c r="T66" s="35"/>
      <c r="U66" s="36"/>
      <c r="V66" s="37"/>
      <c r="W66" s="38"/>
      <c r="X66" s="37"/>
      <c r="Y66" s="37"/>
      <c r="Z66" s="39"/>
      <c r="AA66" s="40"/>
      <c r="AB66" s="41"/>
      <c r="AD66" s="17">
        <f t="shared" si="3"/>
        <v>-1518</v>
      </c>
      <c r="AE66" s="18">
        <f t="shared" si="0"/>
        <v>1518</v>
      </c>
    </row>
    <row r="67" spans="1:31" ht="230.25" outlineLevel="3" thickBot="1" x14ac:dyDescent="0.25">
      <c r="A67" s="10" t="s">
        <v>350</v>
      </c>
      <c r="B67" s="141"/>
      <c r="C67" s="55"/>
      <c r="D67" s="141"/>
      <c r="E67" s="25" t="s">
        <v>58</v>
      </c>
      <c r="F67" s="25" t="s">
        <v>342</v>
      </c>
      <c r="G67" s="25" t="s">
        <v>191</v>
      </c>
      <c r="H67" s="26" t="s">
        <v>46</v>
      </c>
      <c r="I67" s="27">
        <v>3</v>
      </c>
      <c r="J67" s="28" t="s">
        <v>47</v>
      </c>
      <c r="K67" s="29" t="s">
        <v>332</v>
      </c>
      <c r="L67" s="30">
        <v>2</v>
      </c>
      <c r="M67" s="31">
        <f t="shared" si="5"/>
        <v>6</v>
      </c>
      <c r="N67" s="32" t="s">
        <v>39</v>
      </c>
      <c r="O67" s="33" t="s">
        <v>166</v>
      </c>
      <c r="P67" s="30">
        <v>1</v>
      </c>
      <c r="Q67" s="34">
        <f t="shared" si="4"/>
        <v>6</v>
      </c>
      <c r="R67" s="35"/>
      <c r="S67" s="35"/>
      <c r="T67" s="35"/>
      <c r="U67" s="36"/>
      <c r="V67" s="37"/>
      <c r="W67" s="38"/>
      <c r="X67" s="37"/>
      <c r="Y67" s="37"/>
      <c r="Z67" s="39"/>
      <c r="AA67" s="40"/>
      <c r="AB67" s="41"/>
      <c r="AD67" s="17">
        <f t="shared" si="3"/>
        <v>-1519</v>
      </c>
      <c r="AE67" s="18">
        <f t="shared" ref="AE67:AE91" si="7">VALUE(RIGHT((IF(A67="",0,A67)),4))</f>
        <v>1519</v>
      </c>
    </row>
    <row r="68" spans="1:31" ht="230.25" outlineLevel="3" thickBot="1" x14ac:dyDescent="0.25">
      <c r="A68" s="10" t="s">
        <v>351</v>
      </c>
      <c r="B68" s="142" t="s">
        <v>352</v>
      </c>
      <c r="C68" s="47" t="s">
        <v>353</v>
      </c>
      <c r="D68" s="142" t="s">
        <v>354</v>
      </c>
      <c r="E68" s="25" t="s">
        <v>67</v>
      </c>
      <c r="F68" s="25" t="s">
        <v>355</v>
      </c>
      <c r="G68" s="25" t="s">
        <v>356</v>
      </c>
      <c r="H68" s="26" t="s">
        <v>61</v>
      </c>
      <c r="I68" s="27">
        <v>1</v>
      </c>
      <c r="J68" s="28" t="s">
        <v>84</v>
      </c>
      <c r="K68" s="29" t="s">
        <v>75</v>
      </c>
      <c r="L68" s="30">
        <v>1</v>
      </c>
      <c r="M68" s="31">
        <f t="shared" si="5"/>
        <v>1</v>
      </c>
      <c r="N68" s="32" t="s">
        <v>39</v>
      </c>
      <c r="O68" s="33" t="s">
        <v>76</v>
      </c>
      <c r="P68" s="30">
        <v>5</v>
      </c>
      <c r="Q68" s="34">
        <f t="shared" si="4"/>
        <v>5</v>
      </c>
      <c r="R68" s="35"/>
      <c r="S68" s="35"/>
      <c r="T68" s="35"/>
      <c r="U68" s="36"/>
      <c r="V68" s="37"/>
      <c r="W68" s="38"/>
      <c r="X68" s="37"/>
      <c r="Y68" s="37"/>
      <c r="Z68" s="39"/>
      <c r="AA68" s="40"/>
      <c r="AB68" s="41"/>
      <c r="AD68" s="17">
        <f t="shared" si="3"/>
        <v>-1520</v>
      </c>
      <c r="AE68" s="18">
        <f t="shared" si="7"/>
        <v>1520</v>
      </c>
    </row>
    <row r="69" spans="1:31" ht="230.25" outlineLevel="3" thickBot="1" x14ac:dyDescent="0.25">
      <c r="A69" s="10" t="s">
        <v>357</v>
      </c>
      <c r="B69" s="141"/>
      <c r="C69" s="54"/>
      <c r="D69" s="187"/>
      <c r="E69" s="25" t="s">
        <v>71</v>
      </c>
      <c r="F69" s="25" t="s">
        <v>337</v>
      </c>
      <c r="G69" s="25" t="s">
        <v>338</v>
      </c>
      <c r="H69" s="26" t="s">
        <v>339</v>
      </c>
      <c r="I69" s="27">
        <v>2</v>
      </c>
      <c r="J69" s="28" t="s">
        <v>47</v>
      </c>
      <c r="K69" s="29" t="s">
        <v>340</v>
      </c>
      <c r="L69" s="30">
        <v>2</v>
      </c>
      <c r="M69" s="45">
        <f t="shared" si="5"/>
        <v>4</v>
      </c>
      <c r="N69" s="32" t="s">
        <v>39</v>
      </c>
      <c r="O69" s="33" t="s">
        <v>76</v>
      </c>
      <c r="P69" s="30">
        <v>5</v>
      </c>
      <c r="Q69" s="34">
        <f t="shared" si="4"/>
        <v>20</v>
      </c>
      <c r="R69" s="35"/>
      <c r="S69" s="35"/>
      <c r="T69" s="35"/>
      <c r="U69" s="36"/>
      <c r="V69" s="37"/>
      <c r="W69" s="38"/>
      <c r="X69" s="37"/>
      <c r="Y69" s="37"/>
      <c r="Z69" s="39"/>
      <c r="AA69" s="40"/>
      <c r="AB69" s="41"/>
      <c r="AD69" s="17">
        <f t="shared" ref="AD69:AD132" si="8">VALUE(RIGHT((IF(A69="",0,A69)),5))</f>
        <v>-1521</v>
      </c>
      <c r="AE69" s="18">
        <f t="shared" si="7"/>
        <v>1521</v>
      </c>
    </row>
    <row r="70" spans="1:31" ht="21" outlineLevel="1" thickBot="1" x14ac:dyDescent="0.25">
      <c r="A70" s="19"/>
      <c r="B70" s="20" t="s">
        <v>358</v>
      </c>
      <c r="C70" s="21"/>
      <c r="D70" s="22"/>
      <c r="E70" s="22"/>
      <c r="F70" s="22"/>
      <c r="G70" s="22"/>
      <c r="H70" s="22"/>
      <c r="I70" s="22"/>
      <c r="J70" s="22"/>
      <c r="K70" s="22"/>
      <c r="L70" s="22"/>
      <c r="M70" s="22"/>
      <c r="N70" s="22"/>
      <c r="O70" s="22"/>
      <c r="P70" s="22"/>
      <c r="Q70" s="22"/>
      <c r="R70" s="22"/>
      <c r="S70" s="22"/>
      <c r="T70" s="22"/>
      <c r="U70" s="23"/>
      <c r="V70" s="22"/>
      <c r="W70" s="22"/>
      <c r="X70" s="22"/>
      <c r="Y70" s="22"/>
      <c r="Z70" s="22"/>
      <c r="AA70" s="22"/>
      <c r="AB70" s="24"/>
      <c r="AD70" s="17">
        <f t="shared" si="8"/>
        <v>0</v>
      </c>
      <c r="AE70" s="18">
        <f t="shared" si="7"/>
        <v>0</v>
      </c>
    </row>
    <row r="71" spans="1:31" ht="230.25" outlineLevel="2" thickBot="1" x14ac:dyDescent="0.25">
      <c r="A71" s="10" t="s">
        <v>359</v>
      </c>
      <c r="B71" s="67" t="s">
        <v>360</v>
      </c>
      <c r="C71" s="68" t="s">
        <v>361</v>
      </c>
      <c r="D71" s="67" t="s">
        <v>362</v>
      </c>
      <c r="E71" s="48" t="s">
        <v>363</v>
      </c>
      <c r="F71" s="48" t="s">
        <v>364</v>
      </c>
      <c r="G71" s="25" t="s">
        <v>191</v>
      </c>
      <c r="H71" s="26" t="s">
        <v>46</v>
      </c>
      <c r="I71" s="69">
        <v>3</v>
      </c>
      <c r="J71" s="70" t="s">
        <v>365</v>
      </c>
      <c r="K71" s="25" t="s">
        <v>366</v>
      </c>
      <c r="L71" s="71">
        <v>1</v>
      </c>
      <c r="M71" s="31">
        <f t="shared" si="5"/>
        <v>3</v>
      </c>
      <c r="N71" s="32" t="s">
        <v>39</v>
      </c>
      <c r="O71" s="60" t="s">
        <v>143</v>
      </c>
      <c r="P71" s="71">
        <v>3</v>
      </c>
      <c r="Q71" s="34">
        <f t="shared" si="4"/>
        <v>9</v>
      </c>
      <c r="R71" s="72"/>
      <c r="S71" s="72"/>
      <c r="T71" s="72"/>
      <c r="U71" s="50"/>
      <c r="V71" s="51"/>
      <c r="W71" s="52"/>
      <c r="X71" s="51"/>
      <c r="Y71" s="51"/>
      <c r="Z71" s="53"/>
      <c r="AA71" s="40"/>
      <c r="AB71" s="41"/>
      <c r="AD71" s="17">
        <f t="shared" si="8"/>
        <v>-1523</v>
      </c>
      <c r="AE71" s="18">
        <f t="shared" si="7"/>
        <v>1523</v>
      </c>
    </row>
    <row r="72" spans="1:31" ht="230.25" outlineLevel="2" thickBot="1" x14ac:dyDescent="0.25">
      <c r="A72" s="61" t="s">
        <v>367</v>
      </c>
      <c r="B72" s="147" t="s">
        <v>368</v>
      </c>
      <c r="C72" s="171" t="s">
        <v>369</v>
      </c>
      <c r="D72" s="171" t="s">
        <v>370</v>
      </c>
      <c r="E72" s="25" t="s">
        <v>198</v>
      </c>
      <c r="F72" s="48" t="s">
        <v>371</v>
      </c>
      <c r="G72" s="25" t="s">
        <v>275</v>
      </c>
      <c r="H72" s="25" t="s">
        <v>107</v>
      </c>
      <c r="I72" s="27">
        <v>1</v>
      </c>
      <c r="J72" s="70" t="s">
        <v>84</v>
      </c>
      <c r="K72" s="29" t="s">
        <v>75</v>
      </c>
      <c r="L72" s="71">
        <v>2</v>
      </c>
      <c r="M72" s="31">
        <f t="shared" si="5"/>
        <v>2</v>
      </c>
      <c r="N72" s="32" t="s">
        <v>39</v>
      </c>
      <c r="O72" s="53" t="s">
        <v>76</v>
      </c>
      <c r="P72" s="71">
        <v>5</v>
      </c>
      <c r="Q72" s="34">
        <f t="shared" si="4"/>
        <v>10</v>
      </c>
      <c r="R72" s="72"/>
      <c r="S72" s="72"/>
      <c r="T72" s="72"/>
      <c r="U72" s="50"/>
      <c r="V72" s="51"/>
      <c r="W72" s="52"/>
      <c r="X72" s="51"/>
      <c r="Y72" s="51"/>
      <c r="Z72" s="53"/>
      <c r="AA72" s="40"/>
      <c r="AB72" s="41"/>
      <c r="AD72" s="17">
        <f t="shared" si="8"/>
        <v>10446</v>
      </c>
      <c r="AE72" s="18"/>
    </row>
    <row r="73" spans="1:31" ht="230.25" outlineLevel="2" thickBot="1" x14ac:dyDescent="0.25">
      <c r="A73" s="61" t="s">
        <v>372</v>
      </c>
      <c r="B73" s="148"/>
      <c r="C73" s="172"/>
      <c r="D73" s="172"/>
      <c r="E73" s="25" t="s">
        <v>373</v>
      </c>
      <c r="F73" s="48" t="s">
        <v>374</v>
      </c>
      <c r="G73" s="48" t="s">
        <v>375</v>
      </c>
      <c r="H73" s="39" t="s">
        <v>376</v>
      </c>
      <c r="I73" s="69">
        <v>3</v>
      </c>
      <c r="J73" s="70" t="s">
        <v>84</v>
      </c>
      <c r="K73" s="29" t="s">
        <v>377</v>
      </c>
      <c r="L73" s="71">
        <v>1</v>
      </c>
      <c r="M73" s="31">
        <f t="shared" si="5"/>
        <v>3</v>
      </c>
      <c r="N73" s="32" t="s">
        <v>39</v>
      </c>
      <c r="O73" s="60" t="s">
        <v>378</v>
      </c>
      <c r="P73" s="71">
        <v>3</v>
      </c>
      <c r="Q73" s="34">
        <f t="shared" si="4"/>
        <v>9</v>
      </c>
      <c r="R73" s="72"/>
      <c r="S73" s="72"/>
      <c r="T73" s="72"/>
      <c r="U73" s="50"/>
      <c r="V73" s="51"/>
      <c r="W73" s="52"/>
      <c r="X73" s="51"/>
      <c r="Y73" s="51"/>
      <c r="Z73" s="53"/>
      <c r="AA73" s="40"/>
      <c r="AB73" s="41"/>
      <c r="AD73" s="17">
        <f t="shared" si="8"/>
        <v>10447</v>
      </c>
      <c r="AE73" s="18"/>
    </row>
    <row r="74" spans="1:31" ht="230.25" outlineLevel="2" thickBot="1" x14ac:dyDescent="0.25">
      <c r="A74" s="73" t="s">
        <v>379</v>
      </c>
      <c r="B74" s="138" t="s">
        <v>380</v>
      </c>
      <c r="C74" s="158" t="s">
        <v>381</v>
      </c>
      <c r="D74" s="171" t="s">
        <v>362</v>
      </c>
      <c r="E74" s="74" t="s">
        <v>382</v>
      </c>
      <c r="F74" s="48" t="s">
        <v>383</v>
      </c>
      <c r="G74" s="25" t="s">
        <v>275</v>
      </c>
      <c r="H74" s="25" t="s">
        <v>107</v>
      </c>
      <c r="I74" s="27">
        <v>1</v>
      </c>
      <c r="J74" s="70" t="s">
        <v>384</v>
      </c>
      <c r="K74" s="29" t="s">
        <v>75</v>
      </c>
      <c r="L74" s="71">
        <v>1</v>
      </c>
      <c r="M74" s="31">
        <f t="shared" si="5"/>
        <v>1</v>
      </c>
      <c r="N74" s="32" t="s">
        <v>39</v>
      </c>
      <c r="O74" s="53" t="s">
        <v>76</v>
      </c>
      <c r="P74" s="71">
        <v>5</v>
      </c>
      <c r="Q74" s="34">
        <f t="shared" si="4"/>
        <v>5</v>
      </c>
      <c r="R74" s="72"/>
      <c r="S74" s="72"/>
      <c r="T74" s="72"/>
      <c r="U74" s="50"/>
      <c r="V74" s="51"/>
      <c r="W74" s="52"/>
      <c r="X74" s="51"/>
      <c r="Y74" s="51"/>
      <c r="Z74" s="53"/>
      <c r="AA74" s="40"/>
      <c r="AB74" s="41"/>
      <c r="AD74" s="17">
        <f t="shared" si="8"/>
        <v>10448</v>
      </c>
      <c r="AE74" s="18"/>
    </row>
    <row r="75" spans="1:31" ht="230.25" outlineLevel="2" thickBot="1" x14ac:dyDescent="0.25">
      <c r="A75" s="73" t="s">
        <v>385</v>
      </c>
      <c r="B75" s="138"/>
      <c r="C75" s="159"/>
      <c r="D75" s="172"/>
      <c r="E75" s="74" t="s">
        <v>386</v>
      </c>
      <c r="F75" s="48" t="s">
        <v>387</v>
      </c>
      <c r="G75" s="25" t="s">
        <v>275</v>
      </c>
      <c r="H75" s="25" t="s">
        <v>107</v>
      </c>
      <c r="I75" s="27">
        <v>1</v>
      </c>
      <c r="J75" s="70" t="s">
        <v>84</v>
      </c>
      <c r="K75" s="29" t="s">
        <v>75</v>
      </c>
      <c r="L75" s="71">
        <v>1</v>
      </c>
      <c r="M75" s="31">
        <f t="shared" si="5"/>
        <v>1</v>
      </c>
      <c r="N75" s="32" t="s">
        <v>39</v>
      </c>
      <c r="O75" s="60" t="s">
        <v>378</v>
      </c>
      <c r="P75" s="71">
        <v>3</v>
      </c>
      <c r="Q75" s="34">
        <f t="shared" si="4"/>
        <v>3</v>
      </c>
      <c r="R75" s="72"/>
      <c r="S75" s="72"/>
      <c r="T75" s="72"/>
      <c r="U75" s="50"/>
      <c r="V75" s="51"/>
      <c r="W75" s="52"/>
      <c r="X75" s="51"/>
      <c r="Y75" s="51"/>
      <c r="Z75" s="53"/>
      <c r="AA75" s="40"/>
      <c r="AB75" s="41"/>
      <c r="AD75" s="17">
        <f t="shared" si="8"/>
        <v>10449</v>
      </c>
      <c r="AE75" s="18"/>
    </row>
    <row r="76" spans="1:31" ht="230.25" outlineLevel="2" thickBot="1" x14ac:dyDescent="0.25">
      <c r="A76" s="10" t="s">
        <v>388</v>
      </c>
      <c r="B76" s="174" t="s">
        <v>389</v>
      </c>
      <c r="C76" s="75" t="s">
        <v>390</v>
      </c>
      <c r="D76" s="167" t="s">
        <v>391</v>
      </c>
      <c r="E76" s="48" t="s">
        <v>67</v>
      </c>
      <c r="F76" s="48" t="s">
        <v>392</v>
      </c>
      <c r="G76" s="25" t="s">
        <v>393</v>
      </c>
      <c r="H76" s="26" t="s">
        <v>61</v>
      </c>
      <c r="I76" s="69">
        <v>2</v>
      </c>
      <c r="J76" s="70" t="s">
        <v>84</v>
      </c>
      <c r="K76" s="29" t="s">
        <v>394</v>
      </c>
      <c r="L76" s="71">
        <v>1</v>
      </c>
      <c r="M76" s="31">
        <f t="shared" si="5"/>
        <v>2</v>
      </c>
      <c r="N76" s="32" t="s">
        <v>39</v>
      </c>
      <c r="O76" s="60" t="s">
        <v>395</v>
      </c>
      <c r="P76" s="71">
        <v>3</v>
      </c>
      <c r="Q76" s="34">
        <f t="shared" si="4"/>
        <v>6</v>
      </c>
      <c r="R76" s="76"/>
      <c r="S76" s="76"/>
      <c r="T76" s="76" t="s">
        <v>396</v>
      </c>
      <c r="U76" s="50"/>
      <c r="V76" s="51"/>
      <c r="W76" s="52"/>
      <c r="X76" s="51"/>
      <c r="Y76" s="51"/>
      <c r="Z76" s="53"/>
      <c r="AA76" s="40"/>
      <c r="AB76" s="41"/>
      <c r="AD76" s="17">
        <f t="shared" si="8"/>
        <v>-1524</v>
      </c>
      <c r="AE76" s="18">
        <f t="shared" si="7"/>
        <v>1524</v>
      </c>
    </row>
    <row r="77" spans="1:31" ht="230.25" outlineLevel="2" thickBot="1" x14ac:dyDescent="0.25">
      <c r="A77" s="10" t="s">
        <v>397</v>
      </c>
      <c r="B77" s="175"/>
      <c r="C77" s="77"/>
      <c r="D77" s="169"/>
      <c r="E77" s="48" t="s">
        <v>71</v>
      </c>
      <c r="F77" s="48" t="s">
        <v>398</v>
      </c>
      <c r="G77" s="25" t="s">
        <v>393</v>
      </c>
      <c r="H77" s="26" t="s">
        <v>61</v>
      </c>
      <c r="I77" s="69">
        <v>2</v>
      </c>
      <c r="J77" s="70" t="s">
        <v>74</v>
      </c>
      <c r="K77" s="29" t="s">
        <v>75</v>
      </c>
      <c r="L77" s="71">
        <v>1</v>
      </c>
      <c r="M77" s="31">
        <f t="shared" si="5"/>
        <v>2</v>
      </c>
      <c r="N77" s="32" t="s">
        <v>39</v>
      </c>
      <c r="O77" s="53" t="s">
        <v>76</v>
      </c>
      <c r="P77" s="71">
        <v>5</v>
      </c>
      <c r="Q77" s="34">
        <f t="shared" si="4"/>
        <v>10</v>
      </c>
      <c r="R77" s="72"/>
      <c r="S77" s="72"/>
      <c r="T77" s="72"/>
      <c r="U77" s="50"/>
      <c r="V77" s="51"/>
      <c r="W77" s="52"/>
      <c r="X77" s="51"/>
      <c r="Y77" s="51"/>
      <c r="Z77" s="53"/>
      <c r="AA77" s="40"/>
      <c r="AB77" s="41"/>
      <c r="AD77" s="17">
        <f t="shared" si="8"/>
        <v>-1525</v>
      </c>
      <c r="AE77" s="18">
        <f t="shared" si="7"/>
        <v>1525</v>
      </c>
    </row>
    <row r="78" spans="1:31" ht="230.25" outlineLevel="2" thickBot="1" x14ac:dyDescent="0.25">
      <c r="A78" s="10" t="s">
        <v>399</v>
      </c>
      <c r="B78" s="174" t="s">
        <v>400</v>
      </c>
      <c r="C78" s="75" t="s">
        <v>401</v>
      </c>
      <c r="D78" s="167" t="s">
        <v>391</v>
      </c>
      <c r="E78" s="48" t="s">
        <v>67</v>
      </c>
      <c r="F78" s="48" t="s">
        <v>402</v>
      </c>
      <c r="G78" s="25" t="s">
        <v>191</v>
      </c>
      <c r="H78" s="26" t="s">
        <v>46</v>
      </c>
      <c r="I78" s="69">
        <v>3</v>
      </c>
      <c r="J78" s="70" t="s">
        <v>74</v>
      </c>
      <c r="K78" s="25" t="s">
        <v>366</v>
      </c>
      <c r="L78" s="71">
        <v>1</v>
      </c>
      <c r="M78" s="31">
        <f t="shared" si="5"/>
        <v>3</v>
      </c>
      <c r="N78" s="32" t="s">
        <v>39</v>
      </c>
      <c r="O78" s="33" t="s">
        <v>143</v>
      </c>
      <c r="P78" s="71">
        <v>3</v>
      </c>
      <c r="Q78" s="34">
        <f t="shared" si="4"/>
        <v>9</v>
      </c>
      <c r="R78" s="72"/>
      <c r="S78" s="72"/>
      <c r="T78" s="72"/>
      <c r="U78" s="50"/>
      <c r="V78" s="51"/>
      <c r="W78" s="52"/>
      <c r="X78" s="51"/>
      <c r="Y78" s="51"/>
      <c r="Z78" s="53"/>
      <c r="AA78" s="40"/>
      <c r="AB78" s="41"/>
      <c r="AD78" s="17">
        <f t="shared" si="8"/>
        <v>5992</v>
      </c>
      <c r="AE78" s="18">
        <f t="shared" si="7"/>
        <v>5992</v>
      </c>
    </row>
    <row r="79" spans="1:31" ht="230.25" outlineLevel="2" thickBot="1" x14ac:dyDescent="0.25">
      <c r="A79" s="10" t="s">
        <v>403</v>
      </c>
      <c r="B79" s="175"/>
      <c r="C79" s="77"/>
      <c r="D79" s="169"/>
      <c r="E79" s="48" t="s">
        <v>71</v>
      </c>
      <c r="F79" s="48" t="s">
        <v>392</v>
      </c>
      <c r="G79" s="25" t="s">
        <v>393</v>
      </c>
      <c r="H79" s="26" t="s">
        <v>61</v>
      </c>
      <c r="I79" s="69">
        <v>2</v>
      </c>
      <c r="J79" s="70" t="s">
        <v>84</v>
      </c>
      <c r="K79" s="29" t="s">
        <v>404</v>
      </c>
      <c r="L79" s="71">
        <v>1</v>
      </c>
      <c r="M79" s="31">
        <f t="shared" si="5"/>
        <v>2</v>
      </c>
      <c r="N79" s="32" t="s">
        <v>39</v>
      </c>
      <c r="O79" s="33" t="s">
        <v>395</v>
      </c>
      <c r="P79" s="71">
        <v>3</v>
      </c>
      <c r="Q79" s="34">
        <f t="shared" si="4"/>
        <v>6</v>
      </c>
      <c r="R79" s="76"/>
      <c r="S79" s="76"/>
      <c r="T79" s="76" t="s">
        <v>396</v>
      </c>
      <c r="U79" s="50"/>
      <c r="V79" s="51"/>
      <c r="W79" s="52"/>
      <c r="X79" s="51"/>
      <c r="Y79" s="51"/>
      <c r="Z79" s="53"/>
      <c r="AA79" s="40"/>
      <c r="AB79" s="41"/>
      <c r="AD79" s="17">
        <f t="shared" si="8"/>
        <v>5993</v>
      </c>
      <c r="AE79" s="18">
        <f t="shared" si="7"/>
        <v>5993</v>
      </c>
    </row>
    <row r="80" spans="1:31" ht="230.25" outlineLevel="2" thickBot="1" x14ac:dyDescent="0.25">
      <c r="A80" s="10" t="s">
        <v>405</v>
      </c>
      <c r="B80" s="150" t="s">
        <v>406</v>
      </c>
      <c r="C80" s="75" t="s">
        <v>407</v>
      </c>
      <c r="D80" s="142" t="s">
        <v>408</v>
      </c>
      <c r="E80" s="48" t="s">
        <v>33</v>
      </c>
      <c r="F80" s="48" t="s">
        <v>409</v>
      </c>
      <c r="G80" s="25" t="s">
        <v>191</v>
      </c>
      <c r="H80" s="26" t="s">
        <v>46</v>
      </c>
      <c r="I80" s="69">
        <v>3</v>
      </c>
      <c r="J80" s="70" t="s">
        <v>47</v>
      </c>
      <c r="K80" s="25" t="s">
        <v>366</v>
      </c>
      <c r="L80" s="71">
        <v>2</v>
      </c>
      <c r="M80" s="31">
        <f t="shared" si="5"/>
        <v>6</v>
      </c>
      <c r="N80" s="32" t="s">
        <v>39</v>
      </c>
      <c r="O80" s="33" t="s">
        <v>143</v>
      </c>
      <c r="P80" s="71">
        <v>3</v>
      </c>
      <c r="Q80" s="34">
        <f t="shared" si="4"/>
        <v>18</v>
      </c>
      <c r="R80" s="72"/>
      <c r="S80" s="72"/>
      <c r="T80" s="72"/>
      <c r="U80" s="50"/>
      <c r="V80" s="51"/>
      <c r="W80" s="52"/>
      <c r="X80" s="51"/>
      <c r="Y80" s="51"/>
      <c r="Z80" s="53"/>
      <c r="AA80" s="40"/>
      <c r="AB80" s="41"/>
      <c r="AD80" s="17">
        <f t="shared" si="8"/>
        <v>-1526</v>
      </c>
      <c r="AE80" s="18">
        <f t="shared" si="7"/>
        <v>1526</v>
      </c>
    </row>
    <row r="81" spans="1:31" ht="230.25" outlineLevel="2" thickBot="1" x14ac:dyDescent="0.25">
      <c r="A81" s="10" t="s">
        <v>410</v>
      </c>
      <c r="B81" s="151"/>
      <c r="C81" s="77"/>
      <c r="D81" s="141"/>
      <c r="E81" s="48" t="s">
        <v>43</v>
      </c>
      <c r="F81" s="48" t="s">
        <v>392</v>
      </c>
      <c r="G81" s="25" t="s">
        <v>393</v>
      </c>
      <c r="H81" s="26" t="s">
        <v>61</v>
      </c>
      <c r="I81" s="69">
        <v>2</v>
      </c>
      <c r="J81" s="70" t="s">
        <v>47</v>
      </c>
      <c r="K81" s="29" t="s">
        <v>404</v>
      </c>
      <c r="L81" s="71">
        <v>2</v>
      </c>
      <c r="M81" s="31">
        <f t="shared" si="5"/>
        <v>4</v>
      </c>
      <c r="N81" s="32" t="s">
        <v>39</v>
      </c>
      <c r="O81" s="33" t="s">
        <v>395</v>
      </c>
      <c r="P81" s="71">
        <v>3</v>
      </c>
      <c r="Q81" s="34">
        <f t="shared" si="4"/>
        <v>12</v>
      </c>
      <c r="R81" s="76"/>
      <c r="S81" s="76"/>
      <c r="T81" s="76" t="s">
        <v>396</v>
      </c>
      <c r="U81" s="50"/>
      <c r="V81" s="51"/>
      <c r="W81" s="52"/>
      <c r="X81" s="51"/>
      <c r="Y81" s="51"/>
      <c r="Z81" s="53"/>
      <c r="AA81" s="40"/>
      <c r="AB81" s="41"/>
      <c r="AD81" s="17">
        <f t="shared" si="8"/>
        <v>-1527</v>
      </c>
      <c r="AE81" s="18">
        <f t="shared" si="7"/>
        <v>1527</v>
      </c>
    </row>
    <row r="82" spans="1:31" ht="230.25" outlineLevel="2" thickBot="1" x14ac:dyDescent="0.25">
      <c r="A82" s="61" t="s">
        <v>411</v>
      </c>
      <c r="B82" s="185" t="s">
        <v>412</v>
      </c>
      <c r="C82" s="145" t="s">
        <v>413</v>
      </c>
      <c r="D82" s="147" t="s">
        <v>414</v>
      </c>
      <c r="E82" s="74" t="s">
        <v>382</v>
      </c>
      <c r="F82" s="48" t="s">
        <v>415</v>
      </c>
      <c r="G82" s="25" t="s">
        <v>275</v>
      </c>
      <c r="H82" s="25" t="s">
        <v>107</v>
      </c>
      <c r="I82" s="27">
        <v>1</v>
      </c>
      <c r="J82" s="70" t="s">
        <v>384</v>
      </c>
      <c r="K82" s="29" t="s">
        <v>75</v>
      </c>
      <c r="L82" s="71">
        <v>1</v>
      </c>
      <c r="M82" s="31">
        <f t="shared" si="5"/>
        <v>1</v>
      </c>
      <c r="N82" s="32" t="s">
        <v>39</v>
      </c>
      <c r="O82" s="53" t="s">
        <v>76</v>
      </c>
      <c r="P82" s="71">
        <v>5</v>
      </c>
      <c r="Q82" s="34">
        <f t="shared" si="4"/>
        <v>5</v>
      </c>
      <c r="R82" s="72"/>
      <c r="S82" s="72"/>
      <c r="T82" s="72"/>
      <c r="U82" s="50"/>
      <c r="V82" s="51"/>
      <c r="W82" s="52"/>
      <c r="X82" s="51"/>
      <c r="Y82" s="51"/>
      <c r="Z82" s="53"/>
      <c r="AA82" s="40"/>
      <c r="AB82" s="41"/>
      <c r="AD82" s="17">
        <f t="shared" si="8"/>
        <v>10450</v>
      </c>
      <c r="AE82" s="18"/>
    </row>
    <row r="83" spans="1:31" ht="230.25" outlineLevel="2" thickBot="1" x14ac:dyDescent="0.25">
      <c r="A83" s="61" t="s">
        <v>416</v>
      </c>
      <c r="B83" s="186"/>
      <c r="C83" s="146"/>
      <c r="D83" s="148"/>
      <c r="E83" s="74" t="s">
        <v>386</v>
      </c>
      <c r="F83" s="48" t="s">
        <v>417</v>
      </c>
      <c r="G83" s="25" t="s">
        <v>275</v>
      </c>
      <c r="H83" s="25" t="s">
        <v>107</v>
      </c>
      <c r="I83" s="27">
        <v>1</v>
      </c>
      <c r="J83" s="70" t="s">
        <v>384</v>
      </c>
      <c r="K83" s="29" t="s">
        <v>75</v>
      </c>
      <c r="L83" s="71">
        <v>1</v>
      </c>
      <c r="M83" s="31">
        <f t="shared" si="5"/>
        <v>1</v>
      </c>
      <c r="N83" s="32" t="s">
        <v>39</v>
      </c>
      <c r="O83" s="33" t="s">
        <v>395</v>
      </c>
      <c r="P83" s="71">
        <v>3</v>
      </c>
      <c r="Q83" s="34">
        <f t="shared" si="4"/>
        <v>3</v>
      </c>
      <c r="R83" s="76"/>
      <c r="S83" s="76"/>
      <c r="T83" s="76" t="s">
        <v>396</v>
      </c>
      <c r="U83" s="50"/>
      <c r="V83" s="51"/>
      <c r="W83" s="52"/>
      <c r="X83" s="51"/>
      <c r="Y83" s="51"/>
      <c r="Z83" s="53"/>
      <c r="AA83" s="40"/>
      <c r="AB83" s="41"/>
      <c r="AD83" s="17">
        <f t="shared" si="8"/>
        <v>10451</v>
      </c>
      <c r="AE83" s="18"/>
    </row>
    <row r="84" spans="1:31" ht="230.25" outlineLevel="2" thickBot="1" x14ac:dyDescent="0.25">
      <c r="A84" s="61" t="s">
        <v>418</v>
      </c>
      <c r="B84" s="78" t="s">
        <v>419</v>
      </c>
      <c r="C84" s="79" t="s">
        <v>420</v>
      </c>
      <c r="D84" s="80" t="s">
        <v>421</v>
      </c>
      <c r="E84" s="48" t="s">
        <v>422</v>
      </c>
      <c r="F84" s="48" t="s">
        <v>423</v>
      </c>
      <c r="G84" s="25" t="s">
        <v>275</v>
      </c>
      <c r="H84" s="25" t="s">
        <v>107</v>
      </c>
      <c r="I84" s="27">
        <v>1</v>
      </c>
      <c r="J84" s="70" t="s">
        <v>384</v>
      </c>
      <c r="K84" s="29" t="s">
        <v>75</v>
      </c>
      <c r="L84" s="71">
        <v>1</v>
      </c>
      <c r="M84" s="31">
        <f t="shared" si="5"/>
        <v>1</v>
      </c>
      <c r="N84" s="32" t="s">
        <v>39</v>
      </c>
      <c r="O84" s="33" t="s">
        <v>395</v>
      </c>
      <c r="P84" s="71">
        <v>3</v>
      </c>
      <c r="Q84" s="34">
        <f t="shared" si="4"/>
        <v>3</v>
      </c>
      <c r="R84" s="72"/>
      <c r="S84" s="72"/>
      <c r="T84" s="72"/>
      <c r="U84" s="50"/>
      <c r="V84" s="51"/>
      <c r="W84" s="52"/>
      <c r="X84" s="51"/>
      <c r="Y84" s="51"/>
      <c r="Z84" s="53"/>
      <c r="AA84" s="40"/>
      <c r="AB84" s="41"/>
      <c r="AD84" s="17">
        <f t="shared" si="8"/>
        <v>10452</v>
      </c>
      <c r="AE84" s="18"/>
    </row>
    <row r="85" spans="1:31" ht="230.25" outlineLevel="2" thickBot="1" x14ac:dyDescent="0.25">
      <c r="A85" s="10" t="s">
        <v>424</v>
      </c>
      <c r="B85" s="150" t="s">
        <v>425</v>
      </c>
      <c r="C85" s="75" t="s">
        <v>426</v>
      </c>
      <c r="D85" s="167" t="s">
        <v>427</v>
      </c>
      <c r="E85" s="48" t="s">
        <v>428</v>
      </c>
      <c r="F85" s="74" t="s">
        <v>429</v>
      </c>
      <c r="G85" s="25" t="s">
        <v>191</v>
      </c>
      <c r="H85" s="26" t="s">
        <v>46</v>
      </c>
      <c r="I85" s="42">
        <v>3</v>
      </c>
      <c r="J85" s="28" t="s">
        <v>47</v>
      </c>
      <c r="K85" s="25" t="s">
        <v>366</v>
      </c>
      <c r="L85" s="30">
        <v>1</v>
      </c>
      <c r="M85" s="45">
        <f t="shared" si="5"/>
        <v>3</v>
      </c>
      <c r="N85" s="32" t="s">
        <v>39</v>
      </c>
      <c r="O85" s="33" t="s">
        <v>143</v>
      </c>
      <c r="P85" s="71">
        <v>3</v>
      </c>
      <c r="Q85" s="34">
        <f t="shared" si="4"/>
        <v>9</v>
      </c>
      <c r="R85" s="72"/>
      <c r="S85" s="72"/>
      <c r="T85" s="72"/>
      <c r="U85" s="50"/>
      <c r="V85" s="51"/>
      <c r="W85" s="52"/>
      <c r="X85" s="51"/>
      <c r="Y85" s="51"/>
      <c r="Z85" s="53"/>
      <c r="AA85" s="40"/>
      <c r="AB85" s="41"/>
      <c r="AD85" s="17">
        <f t="shared" si="8"/>
        <v>-1528</v>
      </c>
      <c r="AE85" s="18">
        <f t="shared" si="7"/>
        <v>1528</v>
      </c>
    </row>
    <row r="86" spans="1:31" ht="230.25" outlineLevel="2" thickBot="1" x14ac:dyDescent="0.25">
      <c r="A86" s="10" t="s">
        <v>430</v>
      </c>
      <c r="B86" s="151"/>
      <c r="C86" s="77"/>
      <c r="D86" s="169"/>
      <c r="E86" s="48" t="s">
        <v>431</v>
      </c>
      <c r="F86" s="74" t="s">
        <v>392</v>
      </c>
      <c r="G86" s="25" t="s">
        <v>393</v>
      </c>
      <c r="H86" s="26" t="s">
        <v>107</v>
      </c>
      <c r="I86" s="42">
        <v>2</v>
      </c>
      <c r="J86" s="28" t="s">
        <v>47</v>
      </c>
      <c r="K86" s="29" t="s">
        <v>432</v>
      </c>
      <c r="L86" s="30">
        <v>1</v>
      </c>
      <c r="M86" s="45">
        <f t="shared" si="5"/>
        <v>2</v>
      </c>
      <c r="N86" s="32" t="s">
        <v>39</v>
      </c>
      <c r="O86" s="33" t="s">
        <v>395</v>
      </c>
      <c r="P86" s="71">
        <v>3</v>
      </c>
      <c r="Q86" s="34">
        <f t="shared" si="4"/>
        <v>6</v>
      </c>
      <c r="R86" s="76"/>
      <c r="S86" s="76"/>
      <c r="T86" s="76" t="s">
        <v>396</v>
      </c>
      <c r="U86" s="50"/>
      <c r="V86" s="51"/>
      <c r="W86" s="52"/>
      <c r="X86" s="51"/>
      <c r="Y86" s="51"/>
      <c r="Z86" s="53"/>
      <c r="AA86" s="40"/>
      <c r="AB86" s="41"/>
      <c r="AD86" s="17">
        <f t="shared" si="8"/>
        <v>5994</v>
      </c>
      <c r="AE86" s="18">
        <f t="shared" si="7"/>
        <v>5994</v>
      </c>
    </row>
    <row r="87" spans="1:31" ht="230.25" outlineLevel="2" thickBot="1" x14ac:dyDescent="0.25">
      <c r="A87" s="10" t="s">
        <v>433</v>
      </c>
      <c r="B87" s="156" t="s">
        <v>434</v>
      </c>
      <c r="C87" s="44" t="s">
        <v>435</v>
      </c>
      <c r="D87" s="147" t="s">
        <v>436</v>
      </c>
      <c r="E87" s="48" t="s">
        <v>256</v>
      </c>
      <c r="F87" s="48" t="s">
        <v>437</v>
      </c>
      <c r="G87" s="81" t="s">
        <v>438</v>
      </c>
      <c r="H87" s="82" t="s">
        <v>439</v>
      </c>
      <c r="I87" s="69">
        <v>1</v>
      </c>
      <c r="J87" s="70" t="s">
        <v>74</v>
      </c>
      <c r="K87" s="29" t="s">
        <v>440</v>
      </c>
      <c r="L87" s="71">
        <v>1</v>
      </c>
      <c r="M87" s="31">
        <f t="shared" si="5"/>
        <v>1</v>
      </c>
      <c r="N87" s="32" t="s">
        <v>39</v>
      </c>
      <c r="O87" s="53" t="s">
        <v>76</v>
      </c>
      <c r="P87" s="71">
        <v>5</v>
      </c>
      <c r="Q87" s="34">
        <f t="shared" si="4"/>
        <v>5</v>
      </c>
      <c r="R87" s="72"/>
      <c r="S87" s="72"/>
      <c r="T87" s="72"/>
      <c r="U87" s="50"/>
      <c r="V87" s="51"/>
      <c r="W87" s="52"/>
      <c r="X87" s="51"/>
      <c r="Y87" s="51"/>
      <c r="Z87" s="53"/>
      <c r="AA87" s="40"/>
      <c r="AB87" s="41"/>
      <c r="AD87" s="17">
        <f t="shared" si="8"/>
        <v>5995</v>
      </c>
      <c r="AE87" s="18">
        <f t="shared" si="7"/>
        <v>5995</v>
      </c>
    </row>
    <row r="88" spans="1:31" ht="230.25" outlineLevel="2" thickBot="1" x14ac:dyDescent="0.25">
      <c r="A88" s="10" t="s">
        <v>441</v>
      </c>
      <c r="B88" s="157"/>
      <c r="C88" s="46"/>
      <c r="D88" s="148"/>
      <c r="E88" s="48" t="s">
        <v>155</v>
      </c>
      <c r="F88" s="48" t="s">
        <v>442</v>
      </c>
      <c r="G88" s="25" t="s">
        <v>191</v>
      </c>
      <c r="H88" s="26" t="s">
        <v>46</v>
      </c>
      <c r="I88" s="69">
        <v>3</v>
      </c>
      <c r="J88" s="70" t="s">
        <v>47</v>
      </c>
      <c r="K88" s="25" t="s">
        <v>443</v>
      </c>
      <c r="L88" s="71">
        <v>1</v>
      </c>
      <c r="M88" s="31">
        <f t="shared" si="5"/>
        <v>3</v>
      </c>
      <c r="N88" s="32" t="s">
        <v>39</v>
      </c>
      <c r="O88" s="33" t="s">
        <v>143</v>
      </c>
      <c r="P88" s="71">
        <v>3</v>
      </c>
      <c r="Q88" s="34">
        <f t="shared" si="4"/>
        <v>9</v>
      </c>
      <c r="R88" s="72"/>
      <c r="S88" s="72"/>
      <c r="T88" s="72"/>
      <c r="U88" s="50"/>
      <c r="V88" s="51"/>
      <c r="W88" s="52"/>
      <c r="X88" s="51"/>
      <c r="Y88" s="51"/>
      <c r="Z88" s="53"/>
      <c r="AA88" s="40"/>
      <c r="AB88" s="41"/>
      <c r="AD88" s="17">
        <f t="shared" si="8"/>
        <v>5996</v>
      </c>
      <c r="AE88" s="18">
        <f t="shared" si="7"/>
        <v>5996</v>
      </c>
    </row>
    <row r="89" spans="1:31" ht="230.25" outlineLevel="2" thickBot="1" x14ac:dyDescent="0.25">
      <c r="A89" s="10" t="s">
        <v>444</v>
      </c>
      <c r="B89" s="150" t="s">
        <v>445</v>
      </c>
      <c r="C89" s="75" t="s">
        <v>446</v>
      </c>
      <c r="D89" s="147" t="s">
        <v>447</v>
      </c>
      <c r="E89" s="74" t="s">
        <v>448</v>
      </c>
      <c r="F89" s="48" t="s">
        <v>429</v>
      </c>
      <c r="G89" s="25" t="s">
        <v>191</v>
      </c>
      <c r="H89" s="26" t="s">
        <v>46</v>
      </c>
      <c r="I89" s="69">
        <v>3</v>
      </c>
      <c r="J89" s="28" t="s">
        <v>47</v>
      </c>
      <c r="K89" s="25" t="s">
        <v>443</v>
      </c>
      <c r="L89" s="71">
        <v>2</v>
      </c>
      <c r="M89" s="31">
        <f t="shared" si="5"/>
        <v>6</v>
      </c>
      <c r="N89" s="32" t="s">
        <v>39</v>
      </c>
      <c r="O89" s="33" t="s">
        <v>143</v>
      </c>
      <c r="P89" s="71">
        <v>2</v>
      </c>
      <c r="Q89" s="34">
        <f t="shared" si="4"/>
        <v>12</v>
      </c>
      <c r="R89" s="72"/>
      <c r="S89" s="72"/>
      <c r="T89" s="72"/>
      <c r="U89" s="50"/>
      <c r="V89" s="51"/>
      <c r="W89" s="52"/>
      <c r="X89" s="51"/>
      <c r="Y89" s="51"/>
      <c r="Z89" s="53"/>
      <c r="AA89" s="40"/>
      <c r="AB89" s="41"/>
      <c r="AD89" s="17">
        <f t="shared" si="8"/>
        <v>5997</v>
      </c>
      <c r="AE89" s="18">
        <f t="shared" si="7"/>
        <v>5997</v>
      </c>
    </row>
    <row r="90" spans="1:31" ht="230.25" outlineLevel="2" thickBot="1" x14ac:dyDescent="0.25">
      <c r="A90" s="43" t="s">
        <v>449</v>
      </c>
      <c r="B90" s="173"/>
      <c r="C90" s="83"/>
      <c r="D90" s="176"/>
      <c r="E90" s="74" t="s">
        <v>450</v>
      </c>
      <c r="F90" s="48" t="s">
        <v>392</v>
      </c>
      <c r="G90" s="25" t="s">
        <v>393</v>
      </c>
      <c r="H90" s="26" t="s">
        <v>61</v>
      </c>
      <c r="I90" s="69">
        <v>2</v>
      </c>
      <c r="J90" s="28" t="s">
        <v>47</v>
      </c>
      <c r="K90" s="29" t="s">
        <v>394</v>
      </c>
      <c r="L90" s="71">
        <v>2</v>
      </c>
      <c r="M90" s="31">
        <f t="shared" si="5"/>
        <v>4</v>
      </c>
      <c r="N90" s="32" t="s">
        <v>39</v>
      </c>
      <c r="O90" s="33" t="s">
        <v>395</v>
      </c>
      <c r="P90" s="71">
        <v>2</v>
      </c>
      <c r="Q90" s="34">
        <f t="shared" si="4"/>
        <v>8</v>
      </c>
      <c r="R90" s="76"/>
      <c r="S90" s="76"/>
      <c r="T90" s="76" t="s">
        <v>396</v>
      </c>
      <c r="U90" s="50"/>
      <c r="V90" s="51"/>
      <c r="W90" s="52"/>
      <c r="X90" s="51"/>
      <c r="Y90" s="51"/>
      <c r="Z90" s="53"/>
      <c r="AA90" s="40"/>
      <c r="AB90" s="41"/>
      <c r="AD90" s="17">
        <f t="shared" si="8"/>
        <v>-1529</v>
      </c>
      <c r="AE90" s="18">
        <f t="shared" si="7"/>
        <v>1529</v>
      </c>
    </row>
    <row r="91" spans="1:31" ht="21" outlineLevel="1" thickBot="1" x14ac:dyDescent="0.25">
      <c r="A91" s="19"/>
      <c r="B91" s="84" t="s">
        <v>451</v>
      </c>
      <c r="C91" s="85"/>
      <c r="D91" s="86"/>
      <c r="E91" s="22"/>
      <c r="F91" s="22"/>
      <c r="G91" s="22"/>
      <c r="H91" s="22"/>
      <c r="I91" s="22"/>
      <c r="J91" s="22"/>
      <c r="K91" s="22"/>
      <c r="L91" s="22"/>
      <c r="M91" s="22"/>
      <c r="N91" s="22"/>
      <c r="O91" s="22"/>
      <c r="P91" s="22"/>
      <c r="Q91" s="22"/>
      <c r="R91" s="22"/>
      <c r="S91" s="22"/>
      <c r="T91" s="22"/>
      <c r="U91" s="23"/>
      <c r="V91" s="22"/>
      <c r="W91" s="22"/>
      <c r="X91" s="22"/>
      <c r="Y91" s="22"/>
      <c r="Z91" s="22"/>
      <c r="AA91" s="22"/>
      <c r="AB91" s="24"/>
      <c r="AD91" s="17">
        <f t="shared" si="8"/>
        <v>0</v>
      </c>
      <c r="AE91" s="18">
        <f t="shared" si="7"/>
        <v>0</v>
      </c>
    </row>
    <row r="92" spans="1:31" ht="230.25" outlineLevel="4" thickBot="1" x14ac:dyDescent="0.25">
      <c r="A92" s="43" t="s">
        <v>452</v>
      </c>
      <c r="B92" s="182" t="s">
        <v>453</v>
      </c>
      <c r="C92" s="183" t="s">
        <v>454</v>
      </c>
      <c r="D92" s="184" t="s">
        <v>455</v>
      </c>
      <c r="E92" s="87" t="s">
        <v>33</v>
      </c>
      <c r="F92" s="51" t="s">
        <v>456</v>
      </c>
      <c r="G92" s="37" t="s">
        <v>457</v>
      </c>
      <c r="H92" s="88" t="s">
        <v>127</v>
      </c>
      <c r="I92" s="27">
        <v>3</v>
      </c>
      <c r="J92" s="70" t="s">
        <v>458</v>
      </c>
      <c r="K92" s="29" t="s">
        <v>459</v>
      </c>
      <c r="L92" s="71">
        <v>1</v>
      </c>
      <c r="M92" s="89">
        <f>I92*L92</f>
        <v>3</v>
      </c>
      <c r="N92" s="32" t="s">
        <v>39</v>
      </c>
      <c r="O92" s="53" t="s">
        <v>460</v>
      </c>
      <c r="P92" s="90">
        <v>2</v>
      </c>
      <c r="Q92" s="91">
        <f t="shared" ref="Q92:Q231" si="9">M92*P92</f>
        <v>6</v>
      </c>
      <c r="R92" s="72"/>
      <c r="S92" s="72"/>
      <c r="T92" s="72"/>
      <c r="U92" s="50"/>
      <c r="V92" s="51"/>
      <c r="W92" s="52"/>
      <c r="X92" s="51"/>
      <c r="Y92" s="51"/>
      <c r="Z92" s="53"/>
      <c r="AA92" s="40"/>
      <c r="AB92" s="41"/>
      <c r="AD92" s="17">
        <f t="shared" si="8"/>
        <v>-1531</v>
      </c>
      <c r="AE92" s="18"/>
    </row>
    <row r="93" spans="1:31" ht="230.25" outlineLevel="4" thickBot="1" x14ac:dyDescent="0.25">
      <c r="A93" s="43" t="s">
        <v>461</v>
      </c>
      <c r="B93" s="173"/>
      <c r="C93" s="179"/>
      <c r="D93" s="176"/>
      <c r="E93" s="87" t="s">
        <v>43</v>
      </c>
      <c r="F93" s="51" t="s">
        <v>462</v>
      </c>
      <c r="G93" s="37" t="s">
        <v>457</v>
      </c>
      <c r="H93" s="88" t="s">
        <v>127</v>
      </c>
      <c r="I93" s="27">
        <v>3</v>
      </c>
      <c r="J93" s="70" t="s">
        <v>463</v>
      </c>
      <c r="K93" s="29" t="s">
        <v>464</v>
      </c>
      <c r="L93" s="30">
        <v>1</v>
      </c>
      <c r="M93" s="89">
        <f>I93*L93</f>
        <v>3</v>
      </c>
      <c r="N93" s="32" t="s">
        <v>39</v>
      </c>
      <c r="O93" s="53" t="s">
        <v>460</v>
      </c>
      <c r="P93" s="90">
        <v>2</v>
      </c>
      <c r="Q93" s="91">
        <f t="shared" si="9"/>
        <v>6</v>
      </c>
      <c r="R93" s="72"/>
      <c r="S93" s="72"/>
      <c r="T93" s="72"/>
      <c r="U93" s="50"/>
      <c r="V93" s="51"/>
      <c r="W93" s="52"/>
      <c r="X93" s="51"/>
      <c r="Y93" s="51"/>
      <c r="Z93" s="53"/>
      <c r="AA93" s="40"/>
      <c r="AB93" s="41"/>
      <c r="AD93" s="17">
        <f t="shared" si="8"/>
        <v>-1532</v>
      </c>
      <c r="AE93" s="18"/>
    </row>
    <row r="94" spans="1:31" ht="230.25" outlineLevel="4" thickBot="1" x14ac:dyDescent="0.25">
      <c r="A94" s="43" t="s">
        <v>465</v>
      </c>
      <c r="B94" s="151"/>
      <c r="C94" s="172"/>
      <c r="D94" s="148"/>
      <c r="E94" s="87" t="s">
        <v>466</v>
      </c>
      <c r="F94" s="51" t="s">
        <v>467</v>
      </c>
      <c r="G94" s="37" t="s">
        <v>457</v>
      </c>
      <c r="H94" s="88" t="s">
        <v>127</v>
      </c>
      <c r="I94" s="92">
        <v>3</v>
      </c>
      <c r="J94" s="70" t="s">
        <v>468</v>
      </c>
      <c r="K94" s="93" t="s">
        <v>469</v>
      </c>
      <c r="L94" s="71">
        <v>2</v>
      </c>
      <c r="M94" s="89">
        <f t="shared" ref="M94" si="10">I94*L94</f>
        <v>6</v>
      </c>
      <c r="N94" s="32" t="s">
        <v>39</v>
      </c>
      <c r="O94" s="53" t="s">
        <v>460</v>
      </c>
      <c r="P94" s="94">
        <v>2</v>
      </c>
      <c r="Q94" s="91">
        <f t="shared" si="9"/>
        <v>12</v>
      </c>
      <c r="R94" s="72"/>
      <c r="S94" s="72"/>
      <c r="T94" s="72"/>
      <c r="U94" s="50"/>
      <c r="V94" s="51"/>
      <c r="W94" s="52"/>
      <c r="X94" s="51"/>
      <c r="Y94" s="51"/>
      <c r="Z94" s="53"/>
      <c r="AA94" s="40"/>
      <c r="AB94" s="41"/>
      <c r="AD94" s="17">
        <f t="shared" si="8"/>
        <v>16623</v>
      </c>
      <c r="AE94" s="18"/>
    </row>
    <row r="95" spans="1:31" ht="230.25" outlineLevel="4" thickBot="1" x14ac:dyDescent="0.25">
      <c r="A95" s="43" t="s">
        <v>470</v>
      </c>
      <c r="B95" s="177" t="s">
        <v>453</v>
      </c>
      <c r="C95" s="138" t="s">
        <v>471</v>
      </c>
      <c r="D95" s="149" t="s">
        <v>472</v>
      </c>
      <c r="E95" s="87" t="s">
        <v>33</v>
      </c>
      <c r="F95" s="51" t="s">
        <v>473</v>
      </c>
      <c r="G95" s="37" t="s">
        <v>457</v>
      </c>
      <c r="H95" s="88" t="s">
        <v>127</v>
      </c>
      <c r="I95" s="92">
        <v>3</v>
      </c>
      <c r="J95" s="70" t="s">
        <v>463</v>
      </c>
      <c r="K95" s="93" t="s">
        <v>459</v>
      </c>
      <c r="L95" s="71">
        <v>1</v>
      </c>
      <c r="M95" s="89">
        <f>I95*L95</f>
        <v>3</v>
      </c>
      <c r="N95" s="32" t="s">
        <v>39</v>
      </c>
      <c r="O95" s="53" t="s">
        <v>460</v>
      </c>
      <c r="P95" s="94">
        <v>2</v>
      </c>
      <c r="Q95" s="91">
        <f t="shared" si="9"/>
        <v>6</v>
      </c>
      <c r="R95" s="72"/>
      <c r="S95" s="72"/>
      <c r="T95" s="72"/>
      <c r="U95" s="50"/>
      <c r="V95" s="51"/>
      <c r="W95" s="52"/>
      <c r="X95" s="51"/>
      <c r="Y95" s="51"/>
      <c r="Z95" s="53"/>
      <c r="AA95" s="40"/>
      <c r="AB95" s="41"/>
      <c r="AD95" s="17">
        <f t="shared" si="8"/>
        <v>16624</v>
      </c>
      <c r="AE95" s="18"/>
    </row>
    <row r="96" spans="1:31" ht="230.25" outlineLevel="4" thickBot="1" x14ac:dyDescent="0.25">
      <c r="A96" s="43" t="s">
        <v>474</v>
      </c>
      <c r="B96" s="177"/>
      <c r="C96" s="138"/>
      <c r="D96" s="149"/>
      <c r="E96" s="87" t="s">
        <v>43</v>
      </c>
      <c r="F96" s="51" t="s">
        <v>475</v>
      </c>
      <c r="G96" s="37" t="s">
        <v>457</v>
      </c>
      <c r="H96" s="88" t="s">
        <v>127</v>
      </c>
      <c r="I96" s="92">
        <v>3</v>
      </c>
      <c r="J96" s="70" t="s">
        <v>463</v>
      </c>
      <c r="K96" s="93" t="s">
        <v>464</v>
      </c>
      <c r="L96" s="71">
        <v>1</v>
      </c>
      <c r="M96" s="89">
        <f>I96*L96</f>
        <v>3</v>
      </c>
      <c r="N96" s="32" t="s">
        <v>39</v>
      </c>
      <c r="O96" s="53" t="s">
        <v>460</v>
      </c>
      <c r="P96" s="94">
        <v>2</v>
      </c>
      <c r="Q96" s="91">
        <f t="shared" si="9"/>
        <v>6</v>
      </c>
      <c r="R96" s="72"/>
      <c r="S96" s="72"/>
      <c r="T96" s="72"/>
      <c r="U96" s="50"/>
      <c r="V96" s="51"/>
      <c r="W96" s="52"/>
      <c r="X96" s="51"/>
      <c r="Y96" s="51"/>
      <c r="Z96" s="53"/>
      <c r="AA96" s="40"/>
      <c r="AB96" s="41"/>
      <c r="AD96" s="17">
        <f t="shared" si="8"/>
        <v>16625</v>
      </c>
      <c r="AE96" s="18"/>
    </row>
    <row r="97" spans="1:31" ht="230.25" outlineLevel="4" thickBot="1" x14ac:dyDescent="0.25">
      <c r="A97" s="43" t="s">
        <v>476</v>
      </c>
      <c r="B97" s="177"/>
      <c r="C97" s="138"/>
      <c r="D97" s="149"/>
      <c r="E97" s="87" t="s">
        <v>466</v>
      </c>
      <c r="F97" s="51" t="s">
        <v>467</v>
      </c>
      <c r="G97" s="37" t="s">
        <v>457</v>
      </c>
      <c r="H97" s="88" t="s">
        <v>127</v>
      </c>
      <c r="I97" s="92">
        <v>3</v>
      </c>
      <c r="J97" s="70" t="s">
        <v>468</v>
      </c>
      <c r="K97" s="93" t="s">
        <v>469</v>
      </c>
      <c r="L97" s="71">
        <v>2</v>
      </c>
      <c r="M97" s="89">
        <f t="shared" ref="M97" si="11">I97*L97</f>
        <v>6</v>
      </c>
      <c r="N97" s="32" t="s">
        <v>39</v>
      </c>
      <c r="O97" s="53" t="s">
        <v>460</v>
      </c>
      <c r="P97" s="94">
        <v>2</v>
      </c>
      <c r="Q97" s="91">
        <f t="shared" si="9"/>
        <v>12</v>
      </c>
      <c r="R97" s="72"/>
      <c r="S97" s="72"/>
      <c r="T97" s="72"/>
      <c r="U97" s="50"/>
      <c r="V97" s="51"/>
      <c r="W97" s="52"/>
      <c r="X97" s="51"/>
      <c r="Y97" s="51"/>
      <c r="Z97" s="53"/>
      <c r="AA97" s="40"/>
      <c r="AB97" s="41"/>
      <c r="AD97" s="17">
        <f t="shared" si="8"/>
        <v>16626</v>
      </c>
      <c r="AE97" s="18"/>
    </row>
    <row r="98" spans="1:31" ht="268.5" outlineLevel="4" thickBot="1" x14ac:dyDescent="0.25">
      <c r="A98" s="43" t="s">
        <v>477</v>
      </c>
      <c r="B98" s="177" t="s">
        <v>453</v>
      </c>
      <c r="C98" s="138" t="s">
        <v>478</v>
      </c>
      <c r="D98" s="149" t="s">
        <v>479</v>
      </c>
      <c r="E98" s="87" t="s">
        <v>33</v>
      </c>
      <c r="F98" s="51" t="s">
        <v>480</v>
      </c>
      <c r="G98" s="37" t="s">
        <v>481</v>
      </c>
      <c r="H98" s="88" t="s">
        <v>482</v>
      </c>
      <c r="I98" s="92">
        <v>3</v>
      </c>
      <c r="J98" s="70" t="s">
        <v>463</v>
      </c>
      <c r="K98" s="93" t="s">
        <v>459</v>
      </c>
      <c r="L98" s="71">
        <v>1</v>
      </c>
      <c r="M98" s="89">
        <f>I98*L98</f>
        <v>3</v>
      </c>
      <c r="N98" s="32" t="s">
        <v>39</v>
      </c>
      <c r="O98" s="53" t="s">
        <v>483</v>
      </c>
      <c r="P98" s="94">
        <v>3</v>
      </c>
      <c r="Q98" s="91">
        <f t="shared" si="9"/>
        <v>9</v>
      </c>
      <c r="R98" s="72"/>
      <c r="S98" s="72"/>
      <c r="T98" s="72"/>
      <c r="U98" s="50"/>
      <c r="V98" s="51"/>
      <c r="W98" s="52"/>
      <c r="X98" s="51"/>
      <c r="Y98" s="51"/>
      <c r="Z98" s="53"/>
      <c r="AA98" s="40"/>
      <c r="AB98" s="41"/>
      <c r="AD98" s="17">
        <f t="shared" si="8"/>
        <v>16627</v>
      </c>
      <c r="AE98" s="18"/>
    </row>
    <row r="99" spans="1:31" ht="230.25" outlineLevel="4" thickBot="1" x14ac:dyDescent="0.25">
      <c r="A99" s="43" t="s">
        <v>484</v>
      </c>
      <c r="B99" s="177"/>
      <c r="C99" s="138"/>
      <c r="D99" s="149"/>
      <c r="E99" s="87" t="s">
        <v>43</v>
      </c>
      <c r="F99" s="51" t="s">
        <v>485</v>
      </c>
      <c r="G99" s="37" t="s">
        <v>486</v>
      </c>
      <c r="H99" s="88" t="s">
        <v>127</v>
      </c>
      <c r="I99" s="92">
        <v>3</v>
      </c>
      <c r="J99" s="70" t="s">
        <v>463</v>
      </c>
      <c r="K99" s="93" t="s">
        <v>487</v>
      </c>
      <c r="L99" s="71">
        <v>1</v>
      </c>
      <c r="M99" s="89">
        <f>I99*L99</f>
        <v>3</v>
      </c>
      <c r="N99" s="32" t="s">
        <v>39</v>
      </c>
      <c r="O99" s="53" t="s">
        <v>488</v>
      </c>
      <c r="P99" s="94">
        <v>2</v>
      </c>
      <c r="Q99" s="91">
        <f t="shared" si="9"/>
        <v>6</v>
      </c>
      <c r="R99" s="72"/>
      <c r="S99" s="72"/>
      <c r="T99" s="72"/>
      <c r="U99" s="50"/>
      <c r="V99" s="51"/>
      <c r="W99" s="52"/>
      <c r="X99" s="51"/>
      <c r="Y99" s="51"/>
      <c r="Z99" s="53"/>
      <c r="AA99" s="40"/>
      <c r="AB99" s="41"/>
      <c r="AD99" s="17">
        <f t="shared" si="8"/>
        <v>16628</v>
      </c>
      <c r="AE99" s="18"/>
    </row>
    <row r="100" spans="1:31" ht="230.25" outlineLevel="4" thickBot="1" x14ac:dyDescent="0.25">
      <c r="A100" s="43" t="s">
        <v>489</v>
      </c>
      <c r="B100" s="177"/>
      <c r="C100" s="138"/>
      <c r="D100" s="149"/>
      <c r="E100" s="87" t="s">
        <v>466</v>
      </c>
      <c r="F100" s="51" t="s">
        <v>490</v>
      </c>
      <c r="G100" s="37" t="s">
        <v>457</v>
      </c>
      <c r="H100" s="88" t="s">
        <v>127</v>
      </c>
      <c r="I100" s="92">
        <v>3</v>
      </c>
      <c r="J100" s="70" t="s">
        <v>468</v>
      </c>
      <c r="K100" s="93" t="s">
        <v>469</v>
      </c>
      <c r="L100" s="71">
        <v>2</v>
      </c>
      <c r="M100" s="89">
        <f t="shared" ref="M100" si="12">I100*L100</f>
        <v>6</v>
      </c>
      <c r="N100" s="32" t="s">
        <v>39</v>
      </c>
      <c r="O100" s="53" t="s">
        <v>491</v>
      </c>
      <c r="P100" s="94">
        <v>2</v>
      </c>
      <c r="Q100" s="91">
        <f t="shared" si="9"/>
        <v>12</v>
      </c>
      <c r="R100" s="72"/>
      <c r="S100" s="72"/>
      <c r="T100" s="72"/>
      <c r="U100" s="50"/>
      <c r="V100" s="51"/>
      <c r="W100" s="52"/>
      <c r="X100" s="51"/>
      <c r="Y100" s="51"/>
      <c r="Z100" s="53"/>
      <c r="AA100" s="40"/>
      <c r="AB100" s="41"/>
      <c r="AD100" s="17">
        <f t="shared" si="8"/>
        <v>16629</v>
      </c>
      <c r="AE100" s="18"/>
    </row>
    <row r="101" spans="1:31" ht="230.25" outlineLevel="4" thickBot="1" x14ac:dyDescent="0.25">
      <c r="A101" s="43" t="s">
        <v>492</v>
      </c>
      <c r="B101" s="177" t="s">
        <v>453</v>
      </c>
      <c r="C101" s="138" t="s">
        <v>493</v>
      </c>
      <c r="D101" s="149" t="s">
        <v>494</v>
      </c>
      <c r="E101" s="87" t="s">
        <v>33</v>
      </c>
      <c r="F101" s="51" t="s">
        <v>495</v>
      </c>
      <c r="G101" s="66" t="s">
        <v>457</v>
      </c>
      <c r="H101" s="26" t="s">
        <v>127</v>
      </c>
      <c r="I101" s="27">
        <v>3</v>
      </c>
      <c r="J101" s="70" t="s">
        <v>463</v>
      </c>
      <c r="K101" s="29" t="s">
        <v>496</v>
      </c>
      <c r="L101" s="71">
        <v>1</v>
      </c>
      <c r="M101" s="89">
        <f>I101*L101</f>
        <v>3</v>
      </c>
      <c r="N101" s="32" t="s">
        <v>39</v>
      </c>
      <c r="O101" s="60" t="s">
        <v>143</v>
      </c>
      <c r="P101" s="90">
        <v>2</v>
      </c>
      <c r="Q101" s="91">
        <f t="shared" si="9"/>
        <v>6</v>
      </c>
      <c r="R101" s="72"/>
      <c r="S101" s="72"/>
      <c r="T101" s="72"/>
      <c r="U101" s="50"/>
      <c r="V101" s="51"/>
      <c r="W101" s="52"/>
      <c r="X101" s="51"/>
      <c r="Y101" s="51"/>
      <c r="Z101" s="53"/>
      <c r="AA101" s="40"/>
      <c r="AB101" s="41"/>
      <c r="AD101" s="17">
        <f t="shared" si="8"/>
        <v>16630</v>
      </c>
      <c r="AE101" s="18"/>
    </row>
    <row r="102" spans="1:31" ht="230.25" outlineLevel="4" thickBot="1" x14ac:dyDescent="0.25">
      <c r="A102" s="43" t="s">
        <v>497</v>
      </c>
      <c r="B102" s="177"/>
      <c r="C102" s="138"/>
      <c r="D102" s="149"/>
      <c r="E102" s="87" t="s">
        <v>43</v>
      </c>
      <c r="F102" s="51" t="s">
        <v>498</v>
      </c>
      <c r="G102" s="66" t="s">
        <v>499</v>
      </c>
      <c r="H102" s="26" t="s">
        <v>147</v>
      </c>
      <c r="I102" s="27">
        <v>1</v>
      </c>
      <c r="J102" s="70" t="s">
        <v>463</v>
      </c>
      <c r="K102" s="29" t="s">
        <v>487</v>
      </c>
      <c r="L102" s="30">
        <v>1</v>
      </c>
      <c r="M102" s="89">
        <f>I102*L102</f>
        <v>1</v>
      </c>
      <c r="N102" s="32" t="s">
        <v>39</v>
      </c>
      <c r="O102" s="53" t="s">
        <v>76</v>
      </c>
      <c r="P102" s="90">
        <v>5</v>
      </c>
      <c r="Q102" s="91">
        <f t="shared" si="9"/>
        <v>5</v>
      </c>
      <c r="R102" s="72"/>
      <c r="S102" s="72"/>
      <c r="T102" s="72"/>
      <c r="U102" s="50"/>
      <c r="V102" s="51"/>
      <c r="W102" s="52"/>
      <c r="X102" s="51"/>
      <c r="Y102" s="51"/>
      <c r="Z102" s="53"/>
      <c r="AA102" s="40"/>
      <c r="AB102" s="41"/>
      <c r="AD102" s="17">
        <f t="shared" si="8"/>
        <v>16631</v>
      </c>
      <c r="AE102" s="18"/>
    </row>
    <row r="103" spans="1:31" ht="230.25" outlineLevel="4" thickBot="1" x14ac:dyDescent="0.25">
      <c r="A103" s="43" t="s">
        <v>500</v>
      </c>
      <c r="B103" s="177"/>
      <c r="C103" s="138"/>
      <c r="D103" s="149"/>
      <c r="E103" s="87" t="s">
        <v>466</v>
      </c>
      <c r="F103" s="51" t="s">
        <v>501</v>
      </c>
      <c r="G103" s="37" t="s">
        <v>457</v>
      </c>
      <c r="H103" s="88" t="s">
        <v>127</v>
      </c>
      <c r="I103" s="92">
        <v>3</v>
      </c>
      <c r="J103" s="70" t="s">
        <v>468</v>
      </c>
      <c r="K103" s="93" t="s">
        <v>469</v>
      </c>
      <c r="L103" s="71">
        <v>2</v>
      </c>
      <c r="M103" s="89">
        <f t="shared" ref="M103:M108" si="13">I103*L103</f>
        <v>6</v>
      </c>
      <c r="N103" s="32" t="s">
        <v>39</v>
      </c>
      <c r="O103" s="60" t="s">
        <v>143</v>
      </c>
      <c r="P103" s="94">
        <v>2</v>
      </c>
      <c r="Q103" s="91">
        <f t="shared" si="9"/>
        <v>12</v>
      </c>
      <c r="R103" s="72"/>
      <c r="S103" s="72"/>
      <c r="T103" s="72"/>
      <c r="U103" s="50"/>
      <c r="V103" s="51"/>
      <c r="W103" s="52"/>
      <c r="X103" s="51"/>
      <c r="Y103" s="51"/>
      <c r="Z103" s="53"/>
      <c r="AA103" s="40"/>
      <c r="AB103" s="41"/>
      <c r="AD103" s="17">
        <f t="shared" si="8"/>
        <v>16632</v>
      </c>
      <c r="AE103" s="18"/>
    </row>
    <row r="104" spans="1:31" ht="230.25" outlineLevel="4" thickBot="1" x14ac:dyDescent="0.25">
      <c r="A104" s="43" t="s">
        <v>502</v>
      </c>
      <c r="B104" s="178" t="s">
        <v>503</v>
      </c>
      <c r="C104" s="179" t="s">
        <v>504</v>
      </c>
      <c r="D104" s="176" t="s">
        <v>505</v>
      </c>
      <c r="E104" s="48" t="s">
        <v>506</v>
      </c>
      <c r="F104" s="48" t="s">
        <v>507</v>
      </c>
      <c r="G104" s="37" t="s">
        <v>191</v>
      </c>
      <c r="H104" s="88" t="s">
        <v>127</v>
      </c>
      <c r="I104" s="69">
        <v>3</v>
      </c>
      <c r="J104" s="70" t="s">
        <v>84</v>
      </c>
      <c r="K104" s="29" t="s">
        <v>508</v>
      </c>
      <c r="L104" s="71">
        <v>1</v>
      </c>
      <c r="M104" s="89">
        <f t="shared" si="13"/>
        <v>3</v>
      </c>
      <c r="N104" s="32" t="s">
        <v>39</v>
      </c>
      <c r="O104" s="33" t="s">
        <v>166</v>
      </c>
      <c r="P104" s="71">
        <v>1</v>
      </c>
      <c r="Q104" s="91">
        <f t="shared" si="9"/>
        <v>3</v>
      </c>
      <c r="R104" s="72"/>
      <c r="S104" s="72"/>
      <c r="T104" s="72"/>
      <c r="U104" s="50"/>
      <c r="V104" s="51"/>
      <c r="W104" s="52"/>
      <c r="X104" s="51"/>
      <c r="Y104" s="51"/>
      <c r="Z104" s="53"/>
      <c r="AA104" s="40"/>
      <c r="AB104" s="41"/>
      <c r="AD104" s="17">
        <f t="shared" si="8"/>
        <v>10495</v>
      </c>
      <c r="AE104" s="18"/>
    </row>
    <row r="105" spans="1:31" ht="230.25" outlineLevel="4" thickBot="1" x14ac:dyDescent="0.25">
      <c r="A105" s="43" t="s">
        <v>509</v>
      </c>
      <c r="B105" s="175"/>
      <c r="C105" s="172"/>
      <c r="D105" s="148"/>
      <c r="E105" s="48" t="s">
        <v>510</v>
      </c>
      <c r="F105" s="48" t="s">
        <v>511</v>
      </c>
      <c r="G105" s="37" t="s">
        <v>512</v>
      </c>
      <c r="H105" s="88" t="s">
        <v>107</v>
      </c>
      <c r="I105" s="69">
        <v>1</v>
      </c>
      <c r="J105" s="70" t="s">
        <v>74</v>
      </c>
      <c r="K105" s="29" t="s">
        <v>75</v>
      </c>
      <c r="L105" s="71">
        <v>1</v>
      </c>
      <c r="M105" s="89">
        <f t="shared" si="13"/>
        <v>1</v>
      </c>
      <c r="N105" s="32" t="s">
        <v>39</v>
      </c>
      <c r="O105" s="53" t="s">
        <v>76</v>
      </c>
      <c r="P105" s="71">
        <v>5</v>
      </c>
      <c r="Q105" s="91">
        <f t="shared" si="9"/>
        <v>5</v>
      </c>
      <c r="R105" s="72"/>
      <c r="S105" s="72"/>
      <c r="T105" s="72"/>
      <c r="U105" s="50"/>
      <c r="V105" s="51"/>
      <c r="W105" s="52"/>
      <c r="X105" s="51"/>
      <c r="Y105" s="51"/>
      <c r="Z105" s="53"/>
      <c r="AA105" s="40"/>
      <c r="AB105" s="41"/>
      <c r="AD105" s="17">
        <f t="shared" si="8"/>
        <v>10496</v>
      </c>
      <c r="AE105" s="18"/>
    </row>
    <row r="106" spans="1:31" ht="230.25" outlineLevel="4" thickBot="1" x14ac:dyDescent="0.25">
      <c r="A106" s="43" t="s">
        <v>513</v>
      </c>
      <c r="B106" s="174" t="s">
        <v>514</v>
      </c>
      <c r="C106" s="171" t="s">
        <v>515</v>
      </c>
      <c r="D106" s="147" t="s">
        <v>505</v>
      </c>
      <c r="E106" s="48" t="s">
        <v>516</v>
      </c>
      <c r="F106" s="48" t="s">
        <v>511</v>
      </c>
      <c r="G106" s="37" t="s">
        <v>512</v>
      </c>
      <c r="H106" s="88" t="s">
        <v>107</v>
      </c>
      <c r="I106" s="69">
        <v>1</v>
      </c>
      <c r="J106" s="70" t="s">
        <v>84</v>
      </c>
      <c r="K106" s="29" t="s">
        <v>75</v>
      </c>
      <c r="L106" s="71">
        <v>1</v>
      </c>
      <c r="M106" s="89">
        <f t="shared" si="13"/>
        <v>1</v>
      </c>
      <c r="N106" s="32" t="s">
        <v>39</v>
      </c>
      <c r="O106" s="53" t="s">
        <v>76</v>
      </c>
      <c r="P106" s="71">
        <v>5</v>
      </c>
      <c r="Q106" s="91">
        <f t="shared" si="9"/>
        <v>5</v>
      </c>
      <c r="R106" s="72"/>
      <c r="S106" s="72"/>
      <c r="T106" s="72"/>
      <c r="U106" s="50"/>
      <c r="V106" s="51"/>
      <c r="W106" s="52"/>
      <c r="X106" s="51"/>
      <c r="Y106" s="51"/>
      <c r="Z106" s="53"/>
      <c r="AA106" s="40"/>
      <c r="AB106" s="41"/>
      <c r="AD106" s="17">
        <f t="shared" si="8"/>
        <v>10497</v>
      </c>
      <c r="AE106" s="18"/>
    </row>
    <row r="107" spans="1:31" ht="230.25" outlineLevel="4" thickBot="1" x14ac:dyDescent="0.25">
      <c r="A107" s="43" t="s">
        <v>517</v>
      </c>
      <c r="B107" s="175"/>
      <c r="C107" s="172"/>
      <c r="D107" s="148"/>
      <c r="E107" s="48" t="s">
        <v>518</v>
      </c>
      <c r="F107" s="48" t="s">
        <v>519</v>
      </c>
      <c r="G107" s="37" t="s">
        <v>512</v>
      </c>
      <c r="H107" s="88" t="s">
        <v>147</v>
      </c>
      <c r="I107" s="69">
        <v>1</v>
      </c>
      <c r="J107" s="70" t="s">
        <v>74</v>
      </c>
      <c r="K107" s="29" t="s">
        <v>75</v>
      </c>
      <c r="L107" s="71">
        <v>1</v>
      </c>
      <c r="M107" s="89">
        <f t="shared" si="13"/>
        <v>1</v>
      </c>
      <c r="N107" s="32" t="s">
        <v>39</v>
      </c>
      <c r="O107" s="53" t="s">
        <v>76</v>
      </c>
      <c r="P107" s="71">
        <v>5</v>
      </c>
      <c r="Q107" s="91">
        <f t="shared" si="9"/>
        <v>5</v>
      </c>
      <c r="R107" s="72"/>
      <c r="S107" s="72"/>
      <c r="T107" s="72"/>
      <c r="U107" s="50"/>
      <c r="V107" s="51"/>
      <c r="W107" s="52"/>
      <c r="X107" s="51"/>
      <c r="Y107" s="51"/>
      <c r="Z107" s="53"/>
      <c r="AA107" s="40"/>
      <c r="AB107" s="41"/>
      <c r="AD107" s="17">
        <f t="shared" si="8"/>
        <v>10498</v>
      </c>
      <c r="AE107" s="18"/>
    </row>
    <row r="108" spans="1:31" ht="230.25" outlineLevel="4" thickBot="1" x14ac:dyDescent="0.25">
      <c r="A108" s="43" t="s">
        <v>520</v>
      </c>
      <c r="B108" s="174" t="s">
        <v>521</v>
      </c>
      <c r="C108" s="171" t="s">
        <v>522</v>
      </c>
      <c r="D108" s="147" t="s">
        <v>505</v>
      </c>
      <c r="E108" s="48" t="s">
        <v>256</v>
      </c>
      <c r="F108" s="48" t="s">
        <v>511</v>
      </c>
      <c r="G108" s="37" t="s">
        <v>512</v>
      </c>
      <c r="H108" s="88" t="s">
        <v>107</v>
      </c>
      <c r="I108" s="69">
        <v>1</v>
      </c>
      <c r="J108" s="70" t="s">
        <v>84</v>
      </c>
      <c r="K108" s="29" t="s">
        <v>75</v>
      </c>
      <c r="L108" s="71">
        <v>1</v>
      </c>
      <c r="M108" s="89">
        <f t="shared" si="13"/>
        <v>1</v>
      </c>
      <c r="N108" s="32" t="s">
        <v>39</v>
      </c>
      <c r="O108" s="53" t="s">
        <v>76</v>
      </c>
      <c r="P108" s="71">
        <v>5</v>
      </c>
      <c r="Q108" s="91">
        <f t="shared" si="9"/>
        <v>5</v>
      </c>
      <c r="R108" s="72"/>
      <c r="S108" s="72"/>
      <c r="T108" s="72"/>
      <c r="U108" s="50"/>
      <c r="V108" s="51"/>
      <c r="W108" s="52"/>
      <c r="X108" s="51"/>
      <c r="Y108" s="51"/>
      <c r="Z108" s="53"/>
      <c r="AA108" s="40"/>
      <c r="AB108" s="41"/>
      <c r="AD108" s="17">
        <f t="shared" si="8"/>
        <v>10499</v>
      </c>
      <c r="AE108" s="18"/>
    </row>
    <row r="109" spans="1:31" ht="230.25" outlineLevel="4" thickBot="1" x14ac:dyDescent="0.25">
      <c r="A109" s="43" t="s">
        <v>523</v>
      </c>
      <c r="B109" s="175"/>
      <c r="C109" s="172"/>
      <c r="D109" s="148"/>
      <c r="E109" s="48" t="s">
        <v>518</v>
      </c>
      <c r="F109" s="48" t="s">
        <v>524</v>
      </c>
      <c r="G109" s="25" t="s">
        <v>126</v>
      </c>
      <c r="H109" s="26" t="s">
        <v>127</v>
      </c>
      <c r="I109" s="42">
        <v>3</v>
      </c>
      <c r="J109" s="28" t="s">
        <v>47</v>
      </c>
      <c r="K109" s="29" t="s">
        <v>525</v>
      </c>
      <c r="L109" s="30">
        <v>2</v>
      </c>
      <c r="M109" s="31">
        <f>I109*L109</f>
        <v>6</v>
      </c>
      <c r="N109" s="32" t="s">
        <v>39</v>
      </c>
      <c r="O109" s="60" t="s">
        <v>123</v>
      </c>
      <c r="P109" s="71">
        <v>1</v>
      </c>
      <c r="Q109" s="91">
        <f t="shared" si="9"/>
        <v>6</v>
      </c>
      <c r="R109" s="72"/>
      <c r="S109" s="72"/>
      <c r="T109" s="72"/>
      <c r="U109" s="50"/>
      <c r="V109" s="51"/>
      <c r="W109" s="52"/>
      <c r="X109" s="51"/>
      <c r="Y109" s="51"/>
      <c r="Z109" s="53"/>
      <c r="AA109" s="40"/>
      <c r="AB109" s="41"/>
      <c r="AD109" s="17">
        <f t="shared" si="8"/>
        <v>10500</v>
      </c>
      <c r="AE109" s="18"/>
    </row>
    <row r="110" spans="1:31" ht="230.25" outlineLevel="4" thickBot="1" x14ac:dyDescent="0.25">
      <c r="A110" s="43" t="s">
        <v>526</v>
      </c>
      <c r="B110" s="174" t="s">
        <v>527</v>
      </c>
      <c r="C110" s="171" t="s">
        <v>528</v>
      </c>
      <c r="D110" s="147" t="s">
        <v>529</v>
      </c>
      <c r="E110" s="48" t="s">
        <v>506</v>
      </c>
      <c r="F110" s="48" t="s">
        <v>530</v>
      </c>
      <c r="G110" s="37" t="s">
        <v>191</v>
      </c>
      <c r="H110" s="88" t="s">
        <v>127</v>
      </c>
      <c r="I110" s="69">
        <v>3</v>
      </c>
      <c r="J110" s="70" t="s">
        <v>84</v>
      </c>
      <c r="K110" s="29" t="s">
        <v>525</v>
      </c>
      <c r="L110" s="71">
        <v>1</v>
      </c>
      <c r="M110" s="89">
        <f t="shared" ref="M110:M114" si="14">I110*L110</f>
        <v>3</v>
      </c>
      <c r="N110" s="32" t="s">
        <v>39</v>
      </c>
      <c r="O110" s="60" t="s">
        <v>531</v>
      </c>
      <c r="P110" s="71">
        <v>1</v>
      </c>
      <c r="Q110" s="91">
        <f t="shared" si="9"/>
        <v>3</v>
      </c>
      <c r="R110" s="72"/>
      <c r="S110" s="72"/>
      <c r="T110" s="72"/>
      <c r="U110" s="50"/>
      <c r="V110" s="51"/>
      <c r="W110" s="52"/>
      <c r="X110" s="51"/>
      <c r="Y110" s="51"/>
      <c r="Z110" s="53"/>
      <c r="AA110" s="40"/>
      <c r="AB110" s="41"/>
      <c r="AD110" s="17">
        <f t="shared" si="8"/>
        <v>10501</v>
      </c>
      <c r="AE110" s="18"/>
    </row>
    <row r="111" spans="1:31" ht="230.25" outlineLevel="4" thickBot="1" x14ac:dyDescent="0.25">
      <c r="A111" s="43" t="s">
        <v>532</v>
      </c>
      <c r="B111" s="175"/>
      <c r="C111" s="172"/>
      <c r="D111" s="148"/>
      <c r="E111" s="48" t="s">
        <v>510</v>
      </c>
      <c r="F111" s="48" t="s">
        <v>511</v>
      </c>
      <c r="G111" s="37" t="s">
        <v>512</v>
      </c>
      <c r="H111" s="88" t="s">
        <v>107</v>
      </c>
      <c r="I111" s="69">
        <v>1</v>
      </c>
      <c r="J111" s="70" t="s">
        <v>74</v>
      </c>
      <c r="K111" s="29" t="s">
        <v>75</v>
      </c>
      <c r="L111" s="71">
        <v>1</v>
      </c>
      <c r="M111" s="89">
        <f t="shared" si="14"/>
        <v>1</v>
      </c>
      <c r="N111" s="32" t="s">
        <v>39</v>
      </c>
      <c r="O111" s="53" t="s">
        <v>76</v>
      </c>
      <c r="P111" s="71">
        <v>5</v>
      </c>
      <c r="Q111" s="91">
        <f t="shared" si="9"/>
        <v>5</v>
      </c>
      <c r="R111" s="72"/>
      <c r="S111" s="72"/>
      <c r="T111" s="72"/>
      <c r="U111" s="50"/>
      <c r="V111" s="51"/>
      <c r="W111" s="52"/>
      <c r="X111" s="51"/>
      <c r="Y111" s="51"/>
      <c r="Z111" s="53"/>
      <c r="AA111" s="40"/>
      <c r="AB111" s="41"/>
      <c r="AD111" s="17">
        <f t="shared" si="8"/>
        <v>10502</v>
      </c>
      <c r="AE111" s="18"/>
    </row>
    <row r="112" spans="1:31" ht="230.25" outlineLevel="4" thickBot="1" x14ac:dyDescent="0.25">
      <c r="A112" s="43" t="s">
        <v>533</v>
      </c>
      <c r="B112" s="174" t="s">
        <v>534</v>
      </c>
      <c r="C112" s="171" t="s">
        <v>535</v>
      </c>
      <c r="D112" s="147" t="s">
        <v>529</v>
      </c>
      <c r="E112" s="48" t="s">
        <v>516</v>
      </c>
      <c r="F112" s="48" t="s">
        <v>511</v>
      </c>
      <c r="G112" s="37" t="s">
        <v>512</v>
      </c>
      <c r="H112" s="88" t="s">
        <v>107</v>
      </c>
      <c r="I112" s="69">
        <v>1</v>
      </c>
      <c r="J112" s="70" t="s">
        <v>84</v>
      </c>
      <c r="K112" s="29" t="s">
        <v>75</v>
      </c>
      <c r="L112" s="71">
        <v>1</v>
      </c>
      <c r="M112" s="89">
        <f t="shared" si="14"/>
        <v>1</v>
      </c>
      <c r="N112" s="32" t="s">
        <v>39</v>
      </c>
      <c r="O112" s="53" t="s">
        <v>76</v>
      </c>
      <c r="P112" s="71">
        <v>5</v>
      </c>
      <c r="Q112" s="91">
        <f t="shared" si="9"/>
        <v>5</v>
      </c>
      <c r="R112" s="72"/>
      <c r="S112" s="72"/>
      <c r="T112" s="72"/>
      <c r="U112" s="50"/>
      <c r="V112" s="51"/>
      <c r="W112" s="52"/>
      <c r="X112" s="51"/>
      <c r="Y112" s="51"/>
      <c r="Z112" s="53"/>
      <c r="AA112" s="40"/>
      <c r="AB112" s="41"/>
      <c r="AD112" s="17">
        <f t="shared" si="8"/>
        <v>10503</v>
      </c>
      <c r="AE112" s="18"/>
    </row>
    <row r="113" spans="1:31" ht="230.25" outlineLevel="4" thickBot="1" x14ac:dyDescent="0.25">
      <c r="A113" s="43" t="s">
        <v>536</v>
      </c>
      <c r="B113" s="175"/>
      <c r="C113" s="172"/>
      <c r="D113" s="148"/>
      <c r="E113" s="48" t="s">
        <v>518</v>
      </c>
      <c r="F113" s="48" t="s">
        <v>519</v>
      </c>
      <c r="G113" s="37" t="s">
        <v>512</v>
      </c>
      <c r="H113" s="88" t="s">
        <v>147</v>
      </c>
      <c r="I113" s="69">
        <v>1</v>
      </c>
      <c r="J113" s="70" t="s">
        <v>74</v>
      </c>
      <c r="K113" s="29" t="s">
        <v>75</v>
      </c>
      <c r="L113" s="71">
        <v>1</v>
      </c>
      <c r="M113" s="89">
        <f t="shared" si="14"/>
        <v>1</v>
      </c>
      <c r="N113" s="32" t="s">
        <v>39</v>
      </c>
      <c r="O113" s="53" t="s">
        <v>76</v>
      </c>
      <c r="P113" s="71">
        <v>5</v>
      </c>
      <c r="Q113" s="91">
        <f t="shared" si="9"/>
        <v>5</v>
      </c>
      <c r="R113" s="72"/>
      <c r="S113" s="72"/>
      <c r="T113" s="72"/>
      <c r="U113" s="50"/>
      <c r="V113" s="51"/>
      <c r="W113" s="52"/>
      <c r="X113" s="51"/>
      <c r="Y113" s="51"/>
      <c r="Z113" s="53"/>
      <c r="AA113" s="40"/>
      <c r="AB113" s="41"/>
      <c r="AD113" s="17">
        <f t="shared" si="8"/>
        <v>10504</v>
      </c>
      <c r="AE113" s="18"/>
    </row>
    <row r="114" spans="1:31" ht="230.25" outlineLevel="4" thickBot="1" x14ac:dyDescent="0.25">
      <c r="A114" s="43" t="s">
        <v>537</v>
      </c>
      <c r="B114" s="174" t="s">
        <v>538</v>
      </c>
      <c r="C114" s="171" t="s">
        <v>539</v>
      </c>
      <c r="D114" s="147" t="s">
        <v>529</v>
      </c>
      <c r="E114" s="48" t="s">
        <v>256</v>
      </c>
      <c r="F114" s="48" t="s">
        <v>511</v>
      </c>
      <c r="G114" s="37" t="s">
        <v>512</v>
      </c>
      <c r="H114" s="88" t="s">
        <v>107</v>
      </c>
      <c r="I114" s="69">
        <v>1</v>
      </c>
      <c r="J114" s="70" t="s">
        <v>84</v>
      </c>
      <c r="K114" s="29" t="s">
        <v>75</v>
      </c>
      <c r="L114" s="71">
        <v>1</v>
      </c>
      <c r="M114" s="89">
        <f t="shared" si="14"/>
        <v>1</v>
      </c>
      <c r="N114" s="32" t="s">
        <v>39</v>
      </c>
      <c r="O114" s="53" t="s">
        <v>76</v>
      </c>
      <c r="P114" s="71">
        <v>5</v>
      </c>
      <c r="Q114" s="91">
        <f t="shared" si="9"/>
        <v>5</v>
      </c>
      <c r="R114" s="72"/>
      <c r="S114" s="72"/>
      <c r="T114" s="72"/>
      <c r="U114" s="50"/>
      <c r="V114" s="51"/>
      <c r="W114" s="52"/>
      <c r="X114" s="51"/>
      <c r="Y114" s="51"/>
      <c r="Z114" s="53"/>
      <c r="AA114" s="40"/>
      <c r="AB114" s="41"/>
      <c r="AD114" s="17">
        <f t="shared" si="8"/>
        <v>10505</v>
      </c>
      <c r="AE114" s="18"/>
    </row>
    <row r="115" spans="1:31" ht="230.25" outlineLevel="4" thickBot="1" x14ac:dyDescent="0.25">
      <c r="A115" s="43" t="s">
        <v>540</v>
      </c>
      <c r="B115" s="175"/>
      <c r="C115" s="172"/>
      <c r="D115" s="148"/>
      <c r="E115" s="48" t="s">
        <v>518</v>
      </c>
      <c r="F115" s="48" t="s">
        <v>541</v>
      </c>
      <c r="G115" s="25" t="s">
        <v>126</v>
      </c>
      <c r="H115" s="26" t="s">
        <v>127</v>
      </c>
      <c r="I115" s="42">
        <v>3</v>
      </c>
      <c r="J115" s="28" t="s">
        <v>47</v>
      </c>
      <c r="K115" s="29" t="s">
        <v>525</v>
      </c>
      <c r="L115" s="30">
        <v>2</v>
      </c>
      <c r="M115" s="31">
        <f>I115*L115</f>
        <v>6</v>
      </c>
      <c r="N115" s="32" t="s">
        <v>39</v>
      </c>
      <c r="O115" s="60" t="s">
        <v>123</v>
      </c>
      <c r="P115" s="71">
        <v>1</v>
      </c>
      <c r="Q115" s="91">
        <f t="shared" si="9"/>
        <v>6</v>
      </c>
      <c r="R115" s="72"/>
      <c r="S115" s="72"/>
      <c r="T115" s="72"/>
      <c r="U115" s="50"/>
      <c r="V115" s="51"/>
      <c r="W115" s="52"/>
      <c r="X115" s="51"/>
      <c r="Y115" s="51"/>
      <c r="Z115" s="53"/>
      <c r="AA115" s="40"/>
      <c r="AB115" s="41"/>
      <c r="AD115" s="17">
        <f t="shared" si="8"/>
        <v>10506</v>
      </c>
      <c r="AE115" s="18"/>
    </row>
    <row r="116" spans="1:31" ht="230.25" outlineLevel="4" thickBot="1" x14ac:dyDescent="0.25">
      <c r="A116" s="43" t="s">
        <v>542</v>
      </c>
      <c r="B116" s="174" t="s">
        <v>543</v>
      </c>
      <c r="C116" s="171" t="s">
        <v>544</v>
      </c>
      <c r="D116" s="147" t="s">
        <v>545</v>
      </c>
      <c r="E116" s="48" t="s">
        <v>506</v>
      </c>
      <c r="F116" s="48" t="s">
        <v>546</v>
      </c>
      <c r="G116" s="25" t="s">
        <v>163</v>
      </c>
      <c r="H116" s="26" t="s">
        <v>164</v>
      </c>
      <c r="I116" s="42">
        <v>2</v>
      </c>
      <c r="J116" s="28" t="s">
        <v>84</v>
      </c>
      <c r="K116" s="29" t="s">
        <v>547</v>
      </c>
      <c r="L116" s="30">
        <v>1</v>
      </c>
      <c r="M116" s="45">
        <f t="shared" ref="M116:M125" si="15">I116*L116</f>
        <v>2</v>
      </c>
      <c r="N116" s="32" t="s">
        <v>39</v>
      </c>
      <c r="O116" s="60" t="s">
        <v>531</v>
      </c>
      <c r="P116" s="30">
        <v>1</v>
      </c>
      <c r="Q116" s="91">
        <f t="shared" si="9"/>
        <v>2</v>
      </c>
      <c r="R116" s="72"/>
      <c r="S116" s="72"/>
      <c r="T116" s="72"/>
      <c r="U116" s="50"/>
      <c r="V116" s="51"/>
      <c r="W116" s="52"/>
      <c r="X116" s="51"/>
      <c r="Y116" s="51"/>
      <c r="Z116" s="53"/>
      <c r="AA116" s="40"/>
      <c r="AB116" s="41"/>
      <c r="AD116" s="17">
        <f t="shared" si="8"/>
        <v>10507</v>
      </c>
      <c r="AE116" s="18"/>
    </row>
    <row r="117" spans="1:31" ht="230.25" outlineLevel="4" thickBot="1" x14ac:dyDescent="0.25">
      <c r="A117" s="43" t="s">
        <v>548</v>
      </c>
      <c r="B117" s="175"/>
      <c r="C117" s="172"/>
      <c r="D117" s="148"/>
      <c r="E117" s="48" t="s">
        <v>510</v>
      </c>
      <c r="F117" s="48" t="s">
        <v>511</v>
      </c>
      <c r="G117" s="37" t="s">
        <v>512</v>
      </c>
      <c r="H117" s="88" t="s">
        <v>107</v>
      </c>
      <c r="I117" s="69">
        <v>1</v>
      </c>
      <c r="J117" s="70" t="s">
        <v>74</v>
      </c>
      <c r="K117" s="29" t="s">
        <v>75</v>
      </c>
      <c r="L117" s="71">
        <v>1</v>
      </c>
      <c r="M117" s="89">
        <f t="shared" si="15"/>
        <v>1</v>
      </c>
      <c r="N117" s="32" t="s">
        <v>39</v>
      </c>
      <c r="O117" s="53" t="s">
        <v>76</v>
      </c>
      <c r="P117" s="71">
        <v>5</v>
      </c>
      <c r="Q117" s="91">
        <f t="shared" si="9"/>
        <v>5</v>
      </c>
      <c r="R117" s="72"/>
      <c r="S117" s="72"/>
      <c r="T117" s="72"/>
      <c r="U117" s="50"/>
      <c r="V117" s="51"/>
      <c r="W117" s="52"/>
      <c r="X117" s="51"/>
      <c r="Y117" s="51"/>
      <c r="Z117" s="53"/>
      <c r="AA117" s="40"/>
      <c r="AB117" s="41"/>
      <c r="AD117" s="17">
        <f t="shared" si="8"/>
        <v>10508</v>
      </c>
      <c r="AE117" s="18"/>
    </row>
    <row r="118" spans="1:31" ht="230.25" outlineLevel="4" thickBot="1" x14ac:dyDescent="0.25">
      <c r="A118" s="43" t="s">
        <v>549</v>
      </c>
      <c r="B118" s="174" t="s">
        <v>550</v>
      </c>
      <c r="C118" s="171" t="s">
        <v>551</v>
      </c>
      <c r="D118" s="147" t="s">
        <v>545</v>
      </c>
      <c r="E118" s="48" t="s">
        <v>516</v>
      </c>
      <c r="F118" s="48" t="s">
        <v>511</v>
      </c>
      <c r="G118" s="37" t="s">
        <v>512</v>
      </c>
      <c r="H118" s="88" t="s">
        <v>107</v>
      </c>
      <c r="I118" s="69">
        <v>1</v>
      </c>
      <c r="J118" s="70" t="s">
        <v>84</v>
      </c>
      <c r="K118" s="29" t="s">
        <v>75</v>
      </c>
      <c r="L118" s="71">
        <v>1</v>
      </c>
      <c r="M118" s="89">
        <f t="shared" si="15"/>
        <v>1</v>
      </c>
      <c r="N118" s="32" t="s">
        <v>39</v>
      </c>
      <c r="O118" s="53" t="s">
        <v>76</v>
      </c>
      <c r="P118" s="71">
        <v>5</v>
      </c>
      <c r="Q118" s="91">
        <f t="shared" si="9"/>
        <v>5</v>
      </c>
      <c r="R118" s="72"/>
      <c r="S118" s="72"/>
      <c r="T118" s="72"/>
      <c r="U118" s="50"/>
      <c r="V118" s="51"/>
      <c r="W118" s="52"/>
      <c r="X118" s="51"/>
      <c r="Y118" s="51"/>
      <c r="Z118" s="53"/>
      <c r="AA118" s="40"/>
      <c r="AB118" s="41"/>
      <c r="AD118" s="17">
        <f t="shared" si="8"/>
        <v>10509</v>
      </c>
      <c r="AE118" s="18"/>
    </row>
    <row r="119" spans="1:31" ht="230.25" outlineLevel="4" thickBot="1" x14ac:dyDescent="0.25">
      <c r="A119" s="43" t="s">
        <v>552</v>
      </c>
      <c r="B119" s="175"/>
      <c r="C119" s="172"/>
      <c r="D119" s="148"/>
      <c r="E119" s="48" t="s">
        <v>518</v>
      </c>
      <c r="F119" s="48" t="s">
        <v>519</v>
      </c>
      <c r="G119" s="37" t="s">
        <v>512</v>
      </c>
      <c r="H119" s="88" t="s">
        <v>147</v>
      </c>
      <c r="I119" s="69">
        <v>1</v>
      </c>
      <c r="J119" s="70" t="s">
        <v>74</v>
      </c>
      <c r="K119" s="29" t="s">
        <v>75</v>
      </c>
      <c r="L119" s="71">
        <v>1</v>
      </c>
      <c r="M119" s="89">
        <f t="shared" si="15"/>
        <v>1</v>
      </c>
      <c r="N119" s="32" t="s">
        <v>39</v>
      </c>
      <c r="O119" s="53" t="s">
        <v>76</v>
      </c>
      <c r="P119" s="71">
        <v>5</v>
      </c>
      <c r="Q119" s="91">
        <f t="shared" si="9"/>
        <v>5</v>
      </c>
      <c r="R119" s="72"/>
      <c r="S119" s="72"/>
      <c r="T119" s="72"/>
      <c r="U119" s="50"/>
      <c r="V119" s="51"/>
      <c r="W119" s="52"/>
      <c r="X119" s="51"/>
      <c r="Y119" s="51"/>
      <c r="Z119" s="53"/>
      <c r="AA119" s="40"/>
      <c r="AB119" s="41"/>
      <c r="AD119" s="17">
        <f t="shared" si="8"/>
        <v>10510</v>
      </c>
      <c r="AE119" s="18"/>
    </row>
    <row r="120" spans="1:31" ht="230.25" outlineLevel="4" thickBot="1" x14ac:dyDescent="0.25">
      <c r="A120" s="43" t="s">
        <v>553</v>
      </c>
      <c r="B120" s="174" t="s">
        <v>554</v>
      </c>
      <c r="C120" s="171" t="s">
        <v>555</v>
      </c>
      <c r="D120" s="147" t="s">
        <v>545</v>
      </c>
      <c r="E120" s="48" t="s">
        <v>256</v>
      </c>
      <c r="F120" s="48" t="s">
        <v>511</v>
      </c>
      <c r="G120" s="37" t="s">
        <v>512</v>
      </c>
      <c r="H120" s="88" t="s">
        <v>107</v>
      </c>
      <c r="I120" s="69">
        <v>1</v>
      </c>
      <c r="J120" s="70" t="s">
        <v>84</v>
      </c>
      <c r="K120" s="29" t="s">
        <v>75</v>
      </c>
      <c r="L120" s="71">
        <v>1</v>
      </c>
      <c r="M120" s="89">
        <f t="shared" si="15"/>
        <v>1</v>
      </c>
      <c r="N120" s="32" t="s">
        <v>39</v>
      </c>
      <c r="O120" s="53" t="s">
        <v>76</v>
      </c>
      <c r="P120" s="71">
        <v>5</v>
      </c>
      <c r="Q120" s="91">
        <f t="shared" si="9"/>
        <v>5</v>
      </c>
      <c r="R120" s="72"/>
      <c r="S120" s="72"/>
      <c r="T120" s="72"/>
      <c r="U120" s="50"/>
      <c r="V120" s="51"/>
      <c r="W120" s="52"/>
      <c r="X120" s="51"/>
      <c r="Y120" s="51"/>
      <c r="Z120" s="53"/>
      <c r="AA120" s="40"/>
      <c r="AB120" s="41"/>
      <c r="AD120" s="17">
        <f t="shared" si="8"/>
        <v>10511</v>
      </c>
      <c r="AE120" s="18"/>
    </row>
    <row r="121" spans="1:31" ht="230.25" outlineLevel="4" thickBot="1" x14ac:dyDescent="0.25">
      <c r="A121" s="43" t="s">
        <v>556</v>
      </c>
      <c r="B121" s="175"/>
      <c r="C121" s="172"/>
      <c r="D121" s="148"/>
      <c r="E121" s="48" t="s">
        <v>518</v>
      </c>
      <c r="F121" s="48" t="s">
        <v>557</v>
      </c>
      <c r="G121" s="25" t="s">
        <v>163</v>
      </c>
      <c r="H121" s="26" t="s">
        <v>164</v>
      </c>
      <c r="I121" s="27">
        <v>2</v>
      </c>
      <c r="J121" s="28" t="s">
        <v>74</v>
      </c>
      <c r="K121" s="29" t="s">
        <v>547</v>
      </c>
      <c r="L121" s="30">
        <v>1</v>
      </c>
      <c r="M121" s="31">
        <f t="shared" si="15"/>
        <v>2</v>
      </c>
      <c r="N121" s="32" t="s">
        <v>39</v>
      </c>
      <c r="O121" s="33" t="s">
        <v>129</v>
      </c>
      <c r="P121" s="71">
        <v>1</v>
      </c>
      <c r="Q121" s="91">
        <f t="shared" si="9"/>
        <v>2</v>
      </c>
      <c r="R121" s="72"/>
      <c r="S121" s="72"/>
      <c r="T121" s="72"/>
      <c r="U121" s="50"/>
      <c r="V121" s="51"/>
      <c r="W121" s="52"/>
      <c r="X121" s="51"/>
      <c r="Y121" s="51"/>
      <c r="Z121" s="53"/>
      <c r="AA121" s="40"/>
      <c r="AB121" s="41"/>
      <c r="AD121" s="17">
        <f t="shared" si="8"/>
        <v>10512</v>
      </c>
      <c r="AE121" s="18"/>
    </row>
    <row r="122" spans="1:31" ht="230.25" outlineLevel="4" thickBot="1" x14ac:dyDescent="0.25">
      <c r="A122" s="43" t="s">
        <v>558</v>
      </c>
      <c r="B122" s="150" t="s">
        <v>559</v>
      </c>
      <c r="C122" s="171" t="s">
        <v>560</v>
      </c>
      <c r="D122" s="147" t="s">
        <v>561</v>
      </c>
      <c r="E122" s="48" t="s">
        <v>198</v>
      </c>
      <c r="F122" s="48" t="s">
        <v>562</v>
      </c>
      <c r="G122" s="48" t="s">
        <v>563</v>
      </c>
      <c r="H122" s="39" t="s">
        <v>61</v>
      </c>
      <c r="I122" s="69">
        <v>2</v>
      </c>
      <c r="J122" s="70" t="s">
        <v>186</v>
      </c>
      <c r="K122" s="93" t="s">
        <v>75</v>
      </c>
      <c r="L122" s="71">
        <v>2</v>
      </c>
      <c r="M122" s="89">
        <f t="shared" si="15"/>
        <v>4</v>
      </c>
      <c r="N122" s="32" t="s">
        <v>39</v>
      </c>
      <c r="O122" s="53" t="s">
        <v>76</v>
      </c>
      <c r="P122" s="71">
        <v>5</v>
      </c>
      <c r="Q122" s="91">
        <f t="shared" si="9"/>
        <v>20</v>
      </c>
      <c r="R122" s="72"/>
      <c r="S122" s="72"/>
      <c r="T122" s="72"/>
      <c r="U122" s="50"/>
      <c r="V122" s="51"/>
      <c r="W122" s="52"/>
      <c r="X122" s="51"/>
      <c r="Y122" s="51"/>
      <c r="Z122" s="53"/>
      <c r="AA122" s="40"/>
      <c r="AB122" s="41"/>
      <c r="AD122" s="17">
        <f t="shared" si="8"/>
        <v>10513</v>
      </c>
      <c r="AE122" s="18"/>
    </row>
    <row r="123" spans="1:31" ht="255.75" outlineLevel="4" thickBot="1" x14ac:dyDescent="0.25">
      <c r="A123" s="43" t="s">
        <v>564</v>
      </c>
      <c r="B123" s="173"/>
      <c r="C123" s="179"/>
      <c r="D123" s="176"/>
      <c r="E123" s="48" t="s">
        <v>565</v>
      </c>
      <c r="F123" s="48" t="s">
        <v>566</v>
      </c>
      <c r="G123" s="37" t="s">
        <v>567</v>
      </c>
      <c r="H123" s="88" t="s">
        <v>127</v>
      </c>
      <c r="I123" s="69">
        <v>3</v>
      </c>
      <c r="J123" s="70" t="s">
        <v>192</v>
      </c>
      <c r="K123" s="93" t="s">
        <v>568</v>
      </c>
      <c r="L123" s="71">
        <v>2</v>
      </c>
      <c r="M123" s="89">
        <f t="shared" si="15"/>
        <v>6</v>
      </c>
      <c r="N123" s="32" t="s">
        <v>39</v>
      </c>
      <c r="O123" s="33" t="s">
        <v>129</v>
      </c>
      <c r="P123" s="71">
        <v>1</v>
      </c>
      <c r="Q123" s="91">
        <f t="shared" si="9"/>
        <v>6</v>
      </c>
      <c r="R123" s="72"/>
      <c r="S123" s="72"/>
      <c r="T123" s="72"/>
      <c r="U123" s="50"/>
      <c r="V123" s="51"/>
      <c r="W123" s="52"/>
      <c r="X123" s="51"/>
      <c r="Y123" s="51"/>
      <c r="Z123" s="53"/>
      <c r="AA123" s="40"/>
      <c r="AB123" s="41"/>
      <c r="AD123" s="17">
        <f t="shared" si="8"/>
        <v>10514</v>
      </c>
      <c r="AE123" s="18"/>
    </row>
    <row r="124" spans="1:31" ht="243" outlineLevel="4" thickBot="1" x14ac:dyDescent="0.25">
      <c r="A124" s="43" t="s">
        <v>569</v>
      </c>
      <c r="B124" s="151"/>
      <c r="C124" s="172"/>
      <c r="D124" s="148"/>
      <c r="E124" s="48" t="s">
        <v>570</v>
      </c>
      <c r="F124" s="48" t="s">
        <v>566</v>
      </c>
      <c r="G124" s="37" t="s">
        <v>571</v>
      </c>
      <c r="H124" s="88" t="s">
        <v>127</v>
      </c>
      <c r="I124" s="69">
        <v>3</v>
      </c>
      <c r="J124" s="70" t="s">
        <v>192</v>
      </c>
      <c r="K124" s="93" t="s">
        <v>572</v>
      </c>
      <c r="L124" s="71">
        <v>2</v>
      </c>
      <c r="M124" s="89">
        <f t="shared" si="15"/>
        <v>6</v>
      </c>
      <c r="N124" s="32" t="s">
        <v>39</v>
      </c>
      <c r="O124" s="33" t="s">
        <v>129</v>
      </c>
      <c r="P124" s="71">
        <v>1</v>
      </c>
      <c r="Q124" s="91">
        <f t="shared" si="9"/>
        <v>6</v>
      </c>
      <c r="R124" s="72"/>
      <c r="S124" s="72"/>
      <c r="T124" s="72"/>
      <c r="U124" s="50"/>
      <c r="V124" s="51"/>
      <c r="W124" s="52"/>
      <c r="X124" s="51"/>
      <c r="Y124" s="51"/>
      <c r="Z124" s="53"/>
      <c r="AA124" s="40"/>
      <c r="AB124" s="41"/>
      <c r="AD124" s="17">
        <f t="shared" si="8"/>
        <v>10515</v>
      </c>
      <c r="AE124" s="18"/>
    </row>
    <row r="125" spans="1:31" ht="230.25" outlineLevel="4" thickBot="1" x14ac:dyDescent="0.25">
      <c r="A125" s="43" t="s">
        <v>573</v>
      </c>
      <c r="B125" s="150" t="s">
        <v>559</v>
      </c>
      <c r="C125" s="171" t="s">
        <v>574</v>
      </c>
      <c r="D125" s="147" t="s">
        <v>561</v>
      </c>
      <c r="E125" s="48" t="s">
        <v>198</v>
      </c>
      <c r="F125" s="48" t="s">
        <v>575</v>
      </c>
      <c r="G125" s="48" t="s">
        <v>563</v>
      </c>
      <c r="H125" s="39" t="s">
        <v>61</v>
      </c>
      <c r="I125" s="69">
        <v>2</v>
      </c>
      <c r="J125" s="70" t="s">
        <v>186</v>
      </c>
      <c r="K125" s="93" t="s">
        <v>75</v>
      </c>
      <c r="L125" s="71">
        <v>2</v>
      </c>
      <c r="M125" s="89">
        <f t="shared" si="15"/>
        <v>4</v>
      </c>
      <c r="N125" s="32" t="s">
        <v>39</v>
      </c>
      <c r="O125" s="53" t="s">
        <v>76</v>
      </c>
      <c r="P125" s="71">
        <v>5</v>
      </c>
      <c r="Q125" s="91">
        <f t="shared" si="9"/>
        <v>20</v>
      </c>
      <c r="R125" s="32"/>
      <c r="S125" s="32"/>
      <c r="T125" s="32"/>
      <c r="U125" s="95"/>
      <c r="V125" s="62"/>
      <c r="W125" s="96"/>
      <c r="X125" s="62"/>
      <c r="Y125" s="62"/>
      <c r="Z125" s="33"/>
      <c r="AA125" s="40"/>
      <c r="AB125" s="41"/>
      <c r="AD125" s="17">
        <f t="shared" si="8"/>
        <v>-1535</v>
      </c>
      <c r="AE125" s="18"/>
    </row>
    <row r="126" spans="1:31" ht="332.25" outlineLevel="4" thickBot="1" x14ac:dyDescent="0.25">
      <c r="A126" s="43" t="s">
        <v>576</v>
      </c>
      <c r="B126" s="173"/>
      <c r="C126" s="179"/>
      <c r="D126" s="176"/>
      <c r="E126" s="48" t="s">
        <v>565</v>
      </c>
      <c r="F126" s="48" t="s">
        <v>577</v>
      </c>
      <c r="G126" s="25" t="s">
        <v>163</v>
      </c>
      <c r="H126" s="26" t="s">
        <v>164</v>
      </c>
      <c r="I126" s="27">
        <v>2</v>
      </c>
      <c r="J126" s="28" t="s">
        <v>74</v>
      </c>
      <c r="K126" s="29" t="s">
        <v>578</v>
      </c>
      <c r="L126" s="30">
        <v>2</v>
      </c>
      <c r="M126" s="31">
        <v>4</v>
      </c>
      <c r="N126" s="32" t="s">
        <v>39</v>
      </c>
      <c r="O126" s="33" t="s">
        <v>395</v>
      </c>
      <c r="P126" s="71">
        <v>1</v>
      </c>
      <c r="Q126" s="91">
        <f t="shared" si="9"/>
        <v>4</v>
      </c>
      <c r="R126" s="32"/>
      <c r="S126" s="32"/>
      <c r="T126" s="32"/>
      <c r="U126" s="95"/>
      <c r="V126" s="62"/>
      <c r="W126" s="96"/>
      <c r="X126" s="62"/>
      <c r="Y126" s="62"/>
      <c r="Z126" s="33"/>
      <c r="AA126" s="40"/>
      <c r="AB126" s="41"/>
      <c r="AD126" s="17">
        <f t="shared" si="8"/>
        <v>-1536</v>
      </c>
      <c r="AE126" s="18"/>
    </row>
    <row r="127" spans="1:31" ht="332.25" outlineLevel="4" thickBot="1" x14ac:dyDescent="0.25">
      <c r="A127" s="43" t="s">
        <v>579</v>
      </c>
      <c r="B127" s="151"/>
      <c r="C127" s="172"/>
      <c r="D127" s="148"/>
      <c r="E127" s="48" t="s">
        <v>570</v>
      </c>
      <c r="F127" s="48" t="s">
        <v>577</v>
      </c>
      <c r="G127" s="25" t="s">
        <v>163</v>
      </c>
      <c r="H127" s="26" t="s">
        <v>164</v>
      </c>
      <c r="I127" s="27">
        <v>2</v>
      </c>
      <c r="J127" s="28" t="s">
        <v>74</v>
      </c>
      <c r="K127" s="29" t="s">
        <v>578</v>
      </c>
      <c r="L127" s="30">
        <v>2</v>
      </c>
      <c r="M127" s="31">
        <v>4</v>
      </c>
      <c r="N127" s="32" t="s">
        <v>39</v>
      </c>
      <c r="O127" s="33" t="s">
        <v>395</v>
      </c>
      <c r="P127" s="71">
        <v>1</v>
      </c>
      <c r="Q127" s="91">
        <f t="shared" si="9"/>
        <v>4</v>
      </c>
      <c r="R127" s="32"/>
      <c r="S127" s="32"/>
      <c r="T127" s="32"/>
      <c r="U127" s="95"/>
      <c r="V127" s="62"/>
      <c r="W127" s="96"/>
      <c r="X127" s="62"/>
      <c r="Y127" s="62"/>
      <c r="Z127" s="33"/>
      <c r="AA127" s="40"/>
      <c r="AB127" s="41"/>
      <c r="AD127" s="17">
        <f t="shared" si="8"/>
        <v>-9795</v>
      </c>
      <c r="AE127" s="18"/>
    </row>
    <row r="128" spans="1:31" ht="370.5" outlineLevel="4" thickBot="1" x14ac:dyDescent="0.25">
      <c r="A128" s="43" t="s">
        <v>580</v>
      </c>
      <c r="B128" s="150" t="s">
        <v>581</v>
      </c>
      <c r="C128" s="171" t="s">
        <v>582</v>
      </c>
      <c r="D128" s="167" t="s">
        <v>583</v>
      </c>
      <c r="E128" s="48" t="s">
        <v>584</v>
      </c>
      <c r="F128" s="48" t="s">
        <v>585</v>
      </c>
      <c r="G128" s="48" t="s">
        <v>275</v>
      </c>
      <c r="H128" s="39" t="s">
        <v>61</v>
      </c>
      <c r="I128" s="69">
        <v>1</v>
      </c>
      <c r="J128" s="28" t="s">
        <v>47</v>
      </c>
      <c r="K128" s="93" t="s">
        <v>586</v>
      </c>
      <c r="L128" s="30">
        <v>1</v>
      </c>
      <c r="M128" s="31">
        <v>3</v>
      </c>
      <c r="N128" s="32" t="s">
        <v>39</v>
      </c>
      <c r="O128" s="33" t="s">
        <v>166</v>
      </c>
      <c r="P128" s="71">
        <v>1</v>
      </c>
      <c r="Q128" s="34">
        <f t="shared" si="9"/>
        <v>3</v>
      </c>
      <c r="R128" s="32"/>
      <c r="S128" s="32"/>
      <c r="T128" s="32"/>
      <c r="U128" s="95"/>
      <c r="V128" s="62"/>
      <c r="W128" s="96"/>
      <c r="X128" s="62"/>
      <c r="Y128" s="62"/>
      <c r="Z128" s="33"/>
      <c r="AA128" s="40"/>
      <c r="AB128" s="41"/>
      <c r="AD128" s="17">
        <f t="shared" si="8"/>
        <v>10516</v>
      </c>
      <c r="AE128" s="18"/>
    </row>
    <row r="129" spans="1:31" ht="230.25" outlineLevel="4" thickBot="1" x14ac:dyDescent="0.25">
      <c r="A129" s="43" t="s">
        <v>587</v>
      </c>
      <c r="B129" s="151"/>
      <c r="C129" s="172"/>
      <c r="D129" s="169"/>
      <c r="E129" s="48" t="s">
        <v>588</v>
      </c>
      <c r="F129" s="48" t="s">
        <v>589</v>
      </c>
      <c r="G129" s="48" t="s">
        <v>275</v>
      </c>
      <c r="H129" s="39" t="s">
        <v>61</v>
      </c>
      <c r="I129" s="69">
        <v>1</v>
      </c>
      <c r="J129" s="70" t="s">
        <v>74</v>
      </c>
      <c r="K129" s="93" t="s">
        <v>75</v>
      </c>
      <c r="L129" s="71">
        <v>1</v>
      </c>
      <c r="M129" s="89">
        <f t="shared" ref="M129:M136" si="16">I129*L129</f>
        <v>1</v>
      </c>
      <c r="N129" s="32" t="s">
        <v>39</v>
      </c>
      <c r="O129" s="53" t="s">
        <v>76</v>
      </c>
      <c r="P129" s="71">
        <v>5</v>
      </c>
      <c r="Q129" s="34">
        <f t="shared" si="9"/>
        <v>5</v>
      </c>
      <c r="R129" s="32"/>
      <c r="S129" s="32"/>
      <c r="T129" s="32"/>
      <c r="U129" s="95"/>
      <c r="V129" s="62"/>
      <c r="W129" s="96"/>
      <c r="X129" s="62"/>
      <c r="Y129" s="62"/>
      <c r="Z129" s="33"/>
      <c r="AA129" s="40"/>
      <c r="AB129" s="41"/>
      <c r="AD129" s="17">
        <f t="shared" si="8"/>
        <v>10517</v>
      </c>
      <c r="AE129" s="18"/>
    </row>
    <row r="130" spans="1:31" ht="230.25" outlineLevel="4" thickBot="1" x14ac:dyDescent="0.25">
      <c r="A130" s="43" t="s">
        <v>590</v>
      </c>
      <c r="B130" s="150" t="s">
        <v>591</v>
      </c>
      <c r="C130" s="75" t="s">
        <v>592</v>
      </c>
      <c r="D130" s="180" t="s">
        <v>593</v>
      </c>
      <c r="E130" s="48" t="s">
        <v>67</v>
      </c>
      <c r="F130" s="37" t="s">
        <v>594</v>
      </c>
      <c r="G130" s="39" t="s">
        <v>595</v>
      </c>
      <c r="H130" s="88" t="s">
        <v>107</v>
      </c>
      <c r="I130" s="69">
        <v>1</v>
      </c>
      <c r="J130" s="48" t="s">
        <v>84</v>
      </c>
      <c r="K130" s="93" t="s">
        <v>75</v>
      </c>
      <c r="L130" s="71">
        <v>1</v>
      </c>
      <c r="M130" s="89">
        <f t="shared" si="16"/>
        <v>1</v>
      </c>
      <c r="N130" s="32" t="s">
        <v>39</v>
      </c>
      <c r="O130" s="53" t="s">
        <v>76</v>
      </c>
      <c r="P130" s="71">
        <v>5</v>
      </c>
      <c r="Q130" s="91">
        <f t="shared" si="9"/>
        <v>5</v>
      </c>
      <c r="R130" s="72"/>
      <c r="S130" s="72"/>
      <c r="T130" s="72"/>
      <c r="U130" s="50"/>
      <c r="V130" s="51"/>
      <c r="W130" s="52"/>
      <c r="X130" s="51"/>
      <c r="Y130" s="51"/>
      <c r="Z130" s="53"/>
      <c r="AA130" s="40"/>
      <c r="AB130" s="41"/>
      <c r="AD130" s="17">
        <f t="shared" si="8"/>
        <v>10518</v>
      </c>
      <c r="AE130" s="18"/>
    </row>
    <row r="131" spans="1:31" ht="230.25" outlineLevel="4" thickBot="1" x14ac:dyDescent="0.25">
      <c r="A131" s="43" t="s">
        <v>596</v>
      </c>
      <c r="B131" s="151"/>
      <c r="C131" s="77"/>
      <c r="D131" s="181"/>
      <c r="E131" s="48" t="s">
        <v>71</v>
      </c>
      <c r="F131" s="37" t="s">
        <v>597</v>
      </c>
      <c r="G131" s="37" t="s">
        <v>598</v>
      </c>
      <c r="H131" s="88" t="s">
        <v>127</v>
      </c>
      <c r="I131" s="69">
        <v>3</v>
      </c>
      <c r="J131" s="48" t="s">
        <v>84</v>
      </c>
      <c r="K131" s="29" t="s">
        <v>525</v>
      </c>
      <c r="L131" s="71">
        <v>1</v>
      </c>
      <c r="M131" s="89">
        <f t="shared" si="16"/>
        <v>3</v>
      </c>
      <c r="N131" s="32" t="s">
        <v>39</v>
      </c>
      <c r="O131" s="33" t="s">
        <v>166</v>
      </c>
      <c r="P131" s="71">
        <v>1</v>
      </c>
      <c r="Q131" s="91">
        <f t="shared" si="9"/>
        <v>3</v>
      </c>
      <c r="R131" s="72"/>
      <c r="S131" s="72"/>
      <c r="T131" s="72"/>
      <c r="U131" s="50"/>
      <c r="V131" s="51"/>
      <c r="W131" s="52"/>
      <c r="X131" s="51"/>
      <c r="Y131" s="51"/>
      <c r="Z131" s="53"/>
      <c r="AA131" s="40"/>
      <c r="AB131" s="41"/>
      <c r="AD131" s="17">
        <f t="shared" si="8"/>
        <v>10519</v>
      </c>
      <c r="AE131" s="18"/>
    </row>
    <row r="132" spans="1:31" ht="230.25" outlineLevel="4" thickBot="1" x14ac:dyDescent="0.25">
      <c r="A132" s="43" t="s">
        <v>599</v>
      </c>
      <c r="B132" s="150" t="s">
        <v>600</v>
      </c>
      <c r="C132" s="171" t="s">
        <v>601</v>
      </c>
      <c r="D132" s="180" t="s">
        <v>593</v>
      </c>
      <c r="E132" s="48" t="s">
        <v>67</v>
      </c>
      <c r="F132" s="37" t="s">
        <v>594</v>
      </c>
      <c r="G132" s="39" t="s">
        <v>595</v>
      </c>
      <c r="H132" s="88" t="s">
        <v>107</v>
      </c>
      <c r="I132" s="69">
        <v>1</v>
      </c>
      <c r="J132" s="48" t="s">
        <v>84</v>
      </c>
      <c r="K132" s="93" t="s">
        <v>75</v>
      </c>
      <c r="L132" s="71">
        <v>1</v>
      </c>
      <c r="M132" s="89">
        <f t="shared" si="16"/>
        <v>1</v>
      </c>
      <c r="N132" s="32" t="s">
        <v>39</v>
      </c>
      <c r="O132" s="53" t="s">
        <v>76</v>
      </c>
      <c r="P132" s="71">
        <v>5</v>
      </c>
      <c r="Q132" s="91">
        <f t="shared" si="9"/>
        <v>5</v>
      </c>
      <c r="R132" s="72"/>
      <c r="S132" s="72"/>
      <c r="T132" s="72"/>
      <c r="U132" s="50"/>
      <c r="V132" s="51"/>
      <c r="W132" s="52"/>
      <c r="X132" s="51"/>
      <c r="Y132" s="51"/>
      <c r="Z132" s="53"/>
      <c r="AA132" s="40"/>
      <c r="AB132" s="41"/>
      <c r="AD132" s="17">
        <f t="shared" si="8"/>
        <v>10520</v>
      </c>
      <c r="AE132" s="18"/>
    </row>
    <row r="133" spans="1:31" ht="230.25" outlineLevel="4" thickBot="1" x14ac:dyDescent="0.25">
      <c r="A133" s="43" t="s">
        <v>602</v>
      </c>
      <c r="B133" s="151"/>
      <c r="C133" s="172"/>
      <c r="D133" s="181"/>
      <c r="E133" s="48" t="s">
        <v>71</v>
      </c>
      <c r="F133" s="37" t="s">
        <v>603</v>
      </c>
      <c r="G133" s="37" t="s">
        <v>598</v>
      </c>
      <c r="H133" s="88" t="s">
        <v>127</v>
      </c>
      <c r="I133" s="69">
        <v>3</v>
      </c>
      <c r="J133" s="48" t="s">
        <v>604</v>
      </c>
      <c r="K133" s="29" t="s">
        <v>525</v>
      </c>
      <c r="L133" s="71">
        <v>1</v>
      </c>
      <c r="M133" s="89">
        <f t="shared" si="16"/>
        <v>3</v>
      </c>
      <c r="N133" s="32" t="s">
        <v>39</v>
      </c>
      <c r="O133" s="33" t="s">
        <v>166</v>
      </c>
      <c r="P133" s="71">
        <v>1</v>
      </c>
      <c r="Q133" s="91">
        <f t="shared" si="9"/>
        <v>3</v>
      </c>
      <c r="R133" s="72"/>
      <c r="S133" s="72"/>
      <c r="T133" s="72"/>
      <c r="U133" s="50"/>
      <c r="V133" s="51"/>
      <c r="W133" s="52"/>
      <c r="X133" s="51"/>
      <c r="Y133" s="51"/>
      <c r="Z133" s="53"/>
      <c r="AA133" s="40"/>
      <c r="AB133" s="41"/>
      <c r="AD133" s="17">
        <f t="shared" ref="AD133:AD196" si="17">VALUE(RIGHT((IF(A133="",0,A133)),5))</f>
        <v>10521</v>
      </c>
      <c r="AE133" s="18"/>
    </row>
    <row r="134" spans="1:31" ht="230.25" outlineLevel="4" thickBot="1" x14ac:dyDescent="0.25">
      <c r="A134" s="43" t="s">
        <v>605</v>
      </c>
      <c r="B134" s="150" t="s">
        <v>606</v>
      </c>
      <c r="C134" s="171" t="s">
        <v>607</v>
      </c>
      <c r="D134" s="180" t="s">
        <v>593</v>
      </c>
      <c r="E134" s="48" t="s">
        <v>67</v>
      </c>
      <c r="F134" s="37" t="s">
        <v>594</v>
      </c>
      <c r="G134" s="39" t="s">
        <v>595</v>
      </c>
      <c r="H134" s="88" t="s">
        <v>107</v>
      </c>
      <c r="I134" s="69">
        <v>1</v>
      </c>
      <c r="J134" s="48" t="s">
        <v>84</v>
      </c>
      <c r="K134" s="93" t="s">
        <v>75</v>
      </c>
      <c r="L134" s="71">
        <v>1</v>
      </c>
      <c r="M134" s="89">
        <f t="shared" si="16"/>
        <v>1</v>
      </c>
      <c r="N134" s="32" t="s">
        <v>39</v>
      </c>
      <c r="O134" s="53" t="s">
        <v>76</v>
      </c>
      <c r="P134" s="71">
        <v>5</v>
      </c>
      <c r="Q134" s="91">
        <f t="shared" si="9"/>
        <v>5</v>
      </c>
      <c r="R134" s="72"/>
      <c r="S134" s="72"/>
      <c r="T134" s="72"/>
      <c r="U134" s="50"/>
      <c r="V134" s="51"/>
      <c r="W134" s="52"/>
      <c r="X134" s="51"/>
      <c r="Y134" s="51"/>
      <c r="Z134" s="53"/>
      <c r="AA134" s="40"/>
      <c r="AB134" s="41"/>
      <c r="AD134" s="17">
        <f t="shared" si="17"/>
        <v>-9796</v>
      </c>
      <c r="AE134" s="18">
        <f t="shared" ref="AE134:AE135" si="18">VALUE(RIGHT((IF(A134="",0,A134)),4))</f>
        <v>9796</v>
      </c>
    </row>
    <row r="135" spans="1:31" ht="332.25" outlineLevel="4" thickBot="1" x14ac:dyDescent="0.25">
      <c r="A135" s="43" t="s">
        <v>608</v>
      </c>
      <c r="B135" s="151"/>
      <c r="C135" s="172"/>
      <c r="D135" s="181"/>
      <c r="E135" s="48" t="s">
        <v>71</v>
      </c>
      <c r="F135" s="37" t="s">
        <v>609</v>
      </c>
      <c r="G135" s="37" t="s">
        <v>598</v>
      </c>
      <c r="H135" s="88" t="s">
        <v>127</v>
      </c>
      <c r="I135" s="69">
        <v>3</v>
      </c>
      <c r="J135" s="48" t="s">
        <v>84</v>
      </c>
      <c r="K135" s="29" t="s">
        <v>578</v>
      </c>
      <c r="L135" s="71">
        <v>1</v>
      </c>
      <c r="M135" s="89">
        <f t="shared" si="16"/>
        <v>3</v>
      </c>
      <c r="N135" s="32" t="s">
        <v>39</v>
      </c>
      <c r="O135" s="33" t="s">
        <v>166</v>
      </c>
      <c r="P135" s="71">
        <v>1</v>
      </c>
      <c r="Q135" s="91">
        <f t="shared" si="9"/>
        <v>3</v>
      </c>
      <c r="R135" s="72"/>
      <c r="S135" s="72"/>
      <c r="T135" s="72"/>
      <c r="U135" s="50"/>
      <c r="V135" s="51"/>
      <c r="W135" s="52"/>
      <c r="X135" s="51"/>
      <c r="Y135" s="51"/>
      <c r="Z135" s="53"/>
      <c r="AA135" s="40"/>
      <c r="AB135" s="41"/>
      <c r="AD135" s="17">
        <f t="shared" si="17"/>
        <v>-9797</v>
      </c>
      <c r="AE135" s="18">
        <f t="shared" si="18"/>
        <v>9797</v>
      </c>
    </row>
    <row r="136" spans="1:31" ht="230.25" outlineLevel="4" thickBot="1" x14ac:dyDescent="0.25">
      <c r="A136" s="43" t="s">
        <v>610</v>
      </c>
      <c r="B136" s="174" t="s">
        <v>611</v>
      </c>
      <c r="C136" s="171" t="s">
        <v>612</v>
      </c>
      <c r="D136" s="147" t="s">
        <v>613</v>
      </c>
      <c r="E136" s="48" t="s">
        <v>506</v>
      </c>
      <c r="F136" s="74" t="s">
        <v>614</v>
      </c>
      <c r="G136" s="87" t="s">
        <v>615</v>
      </c>
      <c r="H136" s="88" t="s">
        <v>127</v>
      </c>
      <c r="I136" s="69">
        <v>3</v>
      </c>
      <c r="J136" s="70" t="s">
        <v>47</v>
      </c>
      <c r="K136" s="93" t="s">
        <v>616</v>
      </c>
      <c r="L136" s="71">
        <v>1</v>
      </c>
      <c r="M136" s="89">
        <f t="shared" si="16"/>
        <v>3</v>
      </c>
      <c r="N136" s="32" t="s">
        <v>39</v>
      </c>
      <c r="O136" s="33" t="s">
        <v>143</v>
      </c>
      <c r="P136" s="71">
        <v>3</v>
      </c>
      <c r="Q136" s="91">
        <f t="shared" si="9"/>
        <v>9</v>
      </c>
      <c r="R136" s="72"/>
      <c r="S136" s="72"/>
      <c r="T136" s="72"/>
      <c r="U136" s="50"/>
      <c r="V136" s="51"/>
      <c r="W136" s="52"/>
      <c r="X136" s="51"/>
      <c r="Y136" s="51"/>
      <c r="Z136" s="53"/>
      <c r="AA136" s="40"/>
      <c r="AB136" s="41"/>
      <c r="AD136" s="17">
        <f t="shared" si="17"/>
        <v>10522</v>
      </c>
      <c r="AE136" s="18"/>
    </row>
    <row r="137" spans="1:31" ht="230.25" outlineLevel="4" thickBot="1" x14ac:dyDescent="0.25">
      <c r="A137" s="43" t="s">
        <v>617</v>
      </c>
      <c r="B137" s="175"/>
      <c r="C137" s="172"/>
      <c r="D137" s="148"/>
      <c r="E137" s="48" t="s">
        <v>510</v>
      </c>
      <c r="F137" s="48" t="s">
        <v>618</v>
      </c>
      <c r="G137" s="48" t="s">
        <v>438</v>
      </c>
      <c r="H137" s="39" t="s">
        <v>439</v>
      </c>
      <c r="I137" s="69">
        <v>1</v>
      </c>
      <c r="J137" s="70" t="s">
        <v>47</v>
      </c>
      <c r="K137" s="93" t="s">
        <v>75</v>
      </c>
      <c r="L137" s="71">
        <v>1</v>
      </c>
      <c r="M137" s="89">
        <f>I137*L137</f>
        <v>1</v>
      </c>
      <c r="N137" s="32" t="s">
        <v>39</v>
      </c>
      <c r="O137" s="53" t="s">
        <v>76</v>
      </c>
      <c r="P137" s="71">
        <v>5</v>
      </c>
      <c r="Q137" s="91">
        <f t="shared" si="9"/>
        <v>5</v>
      </c>
      <c r="R137" s="72"/>
      <c r="S137" s="72"/>
      <c r="T137" s="72"/>
      <c r="U137" s="50"/>
      <c r="V137" s="51"/>
      <c r="W137" s="52"/>
      <c r="X137" s="51"/>
      <c r="Y137" s="51"/>
      <c r="Z137" s="53"/>
      <c r="AA137" s="40"/>
      <c r="AB137" s="41"/>
      <c r="AD137" s="17">
        <f t="shared" si="17"/>
        <v>10523</v>
      </c>
      <c r="AE137" s="18"/>
    </row>
    <row r="138" spans="1:31" ht="230.25" outlineLevel="4" thickBot="1" x14ac:dyDescent="0.25">
      <c r="A138" s="43" t="s">
        <v>619</v>
      </c>
      <c r="B138" s="174" t="s">
        <v>620</v>
      </c>
      <c r="C138" s="171" t="s">
        <v>621</v>
      </c>
      <c r="D138" s="147" t="s">
        <v>613</v>
      </c>
      <c r="E138" s="48" t="s">
        <v>622</v>
      </c>
      <c r="F138" s="48" t="s">
        <v>618</v>
      </c>
      <c r="G138" s="48" t="s">
        <v>438</v>
      </c>
      <c r="H138" s="39" t="s">
        <v>439</v>
      </c>
      <c r="I138" s="69">
        <v>1</v>
      </c>
      <c r="J138" s="70" t="s">
        <v>47</v>
      </c>
      <c r="K138" s="93" t="s">
        <v>75</v>
      </c>
      <c r="L138" s="71">
        <v>1</v>
      </c>
      <c r="M138" s="89">
        <f t="shared" ref="M138" si="19">I138*L138</f>
        <v>1</v>
      </c>
      <c r="N138" s="32" t="s">
        <v>39</v>
      </c>
      <c r="O138" s="53" t="s">
        <v>76</v>
      </c>
      <c r="P138" s="71">
        <v>5</v>
      </c>
      <c r="Q138" s="91">
        <f t="shared" si="9"/>
        <v>5</v>
      </c>
      <c r="R138" s="72"/>
      <c r="S138" s="72"/>
      <c r="T138" s="72"/>
      <c r="U138" s="50"/>
      <c r="V138" s="51"/>
      <c r="W138" s="52"/>
      <c r="X138" s="51"/>
      <c r="Y138" s="51"/>
      <c r="Z138" s="53"/>
      <c r="AA138" s="40"/>
      <c r="AB138" s="41"/>
      <c r="AD138" s="17">
        <f t="shared" si="17"/>
        <v>10524</v>
      </c>
      <c r="AE138" s="18"/>
    </row>
    <row r="139" spans="1:31" ht="230.25" outlineLevel="4" thickBot="1" x14ac:dyDescent="0.25">
      <c r="A139" s="43" t="s">
        <v>623</v>
      </c>
      <c r="B139" s="175"/>
      <c r="C139" s="172"/>
      <c r="D139" s="148"/>
      <c r="E139" s="48" t="s">
        <v>518</v>
      </c>
      <c r="F139" s="48" t="s">
        <v>618</v>
      </c>
      <c r="G139" s="48" t="s">
        <v>438</v>
      </c>
      <c r="H139" s="39" t="s">
        <v>439</v>
      </c>
      <c r="I139" s="69">
        <v>1</v>
      </c>
      <c r="J139" s="70" t="s">
        <v>47</v>
      </c>
      <c r="K139" s="93" t="s">
        <v>75</v>
      </c>
      <c r="L139" s="71">
        <v>1</v>
      </c>
      <c r="M139" s="89">
        <f>I139*L139</f>
        <v>1</v>
      </c>
      <c r="N139" s="32" t="s">
        <v>39</v>
      </c>
      <c r="O139" s="53" t="s">
        <v>76</v>
      </c>
      <c r="P139" s="71">
        <v>5</v>
      </c>
      <c r="Q139" s="91">
        <f t="shared" si="9"/>
        <v>5</v>
      </c>
      <c r="R139" s="72"/>
      <c r="S139" s="72"/>
      <c r="T139" s="72"/>
      <c r="U139" s="50"/>
      <c r="V139" s="51"/>
      <c r="W139" s="52"/>
      <c r="X139" s="51"/>
      <c r="Y139" s="51"/>
      <c r="Z139" s="53"/>
      <c r="AA139" s="40"/>
      <c r="AB139" s="41"/>
      <c r="AD139" s="17">
        <f t="shared" si="17"/>
        <v>10525</v>
      </c>
      <c r="AE139" s="18"/>
    </row>
    <row r="140" spans="1:31" ht="230.25" outlineLevel="4" thickBot="1" x14ac:dyDescent="0.25">
      <c r="A140" s="43" t="s">
        <v>624</v>
      </c>
      <c r="B140" s="174" t="s">
        <v>625</v>
      </c>
      <c r="C140" s="171" t="s">
        <v>626</v>
      </c>
      <c r="D140" s="147" t="s">
        <v>613</v>
      </c>
      <c r="E140" s="48" t="s">
        <v>622</v>
      </c>
      <c r="F140" s="48" t="s">
        <v>618</v>
      </c>
      <c r="G140" s="48" t="s">
        <v>438</v>
      </c>
      <c r="H140" s="39" t="s">
        <v>439</v>
      </c>
      <c r="I140" s="69">
        <v>1</v>
      </c>
      <c r="J140" s="70" t="s">
        <v>47</v>
      </c>
      <c r="K140" s="93" t="s">
        <v>75</v>
      </c>
      <c r="L140" s="71">
        <v>1</v>
      </c>
      <c r="M140" s="89">
        <f t="shared" ref="M140" si="20">I140*L140</f>
        <v>1</v>
      </c>
      <c r="N140" s="32" t="s">
        <v>39</v>
      </c>
      <c r="O140" s="53" t="s">
        <v>76</v>
      </c>
      <c r="P140" s="71">
        <v>5</v>
      </c>
      <c r="Q140" s="91">
        <f t="shared" si="9"/>
        <v>5</v>
      </c>
      <c r="R140" s="72"/>
      <c r="S140" s="72"/>
      <c r="T140" s="72"/>
      <c r="U140" s="50"/>
      <c r="V140" s="51"/>
      <c r="W140" s="52"/>
      <c r="X140" s="51"/>
      <c r="Y140" s="51"/>
      <c r="Z140" s="53"/>
      <c r="AA140" s="40"/>
      <c r="AB140" s="41"/>
      <c r="AD140" s="17">
        <f t="shared" si="17"/>
        <v>-9804</v>
      </c>
      <c r="AE140" s="18">
        <f t="shared" ref="AE140:AE159" si="21">VALUE(RIGHT((IF(A140="",0,A140)),4))</f>
        <v>9804</v>
      </c>
    </row>
    <row r="141" spans="1:31" ht="230.25" outlineLevel="4" thickBot="1" x14ac:dyDescent="0.25">
      <c r="A141" s="43" t="s">
        <v>627</v>
      </c>
      <c r="B141" s="175"/>
      <c r="C141" s="172"/>
      <c r="D141" s="148"/>
      <c r="E141" s="48" t="s">
        <v>518</v>
      </c>
      <c r="F141" s="48" t="s">
        <v>628</v>
      </c>
      <c r="G141" s="87" t="s">
        <v>615</v>
      </c>
      <c r="H141" s="88" t="s">
        <v>127</v>
      </c>
      <c r="I141" s="69">
        <v>3</v>
      </c>
      <c r="J141" s="70" t="s">
        <v>47</v>
      </c>
      <c r="K141" s="93" t="s">
        <v>616</v>
      </c>
      <c r="L141" s="71">
        <v>1</v>
      </c>
      <c r="M141" s="89">
        <f>I141*L141</f>
        <v>3</v>
      </c>
      <c r="N141" s="32" t="s">
        <v>39</v>
      </c>
      <c r="O141" s="33" t="s">
        <v>143</v>
      </c>
      <c r="P141" s="71">
        <v>3</v>
      </c>
      <c r="Q141" s="91">
        <f t="shared" si="9"/>
        <v>9</v>
      </c>
      <c r="R141" s="72"/>
      <c r="S141" s="72"/>
      <c r="T141" s="72"/>
      <c r="U141" s="50"/>
      <c r="V141" s="51"/>
      <c r="W141" s="52"/>
      <c r="X141" s="51"/>
      <c r="Y141" s="51"/>
      <c r="Z141" s="53"/>
      <c r="AA141" s="40"/>
      <c r="AB141" s="41"/>
      <c r="AD141" s="17">
        <f t="shared" si="17"/>
        <v>-9805</v>
      </c>
      <c r="AE141" s="18">
        <f t="shared" si="21"/>
        <v>9805</v>
      </c>
    </row>
    <row r="142" spans="1:31" ht="230.25" outlineLevel="4" thickBot="1" x14ac:dyDescent="0.25">
      <c r="A142" s="43" t="s">
        <v>629</v>
      </c>
      <c r="B142" s="150" t="s">
        <v>630</v>
      </c>
      <c r="C142" s="171" t="s">
        <v>631</v>
      </c>
      <c r="D142" s="180" t="s">
        <v>593</v>
      </c>
      <c r="E142" s="48" t="s">
        <v>67</v>
      </c>
      <c r="F142" s="37" t="s">
        <v>594</v>
      </c>
      <c r="G142" s="39" t="s">
        <v>595</v>
      </c>
      <c r="H142" s="88" t="s">
        <v>107</v>
      </c>
      <c r="I142" s="69">
        <v>1</v>
      </c>
      <c r="J142" s="70" t="s">
        <v>84</v>
      </c>
      <c r="K142" s="93" t="s">
        <v>75</v>
      </c>
      <c r="L142" s="71">
        <v>1</v>
      </c>
      <c r="M142" s="89">
        <f t="shared" ref="M142:M143" si="22">I142*L142</f>
        <v>1</v>
      </c>
      <c r="N142" s="32" t="s">
        <v>39</v>
      </c>
      <c r="O142" s="53" t="s">
        <v>76</v>
      </c>
      <c r="P142" s="71">
        <v>5</v>
      </c>
      <c r="Q142" s="91">
        <f t="shared" si="9"/>
        <v>5</v>
      </c>
      <c r="R142" s="72"/>
      <c r="S142" s="72"/>
      <c r="T142" s="72"/>
      <c r="U142" s="50"/>
      <c r="V142" s="51"/>
      <c r="W142" s="52"/>
      <c r="X142" s="51"/>
      <c r="Y142" s="51"/>
      <c r="Z142" s="53"/>
      <c r="AA142" s="40"/>
      <c r="AB142" s="41"/>
      <c r="AD142" s="17">
        <f t="shared" si="17"/>
        <v>-9806</v>
      </c>
      <c r="AE142" s="18">
        <f t="shared" si="21"/>
        <v>9806</v>
      </c>
    </row>
    <row r="143" spans="1:31" ht="230.25" outlineLevel="4" thickBot="1" x14ac:dyDescent="0.25">
      <c r="A143" s="43" t="s">
        <v>632</v>
      </c>
      <c r="B143" s="151"/>
      <c r="C143" s="172"/>
      <c r="D143" s="181"/>
      <c r="E143" s="48" t="s">
        <v>71</v>
      </c>
      <c r="F143" s="37" t="s">
        <v>633</v>
      </c>
      <c r="G143" s="87" t="s">
        <v>615</v>
      </c>
      <c r="H143" s="88" t="s">
        <v>127</v>
      </c>
      <c r="I143" s="69">
        <v>3</v>
      </c>
      <c r="J143" s="70" t="s">
        <v>84</v>
      </c>
      <c r="K143" s="93" t="s">
        <v>634</v>
      </c>
      <c r="L143" s="71">
        <v>1</v>
      </c>
      <c r="M143" s="89">
        <f t="shared" si="22"/>
        <v>3</v>
      </c>
      <c r="N143" s="32" t="s">
        <v>39</v>
      </c>
      <c r="O143" s="60" t="s">
        <v>143</v>
      </c>
      <c r="P143" s="71">
        <v>2</v>
      </c>
      <c r="Q143" s="91">
        <f t="shared" si="9"/>
        <v>6</v>
      </c>
      <c r="R143" s="72"/>
      <c r="S143" s="72"/>
      <c r="T143" s="72"/>
      <c r="U143" s="50"/>
      <c r="V143" s="51"/>
      <c r="W143" s="52"/>
      <c r="X143" s="51"/>
      <c r="Y143" s="51"/>
      <c r="Z143" s="53"/>
      <c r="AA143" s="40"/>
      <c r="AB143" s="41"/>
      <c r="AD143" s="17">
        <f t="shared" si="17"/>
        <v>-9807</v>
      </c>
      <c r="AE143" s="18">
        <f t="shared" si="21"/>
        <v>9807</v>
      </c>
    </row>
    <row r="144" spans="1:31" ht="230.25" outlineLevel="4" thickBot="1" x14ac:dyDescent="0.25">
      <c r="A144" s="43" t="s">
        <v>635</v>
      </c>
      <c r="B144" s="150" t="s">
        <v>636</v>
      </c>
      <c r="C144" s="171" t="s">
        <v>637</v>
      </c>
      <c r="D144" s="147" t="s">
        <v>638</v>
      </c>
      <c r="E144" s="48" t="s">
        <v>256</v>
      </c>
      <c r="F144" s="48" t="s">
        <v>355</v>
      </c>
      <c r="G144" s="48" t="s">
        <v>639</v>
      </c>
      <c r="H144" s="39" t="s">
        <v>439</v>
      </c>
      <c r="I144" s="69">
        <v>1</v>
      </c>
      <c r="J144" s="70" t="s">
        <v>84</v>
      </c>
      <c r="K144" s="93" t="s">
        <v>75</v>
      </c>
      <c r="L144" s="71">
        <v>1</v>
      </c>
      <c r="M144" s="89">
        <v>3</v>
      </c>
      <c r="N144" s="32" t="s">
        <v>39</v>
      </c>
      <c r="O144" s="53" t="s">
        <v>76</v>
      </c>
      <c r="P144" s="71">
        <v>5</v>
      </c>
      <c r="Q144" s="97">
        <f t="shared" si="9"/>
        <v>15</v>
      </c>
      <c r="R144" s="72"/>
      <c r="S144" s="72"/>
      <c r="T144" s="72"/>
      <c r="U144" s="50"/>
      <c r="V144" s="51"/>
      <c r="W144" s="52"/>
      <c r="X144" s="51"/>
      <c r="Y144" s="51"/>
      <c r="Z144" s="53"/>
      <c r="AA144" s="40"/>
      <c r="AB144" s="41"/>
      <c r="AD144" s="17">
        <f t="shared" si="17"/>
        <v>-1543</v>
      </c>
      <c r="AE144" s="18">
        <f t="shared" si="21"/>
        <v>1543</v>
      </c>
    </row>
    <row r="145" spans="1:512" ht="243" outlineLevel="4" thickBot="1" x14ac:dyDescent="0.25">
      <c r="A145" s="43" t="s">
        <v>640</v>
      </c>
      <c r="B145" s="151"/>
      <c r="C145" s="172"/>
      <c r="D145" s="148"/>
      <c r="E145" s="48" t="s">
        <v>71</v>
      </c>
      <c r="F145" s="48" t="s">
        <v>641</v>
      </c>
      <c r="G145" s="87" t="s">
        <v>598</v>
      </c>
      <c r="H145" s="88" t="s">
        <v>127</v>
      </c>
      <c r="I145" s="69">
        <v>3</v>
      </c>
      <c r="J145" s="70" t="s">
        <v>74</v>
      </c>
      <c r="K145" s="29" t="s">
        <v>642</v>
      </c>
      <c r="L145" s="71">
        <v>1</v>
      </c>
      <c r="M145" s="89">
        <v>3</v>
      </c>
      <c r="N145" s="32" t="s">
        <v>39</v>
      </c>
      <c r="O145" s="33" t="s">
        <v>166</v>
      </c>
      <c r="P145" s="71">
        <v>2</v>
      </c>
      <c r="Q145" s="97">
        <f t="shared" si="9"/>
        <v>6</v>
      </c>
      <c r="R145" s="72"/>
      <c r="S145" s="72"/>
      <c r="T145" s="72"/>
      <c r="U145" s="50"/>
      <c r="V145" s="51"/>
      <c r="W145" s="52"/>
      <c r="X145" s="51"/>
      <c r="Y145" s="51"/>
      <c r="Z145" s="53"/>
      <c r="AA145" s="40"/>
      <c r="AB145" s="41"/>
      <c r="AD145" s="17">
        <f t="shared" si="17"/>
        <v>-1544</v>
      </c>
      <c r="AE145" s="18">
        <f t="shared" si="21"/>
        <v>1544</v>
      </c>
    </row>
    <row r="146" spans="1:512" ht="230.25" outlineLevel="4" thickBot="1" x14ac:dyDescent="0.25">
      <c r="A146" s="43" t="s">
        <v>643</v>
      </c>
      <c r="B146" s="150" t="s">
        <v>644</v>
      </c>
      <c r="C146" s="75" t="s">
        <v>645</v>
      </c>
      <c r="D146" s="147" t="s">
        <v>646</v>
      </c>
      <c r="E146" s="48" t="s">
        <v>67</v>
      </c>
      <c r="F146" s="48" t="s">
        <v>647</v>
      </c>
      <c r="G146" s="48" t="s">
        <v>648</v>
      </c>
      <c r="H146" s="39" t="s">
        <v>439</v>
      </c>
      <c r="I146" s="69">
        <v>2</v>
      </c>
      <c r="J146" s="70" t="s">
        <v>84</v>
      </c>
      <c r="K146" s="93" t="s">
        <v>75</v>
      </c>
      <c r="L146" s="71">
        <v>1</v>
      </c>
      <c r="M146" s="89">
        <v>3</v>
      </c>
      <c r="N146" s="32" t="s">
        <v>39</v>
      </c>
      <c r="O146" s="53" t="s">
        <v>76</v>
      </c>
      <c r="P146" s="71">
        <v>5</v>
      </c>
      <c r="Q146" s="97">
        <f t="shared" si="9"/>
        <v>15</v>
      </c>
      <c r="R146" s="72"/>
      <c r="S146" s="72"/>
      <c r="T146" s="72"/>
      <c r="U146" s="50"/>
      <c r="V146" s="51"/>
      <c r="W146" s="52"/>
      <c r="X146" s="51"/>
      <c r="Y146" s="51"/>
      <c r="Z146" s="53"/>
      <c r="AA146" s="40"/>
      <c r="AB146" s="41"/>
      <c r="AD146" s="17">
        <f t="shared" si="17"/>
        <v>-1545</v>
      </c>
      <c r="AE146" s="18">
        <f t="shared" si="21"/>
        <v>1545</v>
      </c>
    </row>
    <row r="147" spans="1:512" ht="243" outlineLevel="4" thickBot="1" x14ac:dyDescent="0.25">
      <c r="A147" s="43" t="s">
        <v>649</v>
      </c>
      <c r="B147" s="151"/>
      <c r="C147" s="77"/>
      <c r="D147" s="148"/>
      <c r="E147" s="48" t="s">
        <v>71</v>
      </c>
      <c r="F147" s="48" t="s">
        <v>650</v>
      </c>
      <c r="G147" s="87" t="s">
        <v>598</v>
      </c>
      <c r="H147" s="88" t="s">
        <v>127</v>
      </c>
      <c r="I147" s="69">
        <v>3</v>
      </c>
      <c r="J147" s="70" t="s">
        <v>74</v>
      </c>
      <c r="K147" s="29" t="s">
        <v>642</v>
      </c>
      <c r="L147" s="71">
        <v>1</v>
      </c>
      <c r="M147" s="89">
        <v>3</v>
      </c>
      <c r="N147" s="32" t="s">
        <v>39</v>
      </c>
      <c r="O147" s="33" t="s">
        <v>166</v>
      </c>
      <c r="P147" s="71">
        <v>2</v>
      </c>
      <c r="Q147" s="97">
        <f t="shared" si="9"/>
        <v>6</v>
      </c>
      <c r="R147" s="72"/>
      <c r="S147" s="72"/>
      <c r="T147" s="72"/>
      <c r="U147" s="50"/>
      <c r="V147" s="51"/>
      <c r="W147" s="52"/>
      <c r="X147" s="51"/>
      <c r="Y147" s="51"/>
      <c r="Z147" s="53"/>
      <c r="AA147" s="40"/>
      <c r="AB147" s="41"/>
      <c r="AD147" s="17">
        <f t="shared" si="17"/>
        <v>-1546</v>
      </c>
      <c r="AE147" s="18">
        <f t="shared" si="21"/>
        <v>1546</v>
      </c>
    </row>
    <row r="148" spans="1:512" ht="230.25" outlineLevel="4" thickBot="1" x14ac:dyDescent="0.25">
      <c r="A148" s="43" t="s">
        <v>651</v>
      </c>
      <c r="B148" s="150" t="s">
        <v>652</v>
      </c>
      <c r="C148" s="75" t="s">
        <v>653</v>
      </c>
      <c r="D148" s="147" t="s">
        <v>638</v>
      </c>
      <c r="E148" s="48" t="s">
        <v>256</v>
      </c>
      <c r="F148" s="48" t="s">
        <v>355</v>
      </c>
      <c r="G148" s="48" t="s">
        <v>639</v>
      </c>
      <c r="H148" s="39" t="s">
        <v>439</v>
      </c>
      <c r="I148" s="69">
        <v>1</v>
      </c>
      <c r="J148" s="70" t="s">
        <v>84</v>
      </c>
      <c r="K148" s="93" t="s">
        <v>75</v>
      </c>
      <c r="L148" s="71">
        <v>1</v>
      </c>
      <c r="M148" s="89">
        <v>3</v>
      </c>
      <c r="N148" s="32" t="s">
        <v>39</v>
      </c>
      <c r="O148" s="53" t="s">
        <v>76</v>
      </c>
      <c r="P148" s="71">
        <v>5</v>
      </c>
      <c r="Q148" s="97">
        <f t="shared" si="9"/>
        <v>15</v>
      </c>
      <c r="R148" s="72"/>
      <c r="S148" s="72"/>
      <c r="T148" s="72"/>
      <c r="U148" s="50"/>
      <c r="V148" s="51"/>
      <c r="W148" s="52"/>
      <c r="X148" s="51"/>
      <c r="Y148" s="51"/>
      <c r="Z148" s="53"/>
      <c r="AA148" s="40"/>
      <c r="AB148" s="41"/>
      <c r="AD148" s="17">
        <f t="shared" si="17"/>
        <v>-1547</v>
      </c>
      <c r="AE148" s="18">
        <f t="shared" si="21"/>
        <v>1547</v>
      </c>
    </row>
    <row r="149" spans="1:512" ht="243" outlineLevel="4" thickBot="1" x14ac:dyDescent="0.25">
      <c r="A149" s="43" t="s">
        <v>654</v>
      </c>
      <c r="B149" s="151"/>
      <c r="C149" s="77"/>
      <c r="D149" s="148"/>
      <c r="E149" s="48" t="s">
        <v>71</v>
      </c>
      <c r="F149" s="48" t="s">
        <v>655</v>
      </c>
      <c r="G149" s="87" t="s">
        <v>598</v>
      </c>
      <c r="H149" s="88" t="s">
        <v>127</v>
      </c>
      <c r="I149" s="69">
        <v>3</v>
      </c>
      <c r="J149" s="70" t="s">
        <v>74</v>
      </c>
      <c r="K149" s="29" t="s">
        <v>642</v>
      </c>
      <c r="L149" s="71">
        <v>1</v>
      </c>
      <c r="M149" s="89">
        <v>3</v>
      </c>
      <c r="N149" s="32" t="s">
        <v>39</v>
      </c>
      <c r="O149" s="33" t="s">
        <v>166</v>
      </c>
      <c r="P149" s="71">
        <v>2</v>
      </c>
      <c r="Q149" s="97">
        <f t="shared" si="9"/>
        <v>6</v>
      </c>
      <c r="R149" s="72"/>
      <c r="S149" s="72"/>
      <c r="T149" s="72"/>
      <c r="U149" s="50"/>
      <c r="V149" s="51"/>
      <c r="W149" s="52"/>
      <c r="X149" s="51"/>
      <c r="Y149" s="51"/>
      <c r="Z149" s="53"/>
      <c r="AA149" s="40"/>
      <c r="AB149" s="41"/>
      <c r="AD149" s="17">
        <f t="shared" si="17"/>
        <v>-1548</v>
      </c>
      <c r="AE149" s="18">
        <f t="shared" si="21"/>
        <v>1548</v>
      </c>
    </row>
    <row r="150" spans="1:512" ht="230.25" outlineLevel="4" thickBot="1" x14ac:dyDescent="0.25">
      <c r="A150" s="43" t="s">
        <v>656</v>
      </c>
      <c r="B150" s="150" t="s">
        <v>657</v>
      </c>
      <c r="C150" s="171" t="s">
        <v>658</v>
      </c>
      <c r="D150" s="147" t="s">
        <v>646</v>
      </c>
      <c r="E150" s="48" t="s">
        <v>67</v>
      </c>
      <c r="F150" s="48" t="s">
        <v>647</v>
      </c>
      <c r="G150" s="48" t="s">
        <v>648</v>
      </c>
      <c r="H150" s="39" t="s">
        <v>439</v>
      </c>
      <c r="I150" s="69">
        <v>2</v>
      </c>
      <c r="J150" s="70" t="s">
        <v>84</v>
      </c>
      <c r="K150" s="93" t="s">
        <v>75</v>
      </c>
      <c r="L150" s="71">
        <v>1</v>
      </c>
      <c r="M150" s="89">
        <v>3</v>
      </c>
      <c r="N150" s="32" t="s">
        <v>39</v>
      </c>
      <c r="O150" s="53" t="s">
        <v>76</v>
      </c>
      <c r="P150" s="71">
        <v>5</v>
      </c>
      <c r="Q150" s="97">
        <f t="shared" si="9"/>
        <v>15</v>
      </c>
      <c r="R150" s="72"/>
      <c r="S150" s="72"/>
      <c r="T150" s="72"/>
      <c r="U150" s="50"/>
      <c r="V150" s="51"/>
      <c r="W150" s="52"/>
      <c r="X150" s="51"/>
      <c r="Y150" s="51"/>
      <c r="Z150" s="53"/>
      <c r="AA150" s="40"/>
      <c r="AB150" s="41"/>
      <c r="AD150" s="17">
        <f t="shared" si="17"/>
        <v>6000</v>
      </c>
      <c r="AE150" s="18">
        <f t="shared" si="21"/>
        <v>6000</v>
      </c>
    </row>
    <row r="151" spans="1:512" ht="243" outlineLevel="4" thickBot="1" x14ac:dyDescent="0.25">
      <c r="A151" s="43" t="s">
        <v>659</v>
      </c>
      <c r="B151" s="151"/>
      <c r="C151" s="172"/>
      <c r="D151" s="148"/>
      <c r="E151" s="48" t="s">
        <v>71</v>
      </c>
      <c r="F151" s="48" t="s">
        <v>660</v>
      </c>
      <c r="G151" s="87" t="s">
        <v>598</v>
      </c>
      <c r="H151" s="88" t="s">
        <v>127</v>
      </c>
      <c r="I151" s="69">
        <v>3</v>
      </c>
      <c r="J151" s="70" t="s">
        <v>74</v>
      </c>
      <c r="K151" s="29" t="s">
        <v>642</v>
      </c>
      <c r="L151" s="71">
        <v>1</v>
      </c>
      <c r="M151" s="89">
        <v>3</v>
      </c>
      <c r="N151" s="32" t="s">
        <v>39</v>
      </c>
      <c r="O151" s="33" t="s">
        <v>166</v>
      </c>
      <c r="P151" s="71">
        <v>2</v>
      </c>
      <c r="Q151" s="97">
        <f t="shared" si="9"/>
        <v>6</v>
      </c>
      <c r="R151" s="72"/>
      <c r="S151" s="72"/>
      <c r="T151" s="72"/>
      <c r="U151" s="50"/>
      <c r="V151" s="51"/>
      <c r="W151" s="52"/>
      <c r="X151" s="51"/>
      <c r="Y151" s="51"/>
      <c r="Z151" s="53"/>
      <c r="AA151" s="40"/>
      <c r="AB151" s="41"/>
      <c r="AD151" s="17">
        <f t="shared" si="17"/>
        <v>6001</v>
      </c>
      <c r="AE151" s="18">
        <f t="shared" si="21"/>
        <v>6001</v>
      </c>
    </row>
    <row r="152" spans="1:512" ht="230.25" outlineLevel="4" thickBot="1" x14ac:dyDescent="0.25">
      <c r="A152" s="43" t="s">
        <v>661</v>
      </c>
      <c r="B152" s="150" t="s">
        <v>662</v>
      </c>
      <c r="C152" s="171" t="s">
        <v>663</v>
      </c>
      <c r="D152" s="147" t="s">
        <v>664</v>
      </c>
      <c r="E152" s="48" t="s">
        <v>256</v>
      </c>
      <c r="F152" s="48" t="s">
        <v>355</v>
      </c>
      <c r="G152" s="48" t="s">
        <v>438</v>
      </c>
      <c r="H152" s="39" t="s">
        <v>439</v>
      </c>
      <c r="I152" s="69">
        <v>1</v>
      </c>
      <c r="J152" s="70" t="s">
        <v>84</v>
      </c>
      <c r="K152" s="93" t="s">
        <v>75</v>
      </c>
      <c r="L152" s="71">
        <v>1</v>
      </c>
      <c r="M152" s="89">
        <v>3</v>
      </c>
      <c r="N152" s="32" t="s">
        <v>39</v>
      </c>
      <c r="O152" s="53" t="s">
        <v>76</v>
      </c>
      <c r="P152" s="71">
        <v>5</v>
      </c>
      <c r="Q152" s="97">
        <f t="shared" si="9"/>
        <v>15</v>
      </c>
      <c r="R152" s="72"/>
      <c r="S152" s="72"/>
      <c r="T152" s="72"/>
      <c r="U152" s="50"/>
      <c r="V152" s="51"/>
      <c r="W152" s="52"/>
      <c r="X152" s="51"/>
      <c r="Y152" s="51"/>
      <c r="Z152" s="53"/>
      <c r="AA152" s="40"/>
      <c r="AB152" s="41"/>
      <c r="AD152" s="17">
        <f t="shared" si="17"/>
        <v>-1551</v>
      </c>
      <c r="AE152" s="18">
        <f t="shared" si="21"/>
        <v>1551</v>
      </c>
    </row>
    <row r="153" spans="1:512" ht="332.25" outlineLevel="4" thickBot="1" x14ac:dyDescent="0.25">
      <c r="A153" s="43" t="s">
        <v>665</v>
      </c>
      <c r="B153" s="151"/>
      <c r="C153" s="172"/>
      <c r="D153" s="148"/>
      <c r="E153" s="48" t="s">
        <v>71</v>
      </c>
      <c r="F153" s="48" t="s">
        <v>666</v>
      </c>
      <c r="G153" s="48" t="s">
        <v>438</v>
      </c>
      <c r="H153" s="39" t="s">
        <v>439</v>
      </c>
      <c r="I153" s="69">
        <v>2</v>
      </c>
      <c r="J153" s="70" t="s">
        <v>74</v>
      </c>
      <c r="K153" s="29" t="s">
        <v>578</v>
      </c>
      <c r="L153" s="71">
        <v>1</v>
      </c>
      <c r="M153" s="89">
        <v>3</v>
      </c>
      <c r="N153" s="32" t="s">
        <v>39</v>
      </c>
      <c r="O153" s="33" t="s">
        <v>166</v>
      </c>
      <c r="P153" s="71">
        <v>2</v>
      </c>
      <c r="Q153" s="97">
        <f t="shared" si="9"/>
        <v>6</v>
      </c>
      <c r="R153" s="72"/>
      <c r="S153" s="72"/>
      <c r="T153" s="72"/>
      <c r="U153" s="50"/>
      <c r="V153" s="51"/>
      <c r="W153" s="52"/>
      <c r="X153" s="51"/>
      <c r="Y153" s="51"/>
      <c r="Z153" s="53"/>
      <c r="AA153" s="40"/>
      <c r="AB153" s="41"/>
      <c r="AD153" s="17">
        <f t="shared" si="17"/>
        <v>-1552</v>
      </c>
      <c r="AE153" s="18">
        <f t="shared" si="21"/>
        <v>1552</v>
      </c>
    </row>
    <row r="154" spans="1:512" ht="230.25" outlineLevel="4" thickBot="1" x14ac:dyDescent="0.25">
      <c r="A154" s="43" t="s">
        <v>667</v>
      </c>
      <c r="B154" s="150" t="s">
        <v>668</v>
      </c>
      <c r="C154" s="171" t="s">
        <v>669</v>
      </c>
      <c r="D154" s="147" t="s">
        <v>670</v>
      </c>
      <c r="E154" s="48" t="s">
        <v>67</v>
      </c>
      <c r="F154" s="48" t="s">
        <v>647</v>
      </c>
      <c r="G154" s="48" t="s">
        <v>648</v>
      </c>
      <c r="H154" s="39" t="s">
        <v>439</v>
      </c>
      <c r="I154" s="69">
        <v>2</v>
      </c>
      <c r="J154" s="70" t="s">
        <v>84</v>
      </c>
      <c r="K154" s="93" t="s">
        <v>75</v>
      </c>
      <c r="L154" s="71">
        <v>1</v>
      </c>
      <c r="M154" s="89">
        <v>3</v>
      </c>
      <c r="N154" s="32" t="s">
        <v>39</v>
      </c>
      <c r="O154" s="53" t="s">
        <v>76</v>
      </c>
      <c r="P154" s="71">
        <v>5</v>
      </c>
      <c r="Q154" s="97">
        <f t="shared" si="9"/>
        <v>15</v>
      </c>
      <c r="R154" s="72"/>
      <c r="S154" s="72"/>
      <c r="T154" s="72"/>
      <c r="U154" s="50"/>
      <c r="V154" s="51"/>
      <c r="W154" s="52"/>
      <c r="X154" s="51"/>
      <c r="Y154" s="51"/>
      <c r="Z154" s="53"/>
      <c r="AA154" s="40"/>
      <c r="AB154" s="41"/>
      <c r="AD154" s="17">
        <f t="shared" si="17"/>
        <v>-1553</v>
      </c>
      <c r="AE154" s="18">
        <f t="shared" si="21"/>
        <v>1553</v>
      </c>
    </row>
    <row r="155" spans="1:512" ht="332.25" outlineLevel="4" thickBot="1" x14ac:dyDescent="0.25">
      <c r="A155" s="43" t="s">
        <v>671</v>
      </c>
      <c r="B155" s="151"/>
      <c r="C155" s="172"/>
      <c r="D155" s="148"/>
      <c r="E155" s="48" t="s">
        <v>71</v>
      </c>
      <c r="F155" s="48" t="s">
        <v>666</v>
      </c>
      <c r="G155" s="48" t="s">
        <v>438</v>
      </c>
      <c r="H155" s="39" t="s">
        <v>439</v>
      </c>
      <c r="I155" s="69">
        <v>2</v>
      </c>
      <c r="J155" s="70" t="s">
        <v>74</v>
      </c>
      <c r="K155" s="29" t="s">
        <v>578</v>
      </c>
      <c r="L155" s="71">
        <v>1</v>
      </c>
      <c r="M155" s="89">
        <v>3</v>
      </c>
      <c r="N155" s="32" t="s">
        <v>39</v>
      </c>
      <c r="O155" s="33" t="s">
        <v>166</v>
      </c>
      <c r="P155" s="71">
        <v>2</v>
      </c>
      <c r="Q155" s="97">
        <f t="shared" si="9"/>
        <v>6</v>
      </c>
      <c r="R155" s="72"/>
      <c r="S155" s="72"/>
      <c r="T155" s="72"/>
      <c r="U155" s="50"/>
      <c r="V155" s="51"/>
      <c r="W155" s="52"/>
      <c r="X155" s="51"/>
      <c r="Y155" s="51"/>
      <c r="Z155" s="53"/>
      <c r="AA155" s="40"/>
      <c r="AB155" s="41"/>
      <c r="AD155" s="17">
        <f t="shared" si="17"/>
        <v>-1554</v>
      </c>
      <c r="AE155" s="18">
        <f t="shared" si="21"/>
        <v>1554</v>
      </c>
    </row>
    <row r="156" spans="1:512" ht="230.25" outlineLevel="4" thickBot="1" x14ac:dyDescent="0.25">
      <c r="A156" s="43" t="s">
        <v>672</v>
      </c>
      <c r="B156" s="150" t="s">
        <v>673</v>
      </c>
      <c r="C156" s="171" t="s">
        <v>674</v>
      </c>
      <c r="D156" s="147" t="s">
        <v>664</v>
      </c>
      <c r="E156" s="48" t="s">
        <v>256</v>
      </c>
      <c r="F156" s="48" t="s">
        <v>355</v>
      </c>
      <c r="G156" s="48" t="s">
        <v>438</v>
      </c>
      <c r="H156" s="39" t="s">
        <v>439</v>
      </c>
      <c r="I156" s="69">
        <v>1</v>
      </c>
      <c r="J156" s="70" t="s">
        <v>84</v>
      </c>
      <c r="K156" s="93" t="s">
        <v>75</v>
      </c>
      <c r="L156" s="71">
        <v>1</v>
      </c>
      <c r="M156" s="89">
        <v>3</v>
      </c>
      <c r="N156" s="32" t="s">
        <v>39</v>
      </c>
      <c r="O156" s="53" t="s">
        <v>76</v>
      </c>
      <c r="P156" s="71">
        <v>5</v>
      </c>
      <c r="Q156" s="97">
        <f t="shared" si="9"/>
        <v>15</v>
      </c>
      <c r="R156" s="72"/>
      <c r="S156" s="72"/>
      <c r="T156" s="72"/>
      <c r="U156" s="50"/>
      <c r="V156" s="51"/>
      <c r="W156" s="52"/>
      <c r="X156" s="51"/>
      <c r="Y156" s="51"/>
      <c r="Z156" s="53"/>
      <c r="AA156" s="40"/>
      <c r="AB156" s="41"/>
      <c r="AD156" s="17">
        <f t="shared" si="17"/>
        <v>-1555</v>
      </c>
      <c r="AE156" s="18">
        <f t="shared" si="21"/>
        <v>1555</v>
      </c>
      <c r="LZ156" s="98"/>
      <c r="MA156" s="98"/>
      <c r="MB156" s="98"/>
      <c r="MC156" s="98"/>
      <c r="MD156" s="98"/>
      <c r="ME156" s="98"/>
      <c r="MF156" s="98"/>
      <c r="MG156" s="98"/>
      <c r="MH156" s="98"/>
      <c r="MI156" s="98"/>
      <c r="MJ156" s="98"/>
      <c r="MK156" s="98"/>
      <c r="ML156" s="98"/>
      <c r="MM156" s="98"/>
      <c r="MN156" s="98"/>
      <c r="MO156" s="98"/>
      <c r="MP156" s="98"/>
      <c r="MQ156" s="98"/>
      <c r="MR156" s="98"/>
      <c r="MS156" s="98"/>
      <c r="MT156" s="98"/>
      <c r="MU156" s="98"/>
      <c r="MV156" s="98"/>
      <c r="MW156" s="98"/>
      <c r="MX156" s="98"/>
      <c r="MY156" s="98"/>
      <c r="MZ156" s="98"/>
      <c r="NA156" s="98"/>
      <c r="NB156" s="98"/>
      <c r="NC156" s="98"/>
      <c r="ND156" s="98"/>
      <c r="NE156" s="98"/>
      <c r="NF156" s="98"/>
      <c r="NG156" s="98"/>
      <c r="NH156" s="98"/>
      <c r="NI156" s="98"/>
      <c r="NJ156" s="98"/>
      <c r="NK156" s="98"/>
      <c r="NL156" s="98"/>
      <c r="NM156" s="98"/>
      <c r="NN156" s="98"/>
      <c r="NO156" s="98"/>
      <c r="NP156" s="98"/>
      <c r="NQ156" s="98"/>
      <c r="NR156" s="98"/>
      <c r="NS156" s="98"/>
      <c r="NT156" s="98"/>
      <c r="NU156" s="98"/>
      <c r="NV156" s="98"/>
      <c r="NW156" s="98"/>
      <c r="NX156" s="98"/>
      <c r="NY156" s="98"/>
      <c r="NZ156" s="98"/>
      <c r="OA156" s="98"/>
      <c r="OB156" s="98"/>
      <c r="OC156" s="98"/>
      <c r="OD156" s="98"/>
      <c r="OE156" s="98"/>
      <c r="OF156" s="98"/>
      <c r="OG156" s="98"/>
      <c r="OH156" s="98"/>
      <c r="OI156" s="98"/>
      <c r="OJ156" s="98"/>
      <c r="OK156" s="98"/>
      <c r="OL156" s="98"/>
      <c r="OM156" s="98"/>
      <c r="ON156" s="98"/>
      <c r="OO156" s="98"/>
      <c r="OP156" s="98"/>
      <c r="OQ156" s="98"/>
      <c r="OR156" s="98"/>
      <c r="OS156" s="98"/>
      <c r="OT156" s="98"/>
      <c r="OU156" s="98"/>
      <c r="OV156" s="98"/>
      <c r="OW156" s="98"/>
      <c r="OX156" s="98"/>
      <c r="OY156" s="98"/>
      <c r="OZ156" s="98"/>
      <c r="PA156" s="98"/>
      <c r="PB156" s="98"/>
      <c r="PC156" s="98"/>
      <c r="PD156" s="98"/>
      <c r="PE156" s="98"/>
      <c r="PF156" s="98"/>
      <c r="PG156" s="98"/>
      <c r="PH156" s="98"/>
      <c r="PI156" s="98"/>
      <c r="PJ156" s="98"/>
      <c r="PK156" s="98"/>
      <c r="PL156" s="98"/>
      <c r="PM156" s="98"/>
      <c r="PN156" s="98"/>
      <c r="PO156" s="98"/>
      <c r="PP156" s="98"/>
      <c r="PQ156" s="98"/>
      <c r="PR156" s="98"/>
      <c r="PS156" s="98"/>
      <c r="PT156" s="98"/>
      <c r="PU156" s="98"/>
      <c r="PV156" s="98"/>
      <c r="PW156" s="98"/>
      <c r="PX156" s="98"/>
      <c r="PY156" s="98"/>
      <c r="PZ156" s="98"/>
      <c r="QA156" s="98"/>
      <c r="QB156" s="98"/>
      <c r="QC156" s="98"/>
      <c r="QD156" s="98"/>
      <c r="QE156" s="98"/>
      <c r="QF156" s="98"/>
      <c r="QG156" s="98"/>
      <c r="QH156" s="98"/>
      <c r="QI156" s="98"/>
      <c r="QJ156" s="98"/>
      <c r="QK156" s="98"/>
      <c r="QL156" s="98"/>
      <c r="QM156" s="98"/>
      <c r="QN156" s="98"/>
      <c r="QO156" s="98"/>
      <c r="QP156" s="98"/>
      <c r="QQ156" s="98"/>
      <c r="QR156" s="98"/>
      <c r="QS156" s="98"/>
      <c r="QT156" s="98"/>
      <c r="QU156" s="98"/>
      <c r="QV156" s="98"/>
      <c r="QW156" s="98"/>
      <c r="QX156" s="98"/>
      <c r="QY156" s="98"/>
      <c r="QZ156" s="98"/>
      <c r="RA156" s="98"/>
      <c r="RB156" s="98"/>
      <c r="RC156" s="98"/>
      <c r="RD156" s="98"/>
      <c r="RE156" s="98"/>
      <c r="RF156" s="98"/>
      <c r="RG156" s="98"/>
      <c r="RH156" s="98"/>
      <c r="RI156" s="98"/>
      <c r="RJ156" s="98"/>
      <c r="RK156" s="98"/>
      <c r="RL156" s="98"/>
      <c r="RM156" s="98"/>
      <c r="RN156" s="98"/>
      <c r="RO156" s="98"/>
      <c r="RP156" s="98"/>
      <c r="RQ156" s="98"/>
      <c r="RR156" s="98"/>
      <c r="RS156" s="98"/>
      <c r="RT156" s="98"/>
      <c r="RU156" s="98"/>
      <c r="RV156" s="98"/>
      <c r="RW156" s="98"/>
      <c r="RX156" s="98"/>
      <c r="RY156" s="98"/>
      <c r="RZ156" s="98"/>
      <c r="SA156" s="98"/>
      <c r="SB156" s="98"/>
      <c r="SC156" s="98"/>
      <c r="SD156" s="98"/>
      <c r="SE156" s="98"/>
      <c r="SF156" s="98"/>
      <c r="SG156" s="98"/>
      <c r="SH156" s="98"/>
      <c r="SI156" s="98"/>
      <c r="SJ156" s="98"/>
      <c r="SK156" s="98"/>
      <c r="SL156" s="98"/>
      <c r="SM156" s="98"/>
      <c r="SN156" s="98"/>
      <c r="SO156" s="98"/>
      <c r="SP156" s="98"/>
      <c r="SQ156" s="98"/>
      <c r="SR156" s="98"/>
    </row>
    <row r="157" spans="1:512" ht="230.25" outlineLevel="4" thickBot="1" x14ac:dyDescent="0.25">
      <c r="A157" s="43" t="s">
        <v>675</v>
      </c>
      <c r="B157" s="151"/>
      <c r="C157" s="172"/>
      <c r="D157" s="148"/>
      <c r="E157" s="48" t="s">
        <v>71</v>
      </c>
      <c r="F157" s="48" t="s">
        <v>676</v>
      </c>
      <c r="G157" s="87" t="s">
        <v>615</v>
      </c>
      <c r="H157" s="88" t="s">
        <v>127</v>
      </c>
      <c r="I157" s="69">
        <v>3</v>
      </c>
      <c r="J157" s="70" t="s">
        <v>74</v>
      </c>
      <c r="K157" s="93" t="s">
        <v>616</v>
      </c>
      <c r="L157" s="71">
        <v>1</v>
      </c>
      <c r="M157" s="89">
        <v>3</v>
      </c>
      <c r="N157" s="32" t="s">
        <v>39</v>
      </c>
      <c r="O157" s="33" t="s">
        <v>143</v>
      </c>
      <c r="P157" s="71">
        <v>2</v>
      </c>
      <c r="Q157" s="97">
        <f t="shared" si="9"/>
        <v>6</v>
      </c>
      <c r="R157" s="72"/>
      <c r="S157" s="72"/>
      <c r="T157" s="72"/>
      <c r="U157" s="50"/>
      <c r="V157" s="51"/>
      <c r="W157" s="52"/>
      <c r="X157" s="51"/>
      <c r="Y157" s="51"/>
      <c r="Z157" s="53"/>
      <c r="AA157" s="40"/>
      <c r="AB157" s="41"/>
      <c r="AD157" s="17">
        <f t="shared" si="17"/>
        <v>-1556</v>
      </c>
      <c r="AE157" s="18">
        <f t="shared" si="21"/>
        <v>1556</v>
      </c>
      <c r="LZ157" s="98"/>
      <c r="MA157" s="98"/>
      <c r="MB157" s="98"/>
      <c r="MC157" s="98"/>
      <c r="MD157" s="98"/>
      <c r="ME157" s="98"/>
      <c r="MF157" s="98"/>
      <c r="MG157" s="98"/>
      <c r="MH157" s="98"/>
      <c r="MI157" s="98"/>
      <c r="MJ157" s="98"/>
      <c r="MK157" s="98"/>
      <c r="ML157" s="98"/>
      <c r="MM157" s="98"/>
      <c r="MN157" s="98"/>
      <c r="MO157" s="98"/>
      <c r="MP157" s="98"/>
      <c r="MQ157" s="98"/>
      <c r="MR157" s="98"/>
      <c r="MS157" s="98"/>
      <c r="MT157" s="98"/>
      <c r="MU157" s="98"/>
      <c r="MV157" s="98"/>
      <c r="MW157" s="98"/>
      <c r="MX157" s="98"/>
      <c r="MY157" s="98"/>
      <c r="MZ157" s="98"/>
      <c r="NA157" s="98"/>
      <c r="NB157" s="98"/>
      <c r="NC157" s="98"/>
      <c r="ND157" s="98"/>
      <c r="NE157" s="98"/>
      <c r="NF157" s="98"/>
      <c r="NG157" s="98"/>
      <c r="NH157" s="98"/>
      <c r="NI157" s="98"/>
      <c r="NJ157" s="98"/>
      <c r="NK157" s="98"/>
      <c r="NL157" s="98"/>
      <c r="NM157" s="98"/>
      <c r="NN157" s="98"/>
      <c r="NO157" s="98"/>
      <c r="NP157" s="98"/>
      <c r="NQ157" s="98"/>
      <c r="NR157" s="98"/>
      <c r="NS157" s="98"/>
      <c r="NT157" s="98"/>
      <c r="NU157" s="98"/>
      <c r="NV157" s="98"/>
      <c r="NW157" s="98"/>
      <c r="NX157" s="98"/>
      <c r="NY157" s="98"/>
      <c r="NZ157" s="98"/>
      <c r="OA157" s="98"/>
      <c r="OB157" s="98"/>
      <c r="OC157" s="98"/>
      <c r="OD157" s="98"/>
      <c r="OE157" s="98"/>
      <c r="OF157" s="98"/>
      <c r="OG157" s="98"/>
      <c r="OH157" s="98"/>
      <c r="OI157" s="98"/>
      <c r="OJ157" s="98"/>
      <c r="OK157" s="98"/>
      <c r="OL157" s="98"/>
      <c r="OM157" s="98"/>
      <c r="ON157" s="98"/>
      <c r="OO157" s="98"/>
      <c r="OP157" s="98"/>
      <c r="OQ157" s="98"/>
      <c r="OR157" s="98"/>
      <c r="OS157" s="98"/>
      <c r="OT157" s="98"/>
      <c r="OU157" s="98"/>
      <c r="OV157" s="98"/>
      <c r="OW157" s="98"/>
      <c r="OX157" s="98"/>
      <c r="OY157" s="98"/>
      <c r="OZ157" s="98"/>
      <c r="PA157" s="98"/>
      <c r="PB157" s="98"/>
      <c r="PC157" s="98"/>
      <c r="PD157" s="98"/>
      <c r="PE157" s="98"/>
      <c r="PF157" s="98"/>
      <c r="PG157" s="98"/>
      <c r="PH157" s="98"/>
      <c r="PI157" s="98"/>
      <c r="PJ157" s="98"/>
      <c r="PK157" s="98"/>
      <c r="PL157" s="98"/>
      <c r="PM157" s="98"/>
      <c r="PN157" s="98"/>
      <c r="PO157" s="98"/>
      <c r="PP157" s="98"/>
      <c r="PQ157" s="98"/>
      <c r="PR157" s="98"/>
      <c r="PS157" s="98"/>
      <c r="PT157" s="98"/>
      <c r="PU157" s="98"/>
      <c r="PV157" s="98"/>
      <c r="PW157" s="98"/>
      <c r="PX157" s="98"/>
      <c r="PY157" s="98"/>
      <c r="PZ157" s="98"/>
      <c r="QA157" s="98"/>
      <c r="QB157" s="98"/>
      <c r="QC157" s="98"/>
      <c r="QD157" s="98"/>
      <c r="QE157" s="98"/>
      <c r="QF157" s="98"/>
      <c r="QG157" s="98"/>
      <c r="QH157" s="98"/>
      <c r="QI157" s="98"/>
      <c r="QJ157" s="98"/>
      <c r="QK157" s="98"/>
      <c r="QL157" s="98"/>
      <c r="QM157" s="98"/>
      <c r="QN157" s="98"/>
      <c r="QO157" s="98"/>
      <c r="QP157" s="98"/>
      <c r="QQ157" s="98"/>
      <c r="QR157" s="98"/>
      <c r="QS157" s="98"/>
      <c r="QT157" s="98"/>
      <c r="QU157" s="98"/>
      <c r="QV157" s="98"/>
      <c r="QW157" s="98"/>
      <c r="QX157" s="98"/>
      <c r="QY157" s="98"/>
      <c r="QZ157" s="98"/>
      <c r="RA157" s="98"/>
      <c r="RB157" s="98"/>
      <c r="RC157" s="98"/>
      <c r="RD157" s="98"/>
      <c r="RE157" s="98"/>
      <c r="RF157" s="98"/>
      <c r="RG157" s="98"/>
      <c r="RH157" s="98"/>
      <c r="RI157" s="98"/>
      <c r="RJ157" s="98"/>
      <c r="RK157" s="98"/>
      <c r="RL157" s="98"/>
      <c r="RM157" s="98"/>
      <c r="RN157" s="98"/>
      <c r="RO157" s="98"/>
      <c r="RP157" s="98"/>
      <c r="RQ157" s="98"/>
      <c r="RR157" s="98"/>
      <c r="RS157" s="98"/>
      <c r="RT157" s="98"/>
      <c r="RU157" s="98"/>
      <c r="RV157" s="98"/>
      <c r="RW157" s="98"/>
      <c r="RX157" s="98"/>
      <c r="RY157" s="98"/>
      <c r="RZ157" s="98"/>
      <c r="SA157" s="98"/>
      <c r="SB157" s="98"/>
      <c r="SC157" s="98"/>
      <c r="SD157" s="98"/>
      <c r="SE157" s="98"/>
      <c r="SF157" s="98"/>
      <c r="SG157" s="98"/>
      <c r="SH157" s="98"/>
      <c r="SI157" s="98"/>
      <c r="SJ157" s="98"/>
      <c r="SK157" s="98"/>
      <c r="SL157" s="98"/>
      <c r="SM157" s="98"/>
      <c r="SN157" s="98"/>
      <c r="SO157" s="98"/>
      <c r="SP157" s="98"/>
      <c r="SQ157" s="98"/>
      <c r="SR157" s="98"/>
    </row>
    <row r="158" spans="1:512" ht="230.25" outlineLevel="4" thickBot="1" x14ac:dyDescent="0.25">
      <c r="A158" s="43" t="s">
        <v>677</v>
      </c>
      <c r="B158" s="150" t="s">
        <v>678</v>
      </c>
      <c r="C158" s="171" t="s">
        <v>679</v>
      </c>
      <c r="D158" s="147" t="s">
        <v>670</v>
      </c>
      <c r="E158" s="48" t="s">
        <v>67</v>
      </c>
      <c r="F158" s="48" t="s">
        <v>647</v>
      </c>
      <c r="G158" s="48" t="s">
        <v>648</v>
      </c>
      <c r="H158" s="39" t="s">
        <v>439</v>
      </c>
      <c r="I158" s="69">
        <v>2</v>
      </c>
      <c r="J158" s="70" t="s">
        <v>84</v>
      </c>
      <c r="K158" s="93" t="s">
        <v>75</v>
      </c>
      <c r="L158" s="71">
        <v>1</v>
      </c>
      <c r="M158" s="89">
        <v>3</v>
      </c>
      <c r="N158" s="32" t="s">
        <v>39</v>
      </c>
      <c r="O158" s="53" t="s">
        <v>76</v>
      </c>
      <c r="P158" s="71">
        <v>5</v>
      </c>
      <c r="Q158" s="97">
        <f t="shared" si="9"/>
        <v>15</v>
      </c>
      <c r="R158" s="72"/>
      <c r="S158" s="72"/>
      <c r="T158" s="72"/>
      <c r="U158" s="50"/>
      <c r="V158" s="51"/>
      <c r="W158" s="52"/>
      <c r="X158" s="51"/>
      <c r="Y158" s="51"/>
      <c r="Z158" s="53"/>
      <c r="AA158" s="40"/>
      <c r="AB158" s="41"/>
      <c r="AD158" s="17">
        <f t="shared" si="17"/>
        <v>-1557</v>
      </c>
      <c r="AE158" s="18">
        <f t="shared" si="21"/>
        <v>1557</v>
      </c>
      <c r="LZ158" s="98"/>
      <c r="MA158" s="98"/>
      <c r="MB158" s="98"/>
      <c r="MC158" s="98"/>
      <c r="MD158" s="98"/>
      <c r="ME158" s="98"/>
      <c r="MF158" s="98"/>
      <c r="MG158" s="98"/>
      <c r="MH158" s="98"/>
      <c r="MI158" s="98"/>
      <c r="MJ158" s="98"/>
      <c r="MK158" s="98"/>
      <c r="ML158" s="98"/>
      <c r="MM158" s="98"/>
      <c r="MN158" s="98"/>
      <c r="MO158" s="98"/>
      <c r="MP158" s="98"/>
      <c r="MQ158" s="98"/>
      <c r="MR158" s="98"/>
      <c r="MS158" s="98"/>
      <c r="MT158" s="98"/>
      <c r="MU158" s="98"/>
      <c r="MV158" s="98"/>
      <c r="MW158" s="98"/>
      <c r="MX158" s="98"/>
      <c r="MY158" s="98"/>
      <c r="MZ158" s="98"/>
      <c r="NA158" s="98"/>
      <c r="NB158" s="98"/>
      <c r="NC158" s="98"/>
      <c r="ND158" s="98"/>
      <c r="NE158" s="98"/>
      <c r="NF158" s="98"/>
      <c r="NG158" s="98"/>
      <c r="NH158" s="98"/>
      <c r="NI158" s="98"/>
      <c r="NJ158" s="98"/>
      <c r="NK158" s="98"/>
      <c r="NL158" s="98"/>
      <c r="NM158" s="98"/>
      <c r="NN158" s="98"/>
      <c r="NO158" s="98"/>
      <c r="NP158" s="98"/>
      <c r="NQ158" s="98"/>
      <c r="NR158" s="98"/>
      <c r="NS158" s="98"/>
      <c r="NT158" s="98"/>
      <c r="NU158" s="98"/>
      <c r="NV158" s="98"/>
      <c r="NW158" s="98"/>
      <c r="NX158" s="98"/>
      <c r="NY158" s="98"/>
      <c r="NZ158" s="98"/>
      <c r="OA158" s="98"/>
      <c r="OB158" s="98"/>
      <c r="OC158" s="98"/>
      <c r="OD158" s="98"/>
      <c r="OE158" s="98"/>
      <c r="OF158" s="98"/>
      <c r="OG158" s="98"/>
      <c r="OH158" s="98"/>
      <c r="OI158" s="98"/>
      <c r="OJ158" s="98"/>
      <c r="OK158" s="98"/>
      <c r="OL158" s="98"/>
      <c r="OM158" s="98"/>
      <c r="ON158" s="98"/>
      <c r="OO158" s="98"/>
      <c r="OP158" s="98"/>
      <c r="OQ158" s="98"/>
      <c r="OR158" s="98"/>
      <c r="OS158" s="98"/>
      <c r="OT158" s="98"/>
      <c r="OU158" s="98"/>
      <c r="OV158" s="98"/>
      <c r="OW158" s="98"/>
      <c r="OX158" s="98"/>
      <c r="OY158" s="98"/>
      <c r="OZ158" s="98"/>
      <c r="PA158" s="98"/>
      <c r="PB158" s="98"/>
      <c r="PC158" s="98"/>
      <c r="PD158" s="98"/>
      <c r="PE158" s="98"/>
      <c r="PF158" s="98"/>
      <c r="PG158" s="98"/>
      <c r="PH158" s="98"/>
      <c r="PI158" s="98"/>
      <c r="PJ158" s="98"/>
      <c r="PK158" s="98"/>
      <c r="PL158" s="98"/>
      <c r="PM158" s="98"/>
      <c r="PN158" s="98"/>
      <c r="PO158" s="98"/>
      <c r="PP158" s="98"/>
      <c r="PQ158" s="98"/>
      <c r="PR158" s="98"/>
      <c r="PS158" s="98"/>
      <c r="PT158" s="98"/>
      <c r="PU158" s="98"/>
      <c r="PV158" s="98"/>
      <c r="PW158" s="98"/>
      <c r="PX158" s="98"/>
      <c r="PY158" s="98"/>
      <c r="PZ158" s="98"/>
      <c r="QA158" s="98"/>
      <c r="QB158" s="98"/>
      <c r="QC158" s="98"/>
      <c r="QD158" s="98"/>
      <c r="QE158" s="98"/>
      <c r="QF158" s="98"/>
      <c r="QG158" s="98"/>
      <c r="QH158" s="98"/>
      <c r="QI158" s="98"/>
      <c r="QJ158" s="98"/>
      <c r="QK158" s="98"/>
      <c r="QL158" s="98"/>
      <c r="QM158" s="98"/>
      <c r="QN158" s="98"/>
      <c r="QO158" s="98"/>
      <c r="QP158" s="98"/>
      <c r="QQ158" s="98"/>
      <c r="QR158" s="98"/>
      <c r="QS158" s="98"/>
      <c r="QT158" s="98"/>
      <c r="QU158" s="98"/>
      <c r="QV158" s="98"/>
      <c r="QW158" s="98"/>
      <c r="QX158" s="98"/>
      <c r="QY158" s="98"/>
      <c r="QZ158" s="98"/>
      <c r="RA158" s="98"/>
      <c r="RB158" s="98"/>
      <c r="RC158" s="98"/>
      <c r="RD158" s="98"/>
      <c r="RE158" s="98"/>
      <c r="RF158" s="98"/>
      <c r="RG158" s="98"/>
      <c r="RH158" s="98"/>
      <c r="RI158" s="98"/>
      <c r="RJ158" s="98"/>
      <c r="RK158" s="98"/>
      <c r="RL158" s="98"/>
      <c r="RM158" s="98"/>
      <c r="RN158" s="98"/>
      <c r="RO158" s="98"/>
      <c r="RP158" s="98"/>
      <c r="RQ158" s="98"/>
      <c r="RR158" s="98"/>
      <c r="RS158" s="98"/>
      <c r="RT158" s="98"/>
      <c r="RU158" s="98"/>
      <c r="RV158" s="98"/>
      <c r="RW158" s="98"/>
      <c r="RX158" s="98"/>
      <c r="RY158" s="98"/>
      <c r="RZ158" s="98"/>
      <c r="SA158" s="98"/>
      <c r="SB158" s="98"/>
      <c r="SC158" s="98"/>
      <c r="SD158" s="98"/>
      <c r="SE158" s="98"/>
      <c r="SF158" s="98"/>
      <c r="SG158" s="98"/>
      <c r="SH158" s="98"/>
      <c r="SI158" s="98"/>
      <c r="SJ158" s="98"/>
      <c r="SK158" s="98"/>
      <c r="SL158" s="98"/>
      <c r="SM158" s="98"/>
      <c r="SN158" s="98"/>
      <c r="SO158" s="98"/>
      <c r="SP158" s="98"/>
      <c r="SQ158" s="98"/>
      <c r="SR158" s="98"/>
    </row>
    <row r="159" spans="1:512" ht="230.25" outlineLevel="4" thickBot="1" x14ac:dyDescent="0.25">
      <c r="A159" s="43" t="s">
        <v>680</v>
      </c>
      <c r="B159" s="173"/>
      <c r="C159" s="179"/>
      <c r="D159" s="176"/>
      <c r="E159" s="48" t="s">
        <v>71</v>
      </c>
      <c r="F159" s="48" t="s">
        <v>676</v>
      </c>
      <c r="G159" s="87" t="s">
        <v>615</v>
      </c>
      <c r="H159" s="88" t="s">
        <v>127</v>
      </c>
      <c r="I159" s="69">
        <v>3</v>
      </c>
      <c r="J159" s="70" t="s">
        <v>74</v>
      </c>
      <c r="K159" s="93" t="s">
        <v>616</v>
      </c>
      <c r="L159" s="71">
        <v>1</v>
      </c>
      <c r="M159" s="89">
        <v>3</v>
      </c>
      <c r="N159" s="32" t="s">
        <v>39</v>
      </c>
      <c r="O159" s="33" t="s">
        <v>143</v>
      </c>
      <c r="P159" s="71">
        <v>2</v>
      </c>
      <c r="Q159" s="97">
        <f t="shared" si="9"/>
        <v>6</v>
      </c>
      <c r="R159" s="72"/>
      <c r="S159" s="72"/>
      <c r="T159" s="72"/>
      <c r="U159" s="50"/>
      <c r="V159" s="51"/>
      <c r="W159" s="52"/>
      <c r="X159" s="51"/>
      <c r="Y159" s="51"/>
      <c r="Z159" s="53"/>
      <c r="AA159" s="40"/>
      <c r="AB159" s="41"/>
      <c r="AD159" s="17">
        <f t="shared" si="17"/>
        <v>-1558</v>
      </c>
      <c r="AE159" s="18">
        <f t="shared" si="21"/>
        <v>1558</v>
      </c>
      <c r="LZ159" s="98"/>
      <c r="MA159" s="98"/>
      <c r="MB159" s="98"/>
      <c r="MC159" s="98"/>
      <c r="MD159" s="98"/>
      <c r="ME159" s="98"/>
      <c r="MF159" s="98"/>
      <c r="MG159" s="98"/>
      <c r="MH159" s="98"/>
      <c r="MI159" s="98"/>
      <c r="MJ159" s="98"/>
      <c r="MK159" s="98"/>
      <c r="ML159" s="98"/>
      <c r="MM159" s="98"/>
      <c r="MN159" s="98"/>
      <c r="MO159" s="98"/>
      <c r="MP159" s="98"/>
      <c r="MQ159" s="98"/>
      <c r="MR159" s="98"/>
      <c r="MS159" s="98"/>
      <c r="MT159" s="98"/>
      <c r="MU159" s="98"/>
      <c r="MV159" s="98"/>
      <c r="MW159" s="98"/>
      <c r="MX159" s="98"/>
      <c r="MY159" s="98"/>
      <c r="MZ159" s="98"/>
      <c r="NA159" s="98"/>
      <c r="NB159" s="98"/>
      <c r="NC159" s="98"/>
      <c r="ND159" s="98"/>
      <c r="NE159" s="98"/>
      <c r="NF159" s="98"/>
      <c r="NG159" s="98"/>
      <c r="NH159" s="98"/>
      <c r="NI159" s="98"/>
      <c r="NJ159" s="98"/>
      <c r="NK159" s="98"/>
      <c r="NL159" s="98"/>
      <c r="NM159" s="98"/>
      <c r="NN159" s="98"/>
      <c r="NO159" s="98"/>
      <c r="NP159" s="98"/>
      <c r="NQ159" s="98"/>
      <c r="NR159" s="98"/>
      <c r="NS159" s="98"/>
      <c r="NT159" s="98"/>
      <c r="NU159" s="98"/>
      <c r="NV159" s="98"/>
      <c r="NW159" s="98"/>
      <c r="NX159" s="98"/>
      <c r="NY159" s="98"/>
      <c r="NZ159" s="98"/>
      <c r="OA159" s="98"/>
      <c r="OB159" s="98"/>
      <c r="OC159" s="98"/>
      <c r="OD159" s="98"/>
      <c r="OE159" s="98"/>
      <c r="OF159" s="98"/>
      <c r="OG159" s="98"/>
      <c r="OH159" s="98"/>
      <c r="OI159" s="98"/>
      <c r="OJ159" s="98"/>
      <c r="OK159" s="98"/>
      <c r="OL159" s="98"/>
      <c r="OM159" s="98"/>
      <c r="ON159" s="98"/>
      <c r="OO159" s="98"/>
      <c r="OP159" s="98"/>
      <c r="OQ159" s="98"/>
      <c r="OR159" s="98"/>
      <c r="OS159" s="98"/>
      <c r="OT159" s="98"/>
      <c r="OU159" s="98"/>
      <c r="OV159" s="98"/>
      <c r="OW159" s="98"/>
      <c r="OX159" s="98"/>
      <c r="OY159" s="98"/>
      <c r="OZ159" s="98"/>
      <c r="PA159" s="98"/>
      <c r="PB159" s="98"/>
      <c r="PC159" s="98"/>
      <c r="PD159" s="98"/>
      <c r="PE159" s="98"/>
      <c r="PF159" s="98"/>
      <c r="PG159" s="98"/>
      <c r="PH159" s="98"/>
      <c r="PI159" s="98"/>
      <c r="PJ159" s="98"/>
      <c r="PK159" s="98"/>
      <c r="PL159" s="98"/>
      <c r="PM159" s="98"/>
      <c r="PN159" s="98"/>
      <c r="PO159" s="98"/>
      <c r="PP159" s="98"/>
      <c r="PQ159" s="98"/>
      <c r="PR159" s="98"/>
      <c r="PS159" s="98"/>
      <c r="PT159" s="98"/>
      <c r="PU159" s="98"/>
      <c r="PV159" s="98"/>
      <c r="PW159" s="98"/>
      <c r="PX159" s="98"/>
      <c r="PY159" s="98"/>
      <c r="PZ159" s="98"/>
      <c r="QA159" s="98"/>
      <c r="QB159" s="98"/>
      <c r="QC159" s="98"/>
      <c r="QD159" s="98"/>
      <c r="QE159" s="98"/>
      <c r="QF159" s="98"/>
      <c r="QG159" s="98"/>
      <c r="QH159" s="98"/>
      <c r="QI159" s="98"/>
      <c r="QJ159" s="98"/>
      <c r="QK159" s="98"/>
      <c r="QL159" s="98"/>
      <c r="QM159" s="98"/>
      <c r="QN159" s="98"/>
      <c r="QO159" s="98"/>
      <c r="QP159" s="98"/>
      <c r="QQ159" s="98"/>
      <c r="QR159" s="98"/>
      <c r="QS159" s="98"/>
      <c r="QT159" s="98"/>
      <c r="QU159" s="98"/>
      <c r="QV159" s="98"/>
      <c r="QW159" s="98"/>
      <c r="QX159" s="98"/>
      <c r="QY159" s="98"/>
      <c r="QZ159" s="98"/>
      <c r="RA159" s="98"/>
      <c r="RB159" s="98"/>
      <c r="RC159" s="98"/>
      <c r="RD159" s="98"/>
      <c r="RE159" s="98"/>
      <c r="RF159" s="98"/>
      <c r="RG159" s="98"/>
      <c r="RH159" s="98"/>
      <c r="RI159" s="98"/>
      <c r="RJ159" s="98"/>
      <c r="RK159" s="98"/>
      <c r="RL159" s="98"/>
      <c r="RM159" s="98"/>
      <c r="RN159" s="98"/>
      <c r="RO159" s="98"/>
      <c r="RP159" s="98"/>
      <c r="RQ159" s="98"/>
      <c r="RR159" s="98"/>
      <c r="RS159" s="98"/>
      <c r="RT159" s="98"/>
      <c r="RU159" s="98"/>
      <c r="RV159" s="98"/>
      <c r="RW159" s="98"/>
      <c r="RX159" s="98"/>
      <c r="RY159" s="98"/>
      <c r="RZ159" s="98"/>
      <c r="SA159" s="98"/>
      <c r="SB159" s="98"/>
      <c r="SC159" s="98"/>
      <c r="SD159" s="98"/>
      <c r="SE159" s="98"/>
      <c r="SF159" s="98"/>
      <c r="SG159" s="98"/>
      <c r="SH159" s="98"/>
      <c r="SI159" s="98"/>
      <c r="SJ159" s="98"/>
      <c r="SK159" s="98"/>
      <c r="SL159" s="98"/>
      <c r="SM159" s="98"/>
      <c r="SN159" s="98"/>
      <c r="SO159" s="98"/>
      <c r="SP159" s="98"/>
      <c r="SQ159" s="98"/>
      <c r="SR159" s="98"/>
    </row>
    <row r="160" spans="1:512" ht="230.25" outlineLevel="4" thickBot="1" x14ac:dyDescent="0.25">
      <c r="A160" s="43" t="s">
        <v>681</v>
      </c>
      <c r="B160" s="177" t="s">
        <v>682</v>
      </c>
      <c r="C160" s="138" t="s">
        <v>683</v>
      </c>
      <c r="D160" s="149" t="s">
        <v>684</v>
      </c>
      <c r="E160" s="87" t="s">
        <v>33</v>
      </c>
      <c r="F160" s="51" t="s">
        <v>685</v>
      </c>
      <c r="G160" s="66" t="s">
        <v>457</v>
      </c>
      <c r="H160" s="26" t="s">
        <v>127</v>
      </c>
      <c r="I160" s="27">
        <v>3</v>
      </c>
      <c r="J160" s="70" t="s">
        <v>463</v>
      </c>
      <c r="K160" s="29" t="s">
        <v>496</v>
      </c>
      <c r="L160" s="71">
        <v>1</v>
      </c>
      <c r="M160" s="89">
        <f>I160*L160</f>
        <v>3</v>
      </c>
      <c r="N160" s="32" t="s">
        <v>39</v>
      </c>
      <c r="O160" s="53" t="s">
        <v>686</v>
      </c>
      <c r="P160" s="90">
        <v>2</v>
      </c>
      <c r="Q160" s="97">
        <f t="shared" si="9"/>
        <v>6</v>
      </c>
      <c r="R160" s="72"/>
      <c r="S160" s="72"/>
      <c r="T160" s="72"/>
      <c r="U160" s="50"/>
      <c r="V160" s="51"/>
      <c r="W160" s="52"/>
      <c r="X160" s="51"/>
      <c r="Y160" s="51"/>
      <c r="Z160" s="53"/>
      <c r="AA160" s="40"/>
      <c r="AB160" s="41"/>
      <c r="AD160" s="17">
        <f t="shared" si="17"/>
        <v>10526</v>
      </c>
      <c r="AE160" s="18"/>
      <c r="LZ160" s="98"/>
      <c r="MA160" s="98"/>
      <c r="MB160" s="98"/>
      <c r="MC160" s="98"/>
      <c r="MD160" s="98"/>
      <c r="ME160" s="98"/>
      <c r="MF160" s="98"/>
      <c r="MG160" s="98"/>
      <c r="MH160" s="98"/>
      <c r="MI160" s="98"/>
      <c r="MJ160" s="98"/>
      <c r="MK160" s="98"/>
      <c r="ML160" s="98"/>
      <c r="MM160" s="98"/>
      <c r="MN160" s="98"/>
      <c r="MO160" s="98"/>
      <c r="MP160" s="98"/>
      <c r="MQ160" s="98"/>
      <c r="MR160" s="98"/>
      <c r="MS160" s="98"/>
      <c r="MT160" s="98"/>
      <c r="MU160" s="98"/>
      <c r="MV160" s="98"/>
      <c r="MW160" s="98"/>
      <c r="MX160" s="98"/>
      <c r="MY160" s="98"/>
      <c r="MZ160" s="98"/>
      <c r="NA160" s="98"/>
      <c r="NB160" s="98"/>
      <c r="NC160" s="98"/>
      <c r="ND160" s="98"/>
      <c r="NE160" s="98"/>
      <c r="NF160" s="98"/>
      <c r="NG160" s="98"/>
      <c r="NH160" s="98"/>
      <c r="NI160" s="98"/>
      <c r="NJ160" s="98"/>
      <c r="NK160" s="98"/>
      <c r="NL160" s="98"/>
      <c r="NM160" s="98"/>
      <c r="NN160" s="98"/>
      <c r="NO160" s="98"/>
      <c r="NP160" s="98"/>
      <c r="NQ160" s="98"/>
      <c r="NR160" s="98"/>
      <c r="NS160" s="98"/>
      <c r="NT160" s="98"/>
      <c r="NU160" s="98"/>
      <c r="NV160" s="98"/>
      <c r="NW160" s="98"/>
      <c r="NX160" s="98"/>
      <c r="NY160" s="98"/>
      <c r="NZ160" s="98"/>
      <c r="OA160" s="98"/>
      <c r="OB160" s="98"/>
      <c r="OC160" s="98"/>
      <c r="OD160" s="98"/>
      <c r="OE160" s="98"/>
      <c r="OF160" s="98"/>
      <c r="OG160" s="98"/>
      <c r="OH160" s="98"/>
      <c r="OI160" s="98"/>
      <c r="OJ160" s="98"/>
      <c r="OK160" s="98"/>
      <c r="OL160" s="98"/>
      <c r="OM160" s="98"/>
      <c r="ON160" s="98"/>
      <c r="OO160" s="98"/>
      <c r="OP160" s="98"/>
      <c r="OQ160" s="98"/>
      <c r="OR160" s="98"/>
      <c r="OS160" s="98"/>
      <c r="OT160" s="98"/>
      <c r="OU160" s="98"/>
      <c r="OV160" s="98"/>
      <c r="OW160" s="98"/>
      <c r="OX160" s="98"/>
      <c r="OY160" s="98"/>
      <c r="OZ160" s="98"/>
      <c r="PA160" s="98"/>
      <c r="PB160" s="98"/>
      <c r="PC160" s="98"/>
      <c r="PD160" s="98"/>
      <c r="PE160" s="98"/>
      <c r="PF160" s="98"/>
      <c r="PG160" s="98"/>
      <c r="PH160" s="98"/>
      <c r="PI160" s="98"/>
      <c r="PJ160" s="98"/>
      <c r="PK160" s="98"/>
      <c r="PL160" s="98"/>
      <c r="PM160" s="98"/>
      <c r="PN160" s="98"/>
      <c r="PO160" s="98"/>
      <c r="PP160" s="98"/>
      <c r="PQ160" s="98"/>
      <c r="PR160" s="98"/>
      <c r="PS160" s="98"/>
      <c r="PT160" s="98"/>
      <c r="PU160" s="98"/>
      <c r="PV160" s="98"/>
      <c r="PW160" s="98"/>
      <c r="PX160" s="98"/>
      <c r="PY160" s="98"/>
      <c r="PZ160" s="98"/>
      <c r="QA160" s="98"/>
      <c r="QB160" s="98"/>
      <c r="QC160" s="98"/>
      <c r="QD160" s="98"/>
      <c r="QE160" s="98"/>
      <c r="QF160" s="98"/>
      <c r="QG160" s="98"/>
      <c r="QH160" s="98"/>
      <c r="QI160" s="98"/>
      <c r="QJ160" s="98"/>
      <c r="QK160" s="98"/>
      <c r="QL160" s="98"/>
      <c r="QM160" s="98"/>
      <c r="QN160" s="98"/>
      <c r="QO160" s="98"/>
      <c r="QP160" s="98"/>
      <c r="QQ160" s="98"/>
      <c r="QR160" s="98"/>
      <c r="QS160" s="98"/>
      <c r="QT160" s="98"/>
      <c r="QU160" s="98"/>
      <c r="QV160" s="98"/>
      <c r="QW160" s="98"/>
      <c r="QX160" s="98"/>
      <c r="QY160" s="98"/>
      <c r="QZ160" s="98"/>
      <c r="RA160" s="98"/>
      <c r="RB160" s="98"/>
      <c r="RC160" s="98"/>
      <c r="RD160" s="98"/>
      <c r="RE160" s="98"/>
      <c r="RF160" s="98"/>
      <c r="RG160" s="98"/>
      <c r="RH160" s="98"/>
      <c r="RI160" s="98"/>
      <c r="RJ160" s="98"/>
      <c r="RK160" s="98"/>
      <c r="RL160" s="98"/>
      <c r="RM160" s="98"/>
      <c r="RN160" s="98"/>
      <c r="RO160" s="98"/>
      <c r="RP160" s="98"/>
      <c r="RQ160" s="98"/>
      <c r="RR160" s="98"/>
      <c r="RS160" s="98"/>
      <c r="RT160" s="98"/>
      <c r="RU160" s="98"/>
      <c r="RV160" s="98"/>
      <c r="RW160" s="98"/>
      <c r="RX160" s="98"/>
      <c r="RY160" s="98"/>
      <c r="RZ160" s="98"/>
      <c r="SA160" s="98"/>
      <c r="SB160" s="98"/>
      <c r="SC160" s="98"/>
      <c r="SD160" s="98"/>
      <c r="SE160" s="98"/>
      <c r="SF160" s="98"/>
      <c r="SG160" s="98"/>
      <c r="SH160" s="98"/>
      <c r="SI160" s="98"/>
      <c r="SJ160" s="98"/>
      <c r="SK160" s="98"/>
      <c r="SL160" s="98"/>
      <c r="SM160" s="98"/>
      <c r="SN160" s="98"/>
      <c r="SO160" s="98"/>
      <c r="SP160" s="98"/>
      <c r="SQ160" s="98"/>
      <c r="SR160" s="98"/>
    </row>
    <row r="161" spans="1:512" ht="230.25" outlineLevel="4" thickBot="1" x14ac:dyDescent="0.25">
      <c r="A161" s="43" t="s">
        <v>687</v>
      </c>
      <c r="B161" s="177"/>
      <c r="C161" s="138"/>
      <c r="D161" s="149"/>
      <c r="E161" s="87" t="s">
        <v>43</v>
      </c>
      <c r="F161" s="51" t="s">
        <v>688</v>
      </c>
      <c r="G161" s="66" t="s">
        <v>689</v>
      </c>
      <c r="H161" s="26" t="s">
        <v>690</v>
      </c>
      <c r="I161" s="27">
        <v>2</v>
      </c>
      <c r="J161" s="70" t="s">
        <v>463</v>
      </c>
      <c r="K161" s="29" t="s">
        <v>487</v>
      </c>
      <c r="L161" s="30">
        <v>1</v>
      </c>
      <c r="M161" s="89">
        <f>I161*L161</f>
        <v>2</v>
      </c>
      <c r="N161" s="32" t="s">
        <v>39</v>
      </c>
      <c r="O161" s="53" t="s">
        <v>76</v>
      </c>
      <c r="P161" s="90">
        <v>5</v>
      </c>
      <c r="Q161" s="97">
        <f t="shared" si="9"/>
        <v>10</v>
      </c>
      <c r="R161" s="72"/>
      <c r="S161" s="72"/>
      <c r="T161" s="72"/>
      <c r="U161" s="50"/>
      <c r="V161" s="51"/>
      <c r="W161" s="52"/>
      <c r="X161" s="51"/>
      <c r="Y161" s="51"/>
      <c r="Z161" s="53"/>
      <c r="AA161" s="40"/>
      <c r="AB161" s="41"/>
      <c r="AD161" s="17">
        <f t="shared" si="17"/>
        <v>10527</v>
      </c>
      <c r="AE161" s="18"/>
      <c r="LZ161" s="98"/>
      <c r="MA161" s="98"/>
      <c r="MB161" s="98"/>
      <c r="MC161" s="98"/>
      <c r="MD161" s="98"/>
      <c r="ME161" s="98"/>
      <c r="MF161" s="98"/>
      <c r="MG161" s="98"/>
      <c r="MH161" s="98"/>
      <c r="MI161" s="98"/>
      <c r="MJ161" s="98"/>
      <c r="MK161" s="98"/>
      <c r="ML161" s="98"/>
      <c r="MM161" s="98"/>
      <c r="MN161" s="98"/>
      <c r="MO161" s="98"/>
      <c r="MP161" s="98"/>
      <c r="MQ161" s="98"/>
      <c r="MR161" s="98"/>
      <c r="MS161" s="98"/>
      <c r="MT161" s="98"/>
      <c r="MU161" s="98"/>
      <c r="MV161" s="98"/>
      <c r="MW161" s="98"/>
      <c r="MX161" s="98"/>
      <c r="MY161" s="98"/>
      <c r="MZ161" s="98"/>
      <c r="NA161" s="98"/>
      <c r="NB161" s="98"/>
      <c r="NC161" s="98"/>
      <c r="ND161" s="98"/>
      <c r="NE161" s="98"/>
      <c r="NF161" s="98"/>
      <c r="NG161" s="98"/>
      <c r="NH161" s="98"/>
      <c r="NI161" s="98"/>
      <c r="NJ161" s="98"/>
      <c r="NK161" s="98"/>
      <c r="NL161" s="98"/>
      <c r="NM161" s="98"/>
      <c r="NN161" s="98"/>
      <c r="NO161" s="98"/>
      <c r="NP161" s="98"/>
      <c r="NQ161" s="98"/>
      <c r="NR161" s="98"/>
      <c r="NS161" s="98"/>
      <c r="NT161" s="98"/>
      <c r="NU161" s="98"/>
      <c r="NV161" s="98"/>
      <c r="NW161" s="98"/>
      <c r="NX161" s="98"/>
      <c r="NY161" s="98"/>
      <c r="NZ161" s="98"/>
      <c r="OA161" s="98"/>
      <c r="OB161" s="98"/>
      <c r="OC161" s="98"/>
      <c r="OD161" s="98"/>
      <c r="OE161" s="98"/>
      <c r="OF161" s="98"/>
      <c r="OG161" s="98"/>
      <c r="OH161" s="98"/>
      <c r="OI161" s="98"/>
      <c r="OJ161" s="98"/>
      <c r="OK161" s="98"/>
      <c r="OL161" s="98"/>
      <c r="OM161" s="98"/>
      <c r="ON161" s="98"/>
      <c r="OO161" s="98"/>
      <c r="OP161" s="98"/>
      <c r="OQ161" s="98"/>
      <c r="OR161" s="98"/>
      <c r="OS161" s="98"/>
      <c r="OT161" s="98"/>
      <c r="OU161" s="98"/>
      <c r="OV161" s="98"/>
      <c r="OW161" s="98"/>
      <c r="OX161" s="98"/>
      <c r="OY161" s="98"/>
      <c r="OZ161" s="98"/>
      <c r="PA161" s="98"/>
      <c r="PB161" s="98"/>
      <c r="PC161" s="98"/>
      <c r="PD161" s="98"/>
      <c r="PE161" s="98"/>
      <c r="PF161" s="98"/>
      <c r="PG161" s="98"/>
      <c r="PH161" s="98"/>
      <c r="PI161" s="98"/>
      <c r="PJ161" s="98"/>
      <c r="PK161" s="98"/>
      <c r="PL161" s="98"/>
      <c r="PM161" s="98"/>
      <c r="PN161" s="98"/>
      <c r="PO161" s="98"/>
      <c r="PP161" s="98"/>
      <c r="PQ161" s="98"/>
      <c r="PR161" s="98"/>
      <c r="PS161" s="98"/>
      <c r="PT161" s="98"/>
      <c r="PU161" s="98"/>
      <c r="PV161" s="98"/>
      <c r="PW161" s="98"/>
      <c r="PX161" s="98"/>
      <c r="PY161" s="98"/>
      <c r="PZ161" s="98"/>
      <c r="QA161" s="98"/>
      <c r="QB161" s="98"/>
      <c r="QC161" s="98"/>
      <c r="QD161" s="98"/>
      <c r="QE161" s="98"/>
      <c r="QF161" s="98"/>
      <c r="QG161" s="98"/>
      <c r="QH161" s="98"/>
      <c r="QI161" s="98"/>
      <c r="QJ161" s="98"/>
      <c r="QK161" s="98"/>
      <c r="QL161" s="98"/>
      <c r="QM161" s="98"/>
      <c r="QN161" s="98"/>
      <c r="QO161" s="98"/>
      <c r="QP161" s="98"/>
      <c r="QQ161" s="98"/>
      <c r="QR161" s="98"/>
      <c r="QS161" s="98"/>
      <c r="QT161" s="98"/>
      <c r="QU161" s="98"/>
      <c r="QV161" s="98"/>
      <c r="QW161" s="98"/>
      <c r="QX161" s="98"/>
      <c r="QY161" s="98"/>
      <c r="QZ161" s="98"/>
      <c r="RA161" s="98"/>
      <c r="RB161" s="98"/>
      <c r="RC161" s="98"/>
      <c r="RD161" s="98"/>
      <c r="RE161" s="98"/>
      <c r="RF161" s="98"/>
      <c r="RG161" s="98"/>
      <c r="RH161" s="98"/>
      <c r="RI161" s="98"/>
      <c r="RJ161" s="98"/>
      <c r="RK161" s="98"/>
      <c r="RL161" s="98"/>
      <c r="RM161" s="98"/>
      <c r="RN161" s="98"/>
      <c r="RO161" s="98"/>
      <c r="RP161" s="98"/>
      <c r="RQ161" s="98"/>
      <c r="RR161" s="98"/>
      <c r="RS161" s="98"/>
      <c r="RT161" s="98"/>
      <c r="RU161" s="98"/>
      <c r="RV161" s="98"/>
      <c r="RW161" s="98"/>
      <c r="RX161" s="98"/>
      <c r="RY161" s="98"/>
      <c r="RZ161" s="98"/>
      <c r="SA161" s="98"/>
      <c r="SB161" s="98"/>
      <c r="SC161" s="98"/>
      <c r="SD161" s="98"/>
      <c r="SE161" s="98"/>
      <c r="SF161" s="98"/>
      <c r="SG161" s="98"/>
      <c r="SH161" s="98"/>
      <c r="SI161" s="98"/>
      <c r="SJ161" s="98"/>
      <c r="SK161" s="98"/>
      <c r="SL161" s="98"/>
      <c r="SM161" s="98"/>
      <c r="SN161" s="98"/>
      <c r="SO161" s="98"/>
      <c r="SP161" s="98"/>
      <c r="SQ161" s="98"/>
      <c r="SR161" s="98"/>
    </row>
    <row r="162" spans="1:512" ht="230.25" outlineLevel="4" thickBot="1" x14ac:dyDescent="0.25">
      <c r="A162" s="43" t="s">
        <v>691</v>
      </c>
      <c r="B162" s="177"/>
      <c r="C162" s="138"/>
      <c r="D162" s="149"/>
      <c r="E162" s="87" t="s">
        <v>466</v>
      </c>
      <c r="F162" s="51" t="s">
        <v>692</v>
      </c>
      <c r="G162" s="37" t="s">
        <v>457</v>
      </c>
      <c r="H162" s="88" t="s">
        <v>127</v>
      </c>
      <c r="I162" s="92">
        <v>3</v>
      </c>
      <c r="J162" s="70" t="s">
        <v>468</v>
      </c>
      <c r="K162" s="93" t="s">
        <v>469</v>
      </c>
      <c r="L162" s="71">
        <v>2</v>
      </c>
      <c r="M162" s="89">
        <f t="shared" ref="M162" si="23">I162*L162</f>
        <v>6</v>
      </c>
      <c r="N162" s="32" t="s">
        <v>39</v>
      </c>
      <c r="O162" s="53" t="s">
        <v>686</v>
      </c>
      <c r="P162" s="94">
        <v>2</v>
      </c>
      <c r="Q162" s="97">
        <f t="shared" si="9"/>
        <v>12</v>
      </c>
      <c r="R162" s="72"/>
      <c r="S162" s="72"/>
      <c r="T162" s="72"/>
      <c r="U162" s="50"/>
      <c r="V162" s="51"/>
      <c r="W162" s="52"/>
      <c r="X162" s="51"/>
      <c r="Y162" s="51"/>
      <c r="Z162" s="53"/>
      <c r="AA162" s="40"/>
      <c r="AB162" s="41"/>
      <c r="AD162" s="17">
        <f t="shared" si="17"/>
        <v>16633</v>
      </c>
      <c r="AE162" s="18"/>
      <c r="LZ162" s="98"/>
      <c r="MA162" s="98"/>
      <c r="MB162" s="98"/>
      <c r="MC162" s="98"/>
      <c r="MD162" s="98"/>
      <c r="ME162" s="98"/>
      <c r="MF162" s="98"/>
      <c r="MG162" s="98"/>
      <c r="MH162" s="98"/>
      <c r="MI162" s="98"/>
      <c r="MJ162" s="98"/>
      <c r="MK162" s="98"/>
      <c r="ML162" s="98"/>
      <c r="MM162" s="98"/>
      <c r="MN162" s="98"/>
      <c r="MO162" s="98"/>
      <c r="MP162" s="98"/>
      <c r="MQ162" s="98"/>
      <c r="MR162" s="98"/>
      <c r="MS162" s="98"/>
      <c r="MT162" s="98"/>
      <c r="MU162" s="98"/>
      <c r="MV162" s="98"/>
      <c r="MW162" s="98"/>
      <c r="MX162" s="98"/>
      <c r="MY162" s="98"/>
      <c r="MZ162" s="98"/>
      <c r="NA162" s="98"/>
      <c r="NB162" s="98"/>
      <c r="NC162" s="98"/>
      <c r="ND162" s="98"/>
      <c r="NE162" s="98"/>
      <c r="NF162" s="98"/>
      <c r="NG162" s="98"/>
      <c r="NH162" s="98"/>
      <c r="NI162" s="98"/>
      <c r="NJ162" s="98"/>
      <c r="NK162" s="98"/>
      <c r="NL162" s="98"/>
      <c r="NM162" s="98"/>
      <c r="NN162" s="98"/>
      <c r="NO162" s="98"/>
      <c r="NP162" s="98"/>
      <c r="NQ162" s="98"/>
      <c r="NR162" s="98"/>
      <c r="NS162" s="98"/>
      <c r="NT162" s="98"/>
      <c r="NU162" s="98"/>
      <c r="NV162" s="98"/>
      <c r="NW162" s="98"/>
      <c r="NX162" s="98"/>
      <c r="NY162" s="98"/>
      <c r="NZ162" s="98"/>
      <c r="OA162" s="98"/>
      <c r="OB162" s="98"/>
      <c r="OC162" s="98"/>
      <c r="OD162" s="98"/>
      <c r="OE162" s="98"/>
      <c r="OF162" s="98"/>
      <c r="OG162" s="98"/>
      <c r="OH162" s="98"/>
      <c r="OI162" s="98"/>
      <c r="OJ162" s="98"/>
      <c r="OK162" s="98"/>
      <c r="OL162" s="98"/>
      <c r="OM162" s="98"/>
      <c r="ON162" s="98"/>
      <c r="OO162" s="98"/>
      <c r="OP162" s="98"/>
      <c r="OQ162" s="98"/>
      <c r="OR162" s="98"/>
      <c r="OS162" s="98"/>
      <c r="OT162" s="98"/>
      <c r="OU162" s="98"/>
      <c r="OV162" s="98"/>
      <c r="OW162" s="98"/>
      <c r="OX162" s="98"/>
      <c r="OY162" s="98"/>
      <c r="OZ162" s="98"/>
      <c r="PA162" s="98"/>
      <c r="PB162" s="98"/>
      <c r="PC162" s="98"/>
      <c r="PD162" s="98"/>
      <c r="PE162" s="98"/>
      <c r="PF162" s="98"/>
      <c r="PG162" s="98"/>
      <c r="PH162" s="98"/>
      <c r="PI162" s="98"/>
      <c r="PJ162" s="98"/>
      <c r="PK162" s="98"/>
      <c r="PL162" s="98"/>
      <c r="PM162" s="98"/>
      <c r="PN162" s="98"/>
      <c r="PO162" s="98"/>
      <c r="PP162" s="98"/>
      <c r="PQ162" s="98"/>
      <c r="PR162" s="98"/>
      <c r="PS162" s="98"/>
      <c r="PT162" s="98"/>
      <c r="PU162" s="98"/>
      <c r="PV162" s="98"/>
      <c r="PW162" s="98"/>
      <c r="PX162" s="98"/>
      <c r="PY162" s="98"/>
      <c r="PZ162" s="98"/>
      <c r="QA162" s="98"/>
      <c r="QB162" s="98"/>
      <c r="QC162" s="98"/>
      <c r="QD162" s="98"/>
      <c r="QE162" s="98"/>
      <c r="QF162" s="98"/>
      <c r="QG162" s="98"/>
      <c r="QH162" s="98"/>
      <c r="QI162" s="98"/>
      <c r="QJ162" s="98"/>
      <c r="QK162" s="98"/>
      <c r="QL162" s="98"/>
      <c r="QM162" s="98"/>
      <c r="QN162" s="98"/>
      <c r="QO162" s="98"/>
      <c r="QP162" s="98"/>
      <c r="QQ162" s="98"/>
      <c r="QR162" s="98"/>
      <c r="QS162" s="98"/>
      <c r="QT162" s="98"/>
      <c r="QU162" s="98"/>
      <c r="QV162" s="98"/>
      <c r="QW162" s="98"/>
      <c r="QX162" s="98"/>
      <c r="QY162" s="98"/>
      <c r="QZ162" s="98"/>
      <c r="RA162" s="98"/>
      <c r="RB162" s="98"/>
      <c r="RC162" s="98"/>
      <c r="RD162" s="98"/>
      <c r="RE162" s="98"/>
      <c r="RF162" s="98"/>
      <c r="RG162" s="98"/>
      <c r="RH162" s="98"/>
      <c r="RI162" s="98"/>
      <c r="RJ162" s="98"/>
      <c r="RK162" s="98"/>
      <c r="RL162" s="98"/>
      <c r="RM162" s="98"/>
      <c r="RN162" s="98"/>
      <c r="RO162" s="98"/>
      <c r="RP162" s="98"/>
      <c r="RQ162" s="98"/>
      <c r="RR162" s="98"/>
      <c r="RS162" s="98"/>
      <c r="RT162" s="98"/>
      <c r="RU162" s="98"/>
      <c r="RV162" s="98"/>
      <c r="RW162" s="98"/>
      <c r="RX162" s="98"/>
      <c r="RY162" s="98"/>
      <c r="RZ162" s="98"/>
      <c r="SA162" s="98"/>
      <c r="SB162" s="98"/>
      <c r="SC162" s="98"/>
      <c r="SD162" s="98"/>
      <c r="SE162" s="98"/>
      <c r="SF162" s="98"/>
      <c r="SG162" s="98"/>
      <c r="SH162" s="98"/>
      <c r="SI162" s="98"/>
      <c r="SJ162" s="98"/>
      <c r="SK162" s="98"/>
      <c r="SL162" s="98"/>
      <c r="SM162" s="98"/>
      <c r="SN162" s="98"/>
      <c r="SO162" s="98"/>
      <c r="SP162" s="98"/>
      <c r="SQ162" s="98"/>
      <c r="SR162" s="98"/>
    </row>
    <row r="163" spans="1:512" ht="230.25" outlineLevel="4" thickBot="1" x14ac:dyDescent="0.25">
      <c r="A163" s="43" t="s">
        <v>693</v>
      </c>
      <c r="B163" s="177" t="s">
        <v>682</v>
      </c>
      <c r="C163" s="138" t="s">
        <v>694</v>
      </c>
      <c r="D163" s="149" t="s">
        <v>695</v>
      </c>
      <c r="E163" s="87" t="s">
        <v>33</v>
      </c>
      <c r="F163" s="51" t="s">
        <v>696</v>
      </c>
      <c r="G163" s="48" t="s">
        <v>648</v>
      </c>
      <c r="H163" s="88" t="s">
        <v>697</v>
      </c>
      <c r="I163" s="92">
        <v>1</v>
      </c>
      <c r="J163" s="70" t="s">
        <v>463</v>
      </c>
      <c r="K163" s="93" t="s">
        <v>464</v>
      </c>
      <c r="L163" s="71">
        <v>1</v>
      </c>
      <c r="M163" s="89">
        <f>I163*L163</f>
        <v>1</v>
      </c>
      <c r="N163" s="32" t="s">
        <v>39</v>
      </c>
      <c r="O163" s="53" t="s">
        <v>76</v>
      </c>
      <c r="P163" s="90">
        <v>5</v>
      </c>
      <c r="Q163" s="97">
        <f t="shared" si="9"/>
        <v>5</v>
      </c>
      <c r="R163" s="72"/>
      <c r="S163" s="72"/>
      <c r="T163" s="72"/>
      <c r="U163" s="50"/>
      <c r="V163" s="51"/>
      <c r="W163" s="52"/>
      <c r="X163" s="51"/>
      <c r="Y163" s="51"/>
      <c r="Z163" s="53"/>
      <c r="AA163" s="40"/>
      <c r="AB163" s="41"/>
      <c r="AD163" s="17">
        <f t="shared" si="17"/>
        <v>16634</v>
      </c>
      <c r="AE163" s="18"/>
      <c r="LZ163" s="98"/>
      <c r="MA163" s="98"/>
      <c r="MB163" s="98"/>
      <c r="MC163" s="98"/>
      <c r="MD163" s="98"/>
      <c r="ME163" s="98"/>
      <c r="MF163" s="98"/>
      <c r="MG163" s="98"/>
      <c r="MH163" s="98"/>
      <c r="MI163" s="98"/>
      <c r="MJ163" s="98"/>
      <c r="MK163" s="98"/>
      <c r="ML163" s="98"/>
      <c r="MM163" s="98"/>
      <c r="MN163" s="98"/>
      <c r="MO163" s="98"/>
      <c r="MP163" s="98"/>
      <c r="MQ163" s="98"/>
      <c r="MR163" s="98"/>
      <c r="MS163" s="98"/>
      <c r="MT163" s="98"/>
      <c r="MU163" s="98"/>
      <c r="MV163" s="98"/>
      <c r="MW163" s="98"/>
      <c r="MX163" s="98"/>
      <c r="MY163" s="98"/>
      <c r="MZ163" s="98"/>
      <c r="NA163" s="98"/>
      <c r="NB163" s="98"/>
      <c r="NC163" s="98"/>
      <c r="ND163" s="98"/>
      <c r="NE163" s="98"/>
      <c r="NF163" s="98"/>
      <c r="NG163" s="98"/>
      <c r="NH163" s="98"/>
      <c r="NI163" s="98"/>
      <c r="NJ163" s="98"/>
      <c r="NK163" s="98"/>
      <c r="NL163" s="98"/>
      <c r="NM163" s="98"/>
      <c r="NN163" s="98"/>
      <c r="NO163" s="98"/>
      <c r="NP163" s="98"/>
      <c r="NQ163" s="98"/>
      <c r="NR163" s="98"/>
      <c r="NS163" s="98"/>
      <c r="NT163" s="98"/>
      <c r="NU163" s="98"/>
      <c r="NV163" s="98"/>
      <c r="NW163" s="98"/>
      <c r="NX163" s="98"/>
      <c r="NY163" s="98"/>
      <c r="NZ163" s="98"/>
      <c r="OA163" s="98"/>
      <c r="OB163" s="98"/>
      <c r="OC163" s="98"/>
      <c r="OD163" s="98"/>
      <c r="OE163" s="98"/>
      <c r="OF163" s="98"/>
      <c r="OG163" s="98"/>
      <c r="OH163" s="98"/>
      <c r="OI163" s="98"/>
      <c r="OJ163" s="98"/>
      <c r="OK163" s="98"/>
      <c r="OL163" s="98"/>
      <c r="OM163" s="98"/>
      <c r="ON163" s="98"/>
      <c r="OO163" s="98"/>
      <c r="OP163" s="98"/>
      <c r="OQ163" s="98"/>
      <c r="OR163" s="98"/>
      <c r="OS163" s="98"/>
      <c r="OT163" s="98"/>
      <c r="OU163" s="98"/>
      <c r="OV163" s="98"/>
      <c r="OW163" s="98"/>
      <c r="OX163" s="98"/>
      <c r="OY163" s="98"/>
      <c r="OZ163" s="98"/>
      <c r="PA163" s="98"/>
      <c r="PB163" s="98"/>
      <c r="PC163" s="98"/>
      <c r="PD163" s="98"/>
      <c r="PE163" s="98"/>
      <c r="PF163" s="98"/>
      <c r="PG163" s="98"/>
      <c r="PH163" s="98"/>
      <c r="PI163" s="98"/>
      <c r="PJ163" s="98"/>
      <c r="PK163" s="98"/>
      <c r="PL163" s="98"/>
      <c r="PM163" s="98"/>
      <c r="PN163" s="98"/>
      <c r="PO163" s="98"/>
      <c r="PP163" s="98"/>
      <c r="PQ163" s="98"/>
      <c r="PR163" s="98"/>
      <c r="PS163" s="98"/>
      <c r="PT163" s="98"/>
      <c r="PU163" s="98"/>
      <c r="PV163" s="98"/>
      <c r="PW163" s="98"/>
      <c r="PX163" s="98"/>
      <c r="PY163" s="98"/>
      <c r="PZ163" s="98"/>
      <c r="QA163" s="98"/>
      <c r="QB163" s="98"/>
      <c r="QC163" s="98"/>
      <c r="QD163" s="98"/>
      <c r="QE163" s="98"/>
      <c r="QF163" s="98"/>
      <c r="QG163" s="98"/>
      <c r="QH163" s="98"/>
      <c r="QI163" s="98"/>
      <c r="QJ163" s="98"/>
      <c r="QK163" s="98"/>
      <c r="QL163" s="98"/>
      <c r="QM163" s="98"/>
      <c r="QN163" s="98"/>
      <c r="QO163" s="98"/>
      <c r="QP163" s="98"/>
      <c r="QQ163" s="98"/>
      <c r="QR163" s="98"/>
      <c r="QS163" s="98"/>
      <c r="QT163" s="98"/>
      <c r="QU163" s="98"/>
      <c r="QV163" s="98"/>
      <c r="QW163" s="98"/>
      <c r="QX163" s="98"/>
      <c r="QY163" s="98"/>
      <c r="QZ163" s="98"/>
      <c r="RA163" s="98"/>
      <c r="RB163" s="98"/>
      <c r="RC163" s="98"/>
      <c r="RD163" s="98"/>
      <c r="RE163" s="98"/>
      <c r="RF163" s="98"/>
      <c r="RG163" s="98"/>
      <c r="RH163" s="98"/>
      <c r="RI163" s="98"/>
      <c r="RJ163" s="98"/>
      <c r="RK163" s="98"/>
      <c r="RL163" s="98"/>
      <c r="RM163" s="98"/>
      <c r="RN163" s="98"/>
      <c r="RO163" s="98"/>
      <c r="RP163" s="98"/>
      <c r="RQ163" s="98"/>
      <c r="RR163" s="98"/>
      <c r="RS163" s="98"/>
      <c r="RT163" s="98"/>
      <c r="RU163" s="98"/>
      <c r="RV163" s="98"/>
      <c r="RW163" s="98"/>
      <c r="RX163" s="98"/>
      <c r="RY163" s="98"/>
      <c r="RZ163" s="98"/>
      <c r="SA163" s="98"/>
      <c r="SB163" s="98"/>
      <c r="SC163" s="98"/>
      <c r="SD163" s="98"/>
      <c r="SE163" s="98"/>
      <c r="SF163" s="98"/>
      <c r="SG163" s="98"/>
      <c r="SH163" s="98"/>
      <c r="SI163" s="98"/>
      <c r="SJ163" s="98"/>
      <c r="SK163" s="98"/>
      <c r="SL163" s="98"/>
      <c r="SM163" s="98"/>
      <c r="SN163" s="98"/>
      <c r="SO163" s="98"/>
      <c r="SP163" s="98"/>
      <c r="SQ163" s="98"/>
      <c r="SR163" s="98"/>
    </row>
    <row r="164" spans="1:512" ht="230.25" outlineLevel="4" thickBot="1" x14ac:dyDescent="0.25">
      <c r="A164" s="43" t="s">
        <v>698</v>
      </c>
      <c r="B164" s="177"/>
      <c r="C164" s="138"/>
      <c r="D164" s="149"/>
      <c r="E164" s="87" t="s">
        <v>43</v>
      </c>
      <c r="F164" s="51" t="s">
        <v>696</v>
      </c>
      <c r="G164" s="48" t="s">
        <v>648</v>
      </c>
      <c r="H164" s="88" t="s">
        <v>697</v>
      </c>
      <c r="I164" s="92">
        <v>1</v>
      </c>
      <c r="J164" s="70" t="s">
        <v>463</v>
      </c>
      <c r="K164" s="93" t="s">
        <v>464</v>
      </c>
      <c r="L164" s="71">
        <v>1</v>
      </c>
      <c r="M164" s="89">
        <f>I164*L164</f>
        <v>1</v>
      </c>
      <c r="N164" s="32" t="s">
        <v>39</v>
      </c>
      <c r="O164" s="53" t="s">
        <v>76</v>
      </c>
      <c r="P164" s="90">
        <v>5</v>
      </c>
      <c r="Q164" s="97">
        <f t="shared" si="9"/>
        <v>5</v>
      </c>
      <c r="R164" s="72"/>
      <c r="S164" s="72"/>
      <c r="T164" s="72"/>
      <c r="U164" s="50"/>
      <c r="V164" s="51"/>
      <c r="W164" s="52"/>
      <c r="X164" s="51"/>
      <c r="Y164" s="51"/>
      <c r="Z164" s="53"/>
      <c r="AA164" s="40"/>
      <c r="AB164" s="41"/>
      <c r="AD164" s="17">
        <f t="shared" si="17"/>
        <v>16635</v>
      </c>
      <c r="AE164" s="18"/>
      <c r="LZ164" s="98"/>
      <c r="MA164" s="98"/>
      <c r="MB164" s="98"/>
      <c r="MC164" s="98"/>
      <c r="MD164" s="98"/>
      <c r="ME164" s="98"/>
      <c r="MF164" s="98"/>
      <c r="MG164" s="98"/>
      <c r="MH164" s="98"/>
      <c r="MI164" s="98"/>
      <c r="MJ164" s="98"/>
      <c r="MK164" s="98"/>
      <c r="ML164" s="98"/>
      <c r="MM164" s="98"/>
      <c r="MN164" s="98"/>
      <c r="MO164" s="98"/>
      <c r="MP164" s="98"/>
      <c r="MQ164" s="98"/>
      <c r="MR164" s="98"/>
      <c r="MS164" s="98"/>
      <c r="MT164" s="98"/>
      <c r="MU164" s="98"/>
      <c r="MV164" s="98"/>
      <c r="MW164" s="98"/>
      <c r="MX164" s="98"/>
      <c r="MY164" s="98"/>
      <c r="MZ164" s="98"/>
      <c r="NA164" s="98"/>
      <c r="NB164" s="98"/>
      <c r="NC164" s="98"/>
      <c r="ND164" s="98"/>
      <c r="NE164" s="98"/>
      <c r="NF164" s="98"/>
      <c r="NG164" s="98"/>
      <c r="NH164" s="98"/>
      <c r="NI164" s="98"/>
      <c r="NJ164" s="98"/>
      <c r="NK164" s="98"/>
      <c r="NL164" s="98"/>
      <c r="NM164" s="98"/>
      <c r="NN164" s="98"/>
      <c r="NO164" s="98"/>
      <c r="NP164" s="98"/>
      <c r="NQ164" s="98"/>
      <c r="NR164" s="98"/>
      <c r="NS164" s="98"/>
      <c r="NT164" s="98"/>
      <c r="NU164" s="98"/>
      <c r="NV164" s="98"/>
      <c r="NW164" s="98"/>
      <c r="NX164" s="98"/>
      <c r="NY164" s="98"/>
      <c r="NZ164" s="98"/>
      <c r="OA164" s="98"/>
      <c r="OB164" s="98"/>
      <c r="OC164" s="98"/>
      <c r="OD164" s="98"/>
      <c r="OE164" s="98"/>
      <c r="OF164" s="98"/>
      <c r="OG164" s="98"/>
      <c r="OH164" s="98"/>
      <c r="OI164" s="98"/>
      <c r="OJ164" s="98"/>
      <c r="OK164" s="98"/>
      <c r="OL164" s="98"/>
      <c r="OM164" s="98"/>
      <c r="ON164" s="98"/>
      <c r="OO164" s="98"/>
      <c r="OP164" s="98"/>
      <c r="OQ164" s="98"/>
      <c r="OR164" s="98"/>
      <c r="OS164" s="98"/>
      <c r="OT164" s="98"/>
      <c r="OU164" s="98"/>
      <c r="OV164" s="98"/>
      <c r="OW164" s="98"/>
      <c r="OX164" s="98"/>
      <c r="OY164" s="98"/>
      <c r="OZ164" s="98"/>
      <c r="PA164" s="98"/>
      <c r="PB164" s="98"/>
      <c r="PC164" s="98"/>
      <c r="PD164" s="98"/>
      <c r="PE164" s="98"/>
      <c r="PF164" s="98"/>
      <c r="PG164" s="98"/>
      <c r="PH164" s="98"/>
      <c r="PI164" s="98"/>
      <c r="PJ164" s="98"/>
      <c r="PK164" s="98"/>
      <c r="PL164" s="98"/>
      <c r="PM164" s="98"/>
      <c r="PN164" s="98"/>
      <c r="PO164" s="98"/>
      <c r="PP164" s="98"/>
      <c r="PQ164" s="98"/>
      <c r="PR164" s="98"/>
      <c r="PS164" s="98"/>
      <c r="PT164" s="98"/>
      <c r="PU164" s="98"/>
      <c r="PV164" s="98"/>
      <c r="PW164" s="98"/>
      <c r="PX164" s="98"/>
      <c r="PY164" s="98"/>
      <c r="PZ164" s="98"/>
      <c r="QA164" s="98"/>
      <c r="QB164" s="98"/>
      <c r="QC164" s="98"/>
      <c r="QD164" s="98"/>
      <c r="QE164" s="98"/>
      <c r="QF164" s="98"/>
      <c r="QG164" s="98"/>
      <c r="QH164" s="98"/>
      <c r="QI164" s="98"/>
      <c r="QJ164" s="98"/>
      <c r="QK164" s="98"/>
      <c r="QL164" s="98"/>
      <c r="QM164" s="98"/>
      <c r="QN164" s="98"/>
      <c r="QO164" s="98"/>
      <c r="QP164" s="98"/>
      <c r="QQ164" s="98"/>
      <c r="QR164" s="98"/>
      <c r="QS164" s="98"/>
      <c r="QT164" s="98"/>
      <c r="QU164" s="98"/>
      <c r="QV164" s="98"/>
      <c r="QW164" s="98"/>
      <c r="QX164" s="98"/>
      <c r="QY164" s="98"/>
      <c r="QZ164" s="98"/>
      <c r="RA164" s="98"/>
      <c r="RB164" s="98"/>
      <c r="RC164" s="98"/>
      <c r="RD164" s="98"/>
      <c r="RE164" s="98"/>
      <c r="RF164" s="98"/>
      <c r="RG164" s="98"/>
      <c r="RH164" s="98"/>
      <c r="RI164" s="98"/>
      <c r="RJ164" s="98"/>
      <c r="RK164" s="98"/>
      <c r="RL164" s="98"/>
      <c r="RM164" s="98"/>
      <c r="RN164" s="98"/>
      <c r="RO164" s="98"/>
      <c r="RP164" s="98"/>
      <c r="RQ164" s="98"/>
      <c r="RR164" s="98"/>
      <c r="RS164" s="98"/>
      <c r="RT164" s="98"/>
      <c r="RU164" s="98"/>
      <c r="RV164" s="98"/>
      <c r="RW164" s="98"/>
      <c r="RX164" s="98"/>
      <c r="RY164" s="98"/>
      <c r="RZ164" s="98"/>
      <c r="SA164" s="98"/>
      <c r="SB164" s="98"/>
      <c r="SC164" s="98"/>
      <c r="SD164" s="98"/>
      <c r="SE164" s="98"/>
      <c r="SF164" s="98"/>
      <c r="SG164" s="98"/>
      <c r="SH164" s="98"/>
      <c r="SI164" s="98"/>
      <c r="SJ164" s="98"/>
      <c r="SK164" s="98"/>
      <c r="SL164" s="98"/>
      <c r="SM164" s="98"/>
      <c r="SN164" s="98"/>
      <c r="SO164" s="98"/>
      <c r="SP164" s="98"/>
      <c r="SQ164" s="98"/>
      <c r="SR164" s="98"/>
    </row>
    <row r="165" spans="1:512" ht="230.25" outlineLevel="4" thickBot="1" x14ac:dyDescent="0.25">
      <c r="A165" s="43" t="s">
        <v>699</v>
      </c>
      <c r="B165" s="177"/>
      <c r="C165" s="138"/>
      <c r="D165" s="149"/>
      <c r="E165" s="87" t="s">
        <v>466</v>
      </c>
      <c r="F165" s="51" t="s">
        <v>696</v>
      </c>
      <c r="G165" s="48" t="s">
        <v>648</v>
      </c>
      <c r="H165" s="88" t="s">
        <v>697</v>
      </c>
      <c r="I165" s="92">
        <v>1</v>
      </c>
      <c r="J165" s="70" t="s">
        <v>468</v>
      </c>
      <c r="K165" s="93" t="s">
        <v>464</v>
      </c>
      <c r="L165" s="71">
        <v>1</v>
      </c>
      <c r="M165" s="89">
        <f>I165*L165</f>
        <v>1</v>
      </c>
      <c r="N165" s="32" t="s">
        <v>39</v>
      </c>
      <c r="O165" s="53" t="s">
        <v>76</v>
      </c>
      <c r="P165" s="94">
        <v>5</v>
      </c>
      <c r="Q165" s="97">
        <f t="shared" si="9"/>
        <v>5</v>
      </c>
      <c r="R165" s="72"/>
      <c r="S165" s="72"/>
      <c r="T165" s="72"/>
      <c r="U165" s="50"/>
      <c r="V165" s="51"/>
      <c r="W165" s="52"/>
      <c r="X165" s="51"/>
      <c r="Y165" s="51"/>
      <c r="Z165" s="53"/>
      <c r="AA165" s="40"/>
      <c r="AB165" s="41"/>
      <c r="AD165" s="17">
        <f t="shared" si="17"/>
        <v>16636</v>
      </c>
      <c r="AE165" s="18"/>
      <c r="LZ165" s="98"/>
      <c r="MA165" s="98"/>
      <c r="MB165" s="98"/>
      <c r="MC165" s="98"/>
      <c r="MD165" s="98"/>
      <c r="ME165" s="98"/>
      <c r="MF165" s="98"/>
      <c r="MG165" s="98"/>
      <c r="MH165" s="98"/>
      <c r="MI165" s="98"/>
      <c r="MJ165" s="98"/>
      <c r="MK165" s="98"/>
      <c r="ML165" s="98"/>
      <c r="MM165" s="98"/>
      <c r="MN165" s="98"/>
      <c r="MO165" s="98"/>
      <c r="MP165" s="98"/>
      <c r="MQ165" s="98"/>
      <c r="MR165" s="98"/>
      <c r="MS165" s="98"/>
      <c r="MT165" s="98"/>
      <c r="MU165" s="98"/>
      <c r="MV165" s="98"/>
      <c r="MW165" s="98"/>
      <c r="MX165" s="98"/>
      <c r="MY165" s="98"/>
      <c r="MZ165" s="98"/>
      <c r="NA165" s="98"/>
      <c r="NB165" s="98"/>
      <c r="NC165" s="98"/>
      <c r="ND165" s="98"/>
      <c r="NE165" s="98"/>
      <c r="NF165" s="98"/>
      <c r="NG165" s="98"/>
      <c r="NH165" s="98"/>
      <c r="NI165" s="98"/>
      <c r="NJ165" s="98"/>
      <c r="NK165" s="98"/>
      <c r="NL165" s="98"/>
      <c r="NM165" s="98"/>
      <c r="NN165" s="98"/>
      <c r="NO165" s="98"/>
      <c r="NP165" s="98"/>
      <c r="NQ165" s="98"/>
      <c r="NR165" s="98"/>
      <c r="NS165" s="98"/>
      <c r="NT165" s="98"/>
      <c r="NU165" s="98"/>
      <c r="NV165" s="98"/>
      <c r="NW165" s="98"/>
      <c r="NX165" s="98"/>
      <c r="NY165" s="98"/>
      <c r="NZ165" s="98"/>
      <c r="OA165" s="98"/>
      <c r="OB165" s="98"/>
      <c r="OC165" s="98"/>
      <c r="OD165" s="98"/>
      <c r="OE165" s="98"/>
      <c r="OF165" s="98"/>
      <c r="OG165" s="98"/>
      <c r="OH165" s="98"/>
      <c r="OI165" s="98"/>
      <c r="OJ165" s="98"/>
      <c r="OK165" s="98"/>
      <c r="OL165" s="98"/>
      <c r="OM165" s="98"/>
      <c r="ON165" s="98"/>
      <c r="OO165" s="98"/>
      <c r="OP165" s="98"/>
      <c r="OQ165" s="98"/>
      <c r="OR165" s="98"/>
      <c r="OS165" s="98"/>
      <c r="OT165" s="98"/>
      <c r="OU165" s="98"/>
      <c r="OV165" s="98"/>
      <c r="OW165" s="98"/>
      <c r="OX165" s="98"/>
      <c r="OY165" s="98"/>
      <c r="OZ165" s="98"/>
      <c r="PA165" s="98"/>
      <c r="PB165" s="98"/>
      <c r="PC165" s="98"/>
      <c r="PD165" s="98"/>
      <c r="PE165" s="98"/>
      <c r="PF165" s="98"/>
      <c r="PG165" s="98"/>
      <c r="PH165" s="98"/>
      <c r="PI165" s="98"/>
      <c r="PJ165" s="98"/>
      <c r="PK165" s="98"/>
      <c r="PL165" s="98"/>
      <c r="PM165" s="98"/>
      <c r="PN165" s="98"/>
      <c r="PO165" s="98"/>
      <c r="PP165" s="98"/>
      <c r="PQ165" s="98"/>
      <c r="PR165" s="98"/>
      <c r="PS165" s="98"/>
      <c r="PT165" s="98"/>
      <c r="PU165" s="98"/>
      <c r="PV165" s="98"/>
      <c r="PW165" s="98"/>
      <c r="PX165" s="98"/>
      <c r="PY165" s="98"/>
      <c r="PZ165" s="98"/>
      <c r="QA165" s="98"/>
      <c r="QB165" s="98"/>
      <c r="QC165" s="98"/>
      <c r="QD165" s="98"/>
      <c r="QE165" s="98"/>
      <c r="QF165" s="98"/>
      <c r="QG165" s="98"/>
      <c r="QH165" s="98"/>
      <c r="QI165" s="98"/>
      <c r="QJ165" s="98"/>
      <c r="QK165" s="98"/>
      <c r="QL165" s="98"/>
      <c r="QM165" s="98"/>
      <c r="QN165" s="98"/>
      <c r="QO165" s="98"/>
      <c r="QP165" s="98"/>
      <c r="QQ165" s="98"/>
      <c r="QR165" s="98"/>
      <c r="QS165" s="98"/>
      <c r="QT165" s="98"/>
      <c r="QU165" s="98"/>
      <c r="QV165" s="98"/>
      <c r="QW165" s="98"/>
      <c r="QX165" s="98"/>
      <c r="QY165" s="98"/>
      <c r="QZ165" s="98"/>
      <c r="RA165" s="98"/>
      <c r="RB165" s="98"/>
      <c r="RC165" s="98"/>
      <c r="RD165" s="98"/>
      <c r="RE165" s="98"/>
      <c r="RF165" s="98"/>
      <c r="RG165" s="98"/>
      <c r="RH165" s="98"/>
      <c r="RI165" s="98"/>
      <c r="RJ165" s="98"/>
      <c r="RK165" s="98"/>
      <c r="RL165" s="98"/>
      <c r="RM165" s="98"/>
      <c r="RN165" s="98"/>
      <c r="RO165" s="98"/>
      <c r="RP165" s="98"/>
      <c r="RQ165" s="98"/>
      <c r="RR165" s="98"/>
      <c r="RS165" s="98"/>
      <c r="RT165" s="98"/>
      <c r="RU165" s="98"/>
      <c r="RV165" s="98"/>
      <c r="RW165" s="98"/>
      <c r="RX165" s="98"/>
      <c r="RY165" s="98"/>
      <c r="RZ165" s="98"/>
      <c r="SA165" s="98"/>
      <c r="SB165" s="98"/>
      <c r="SC165" s="98"/>
      <c r="SD165" s="98"/>
      <c r="SE165" s="98"/>
      <c r="SF165" s="98"/>
      <c r="SG165" s="98"/>
      <c r="SH165" s="98"/>
      <c r="SI165" s="98"/>
      <c r="SJ165" s="98"/>
      <c r="SK165" s="98"/>
      <c r="SL165" s="98"/>
      <c r="SM165" s="98"/>
      <c r="SN165" s="98"/>
      <c r="SO165" s="98"/>
      <c r="SP165" s="98"/>
      <c r="SQ165" s="98"/>
      <c r="SR165" s="98"/>
    </row>
    <row r="166" spans="1:512" ht="230.25" outlineLevel="4" thickBot="1" x14ac:dyDescent="0.25">
      <c r="A166" s="43" t="s">
        <v>700</v>
      </c>
      <c r="B166" s="177" t="s">
        <v>682</v>
      </c>
      <c r="C166" s="138" t="s">
        <v>701</v>
      </c>
      <c r="D166" s="149" t="s">
        <v>702</v>
      </c>
      <c r="E166" s="87" t="s">
        <v>33</v>
      </c>
      <c r="F166" s="51" t="s">
        <v>703</v>
      </c>
      <c r="G166" s="66" t="s">
        <v>457</v>
      </c>
      <c r="H166" s="26" t="s">
        <v>127</v>
      </c>
      <c r="I166" s="27">
        <v>3</v>
      </c>
      <c r="J166" s="70" t="s">
        <v>463</v>
      </c>
      <c r="K166" s="29" t="s">
        <v>496</v>
      </c>
      <c r="L166" s="71">
        <v>1</v>
      </c>
      <c r="M166" s="89">
        <f>I166*L166</f>
        <v>3</v>
      </c>
      <c r="N166" s="32" t="s">
        <v>39</v>
      </c>
      <c r="O166" s="53" t="s">
        <v>686</v>
      </c>
      <c r="P166" s="90">
        <v>2</v>
      </c>
      <c r="Q166" s="97">
        <f t="shared" si="9"/>
        <v>6</v>
      </c>
      <c r="R166" s="72"/>
      <c r="S166" s="72"/>
      <c r="T166" s="72"/>
      <c r="U166" s="50"/>
      <c r="V166" s="51"/>
      <c r="W166" s="52"/>
      <c r="X166" s="51"/>
      <c r="Y166" s="51"/>
      <c r="Z166" s="53"/>
      <c r="AA166" s="40"/>
      <c r="AB166" s="41"/>
      <c r="AD166" s="17">
        <f t="shared" si="17"/>
        <v>16637</v>
      </c>
      <c r="AE166" s="18"/>
      <c r="LZ166" s="98"/>
      <c r="MA166" s="98"/>
      <c r="MB166" s="98"/>
      <c r="MC166" s="98"/>
      <c r="MD166" s="98"/>
      <c r="ME166" s="98"/>
      <c r="MF166" s="98"/>
      <c r="MG166" s="98"/>
      <c r="MH166" s="98"/>
      <c r="MI166" s="98"/>
      <c r="MJ166" s="98"/>
      <c r="MK166" s="98"/>
      <c r="ML166" s="98"/>
      <c r="MM166" s="98"/>
      <c r="MN166" s="98"/>
      <c r="MO166" s="98"/>
      <c r="MP166" s="98"/>
      <c r="MQ166" s="98"/>
      <c r="MR166" s="98"/>
      <c r="MS166" s="98"/>
      <c r="MT166" s="98"/>
      <c r="MU166" s="98"/>
      <c r="MV166" s="98"/>
      <c r="MW166" s="98"/>
      <c r="MX166" s="98"/>
      <c r="MY166" s="98"/>
      <c r="MZ166" s="98"/>
      <c r="NA166" s="98"/>
      <c r="NB166" s="98"/>
      <c r="NC166" s="98"/>
      <c r="ND166" s="98"/>
      <c r="NE166" s="98"/>
      <c r="NF166" s="98"/>
      <c r="NG166" s="98"/>
      <c r="NH166" s="98"/>
      <c r="NI166" s="98"/>
      <c r="NJ166" s="98"/>
      <c r="NK166" s="98"/>
      <c r="NL166" s="98"/>
      <c r="NM166" s="98"/>
      <c r="NN166" s="98"/>
      <c r="NO166" s="98"/>
      <c r="NP166" s="98"/>
      <c r="NQ166" s="98"/>
      <c r="NR166" s="98"/>
      <c r="NS166" s="98"/>
      <c r="NT166" s="98"/>
      <c r="NU166" s="98"/>
      <c r="NV166" s="98"/>
      <c r="NW166" s="98"/>
      <c r="NX166" s="98"/>
      <c r="NY166" s="98"/>
      <c r="NZ166" s="98"/>
      <c r="OA166" s="98"/>
      <c r="OB166" s="98"/>
      <c r="OC166" s="98"/>
      <c r="OD166" s="98"/>
      <c r="OE166" s="98"/>
      <c r="OF166" s="98"/>
      <c r="OG166" s="98"/>
      <c r="OH166" s="98"/>
      <c r="OI166" s="98"/>
      <c r="OJ166" s="98"/>
      <c r="OK166" s="98"/>
      <c r="OL166" s="98"/>
      <c r="OM166" s="98"/>
      <c r="ON166" s="98"/>
      <c r="OO166" s="98"/>
      <c r="OP166" s="98"/>
      <c r="OQ166" s="98"/>
      <c r="OR166" s="98"/>
      <c r="OS166" s="98"/>
      <c r="OT166" s="98"/>
      <c r="OU166" s="98"/>
      <c r="OV166" s="98"/>
      <c r="OW166" s="98"/>
      <c r="OX166" s="98"/>
      <c r="OY166" s="98"/>
      <c r="OZ166" s="98"/>
      <c r="PA166" s="98"/>
      <c r="PB166" s="98"/>
      <c r="PC166" s="98"/>
      <c r="PD166" s="98"/>
      <c r="PE166" s="98"/>
      <c r="PF166" s="98"/>
      <c r="PG166" s="98"/>
      <c r="PH166" s="98"/>
      <c r="PI166" s="98"/>
      <c r="PJ166" s="98"/>
      <c r="PK166" s="98"/>
      <c r="PL166" s="98"/>
      <c r="PM166" s="98"/>
      <c r="PN166" s="98"/>
      <c r="PO166" s="98"/>
      <c r="PP166" s="98"/>
      <c r="PQ166" s="98"/>
      <c r="PR166" s="98"/>
      <c r="PS166" s="98"/>
      <c r="PT166" s="98"/>
      <c r="PU166" s="98"/>
      <c r="PV166" s="98"/>
      <c r="PW166" s="98"/>
      <c r="PX166" s="98"/>
      <c r="PY166" s="98"/>
      <c r="PZ166" s="98"/>
      <c r="QA166" s="98"/>
      <c r="QB166" s="98"/>
      <c r="QC166" s="98"/>
      <c r="QD166" s="98"/>
      <c r="QE166" s="98"/>
      <c r="QF166" s="98"/>
      <c r="QG166" s="98"/>
      <c r="QH166" s="98"/>
      <c r="QI166" s="98"/>
      <c r="QJ166" s="98"/>
      <c r="QK166" s="98"/>
      <c r="QL166" s="98"/>
      <c r="QM166" s="98"/>
      <c r="QN166" s="98"/>
      <c r="QO166" s="98"/>
      <c r="QP166" s="98"/>
      <c r="QQ166" s="98"/>
      <c r="QR166" s="98"/>
      <c r="QS166" s="98"/>
      <c r="QT166" s="98"/>
      <c r="QU166" s="98"/>
      <c r="QV166" s="98"/>
      <c r="QW166" s="98"/>
      <c r="QX166" s="98"/>
      <c r="QY166" s="98"/>
      <c r="QZ166" s="98"/>
      <c r="RA166" s="98"/>
      <c r="RB166" s="98"/>
      <c r="RC166" s="98"/>
      <c r="RD166" s="98"/>
      <c r="RE166" s="98"/>
      <c r="RF166" s="98"/>
      <c r="RG166" s="98"/>
      <c r="RH166" s="98"/>
      <c r="RI166" s="98"/>
      <c r="RJ166" s="98"/>
      <c r="RK166" s="98"/>
      <c r="RL166" s="98"/>
      <c r="RM166" s="98"/>
      <c r="RN166" s="98"/>
      <c r="RO166" s="98"/>
      <c r="RP166" s="98"/>
      <c r="RQ166" s="98"/>
      <c r="RR166" s="98"/>
      <c r="RS166" s="98"/>
      <c r="RT166" s="98"/>
      <c r="RU166" s="98"/>
      <c r="RV166" s="98"/>
      <c r="RW166" s="98"/>
      <c r="RX166" s="98"/>
      <c r="RY166" s="98"/>
      <c r="RZ166" s="98"/>
      <c r="SA166" s="98"/>
      <c r="SB166" s="98"/>
      <c r="SC166" s="98"/>
      <c r="SD166" s="98"/>
      <c r="SE166" s="98"/>
      <c r="SF166" s="98"/>
      <c r="SG166" s="98"/>
      <c r="SH166" s="98"/>
      <c r="SI166" s="98"/>
      <c r="SJ166" s="98"/>
      <c r="SK166" s="98"/>
      <c r="SL166" s="98"/>
      <c r="SM166" s="98"/>
      <c r="SN166" s="98"/>
      <c r="SO166" s="98"/>
      <c r="SP166" s="98"/>
      <c r="SQ166" s="98"/>
      <c r="SR166" s="98"/>
    </row>
    <row r="167" spans="1:512" ht="230.25" outlineLevel="4" thickBot="1" x14ac:dyDescent="0.25">
      <c r="A167" s="43" t="s">
        <v>704</v>
      </c>
      <c r="B167" s="177"/>
      <c r="C167" s="138"/>
      <c r="D167" s="149"/>
      <c r="E167" s="87" t="s">
        <v>43</v>
      </c>
      <c r="F167" s="51" t="s">
        <v>705</v>
      </c>
      <c r="G167" s="66" t="s">
        <v>499</v>
      </c>
      <c r="H167" s="26" t="s">
        <v>147</v>
      </c>
      <c r="I167" s="27">
        <v>1</v>
      </c>
      <c r="J167" s="70" t="s">
        <v>463</v>
      </c>
      <c r="K167" s="29" t="s">
        <v>487</v>
      </c>
      <c r="L167" s="30">
        <v>1</v>
      </c>
      <c r="M167" s="89">
        <f>I167*L167</f>
        <v>1</v>
      </c>
      <c r="N167" s="32" t="s">
        <v>39</v>
      </c>
      <c r="O167" s="53" t="s">
        <v>76</v>
      </c>
      <c r="P167" s="90">
        <v>5</v>
      </c>
      <c r="Q167" s="97">
        <f t="shared" si="9"/>
        <v>5</v>
      </c>
      <c r="R167" s="72"/>
      <c r="S167" s="72"/>
      <c r="T167" s="72"/>
      <c r="U167" s="50"/>
      <c r="V167" s="51"/>
      <c r="W167" s="52"/>
      <c r="X167" s="51"/>
      <c r="Y167" s="51"/>
      <c r="Z167" s="53"/>
      <c r="AA167" s="40"/>
      <c r="AB167" s="41"/>
      <c r="AD167" s="17">
        <f t="shared" si="17"/>
        <v>16638</v>
      </c>
      <c r="AE167" s="18"/>
      <c r="LZ167" s="98"/>
      <c r="MA167" s="98"/>
      <c r="MB167" s="98"/>
      <c r="MC167" s="98"/>
      <c r="MD167" s="98"/>
      <c r="ME167" s="98"/>
      <c r="MF167" s="98"/>
      <c r="MG167" s="98"/>
      <c r="MH167" s="98"/>
      <c r="MI167" s="98"/>
      <c r="MJ167" s="98"/>
      <c r="MK167" s="98"/>
      <c r="ML167" s="98"/>
      <c r="MM167" s="98"/>
      <c r="MN167" s="98"/>
      <c r="MO167" s="98"/>
      <c r="MP167" s="98"/>
      <c r="MQ167" s="98"/>
      <c r="MR167" s="98"/>
      <c r="MS167" s="98"/>
      <c r="MT167" s="98"/>
      <c r="MU167" s="98"/>
      <c r="MV167" s="98"/>
      <c r="MW167" s="98"/>
      <c r="MX167" s="98"/>
      <c r="MY167" s="98"/>
      <c r="MZ167" s="98"/>
      <c r="NA167" s="98"/>
      <c r="NB167" s="98"/>
      <c r="NC167" s="98"/>
      <c r="ND167" s="98"/>
      <c r="NE167" s="98"/>
      <c r="NF167" s="98"/>
      <c r="NG167" s="98"/>
      <c r="NH167" s="98"/>
      <c r="NI167" s="98"/>
      <c r="NJ167" s="98"/>
      <c r="NK167" s="98"/>
      <c r="NL167" s="98"/>
      <c r="NM167" s="98"/>
      <c r="NN167" s="98"/>
      <c r="NO167" s="98"/>
      <c r="NP167" s="98"/>
      <c r="NQ167" s="98"/>
      <c r="NR167" s="98"/>
      <c r="NS167" s="98"/>
      <c r="NT167" s="98"/>
      <c r="NU167" s="98"/>
      <c r="NV167" s="98"/>
      <c r="NW167" s="98"/>
      <c r="NX167" s="98"/>
      <c r="NY167" s="98"/>
      <c r="NZ167" s="98"/>
      <c r="OA167" s="98"/>
      <c r="OB167" s="98"/>
      <c r="OC167" s="98"/>
      <c r="OD167" s="98"/>
      <c r="OE167" s="98"/>
      <c r="OF167" s="98"/>
      <c r="OG167" s="98"/>
      <c r="OH167" s="98"/>
      <c r="OI167" s="98"/>
      <c r="OJ167" s="98"/>
      <c r="OK167" s="98"/>
      <c r="OL167" s="98"/>
      <c r="OM167" s="98"/>
      <c r="ON167" s="98"/>
      <c r="OO167" s="98"/>
      <c r="OP167" s="98"/>
      <c r="OQ167" s="98"/>
      <c r="OR167" s="98"/>
      <c r="OS167" s="98"/>
      <c r="OT167" s="98"/>
      <c r="OU167" s="98"/>
      <c r="OV167" s="98"/>
      <c r="OW167" s="98"/>
      <c r="OX167" s="98"/>
      <c r="OY167" s="98"/>
      <c r="OZ167" s="98"/>
      <c r="PA167" s="98"/>
      <c r="PB167" s="98"/>
      <c r="PC167" s="98"/>
      <c r="PD167" s="98"/>
      <c r="PE167" s="98"/>
      <c r="PF167" s="98"/>
      <c r="PG167" s="98"/>
      <c r="PH167" s="98"/>
      <c r="PI167" s="98"/>
      <c r="PJ167" s="98"/>
      <c r="PK167" s="98"/>
      <c r="PL167" s="98"/>
      <c r="PM167" s="98"/>
      <c r="PN167" s="98"/>
      <c r="PO167" s="98"/>
      <c r="PP167" s="98"/>
      <c r="PQ167" s="98"/>
      <c r="PR167" s="98"/>
      <c r="PS167" s="98"/>
      <c r="PT167" s="98"/>
      <c r="PU167" s="98"/>
      <c r="PV167" s="98"/>
      <c r="PW167" s="98"/>
      <c r="PX167" s="98"/>
      <c r="PY167" s="98"/>
      <c r="PZ167" s="98"/>
      <c r="QA167" s="98"/>
      <c r="QB167" s="98"/>
      <c r="QC167" s="98"/>
      <c r="QD167" s="98"/>
      <c r="QE167" s="98"/>
      <c r="QF167" s="98"/>
      <c r="QG167" s="98"/>
      <c r="QH167" s="98"/>
      <c r="QI167" s="98"/>
      <c r="QJ167" s="98"/>
      <c r="QK167" s="98"/>
      <c r="QL167" s="98"/>
      <c r="QM167" s="98"/>
      <c r="QN167" s="98"/>
      <c r="QO167" s="98"/>
      <c r="QP167" s="98"/>
      <c r="QQ167" s="98"/>
      <c r="QR167" s="98"/>
      <c r="QS167" s="98"/>
      <c r="QT167" s="98"/>
      <c r="QU167" s="98"/>
      <c r="QV167" s="98"/>
      <c r="QW167" s="98"/>
      <c r="QX167" s="98"/>
      <c r="QY167" s="98"/>
      <c r="QZ167" s="98"/>
      <c r="RA167" s="98"/>
      <c r="RB167" s="98"/>
      <c r="RC167" s="98"/>
      <c r="RD167" s="98"/>
      <c r="RE167" s="98"/>
      <c r="RF167" s="98"/>
      <c r="RG167" s="98"/>
      <c r="RH167" s="98"/>
      <c r="RI167" s="98"/>
      <c r="RJ167" s="98"/>
      <c r="RK167" s="98"/>
      <c r="RL167" s="98"/>
      <c r="RM167" s="98"/>
      <c r="RN167" s="98"/>
      <c r="RO167" s="98"/>
      <c r="RP167" s="98"/>
      <c r="RQ167" s="98"/>
      <c r="RR167" s="98"/>
      <c r="RS167" s="98"/>
      <c r="RT167" s="98"/>
      <c r="RU167" s="98"/>
      <c r="RV167" s="98"/>
      <c r="RW167" s="98"/>
      <c r="RX167" s="98"/>
      <c r="RY167" s="98"/>
      <c r="RZ167" s="98"/>
      <c r="SA167" s="98"/>
      <c r="SB167" s="98"/>
      <c r="SC167" s="98"/>
      <c r="SD167" s="98"/>
      <c r="SE167" s="98"/>
      <c r="SF167" s="98"/>
      <c r="SG167" s="98"/>
      <c r="SH167" s="98"/>
      <c r="SI167" s="98"/>
      <c r="SJ167" s="98"/>
      <c r="SK167" s="98"/>
      <c r="SL167" s="98"/>
      <c r="SM167" s="98"/>
      <c r="SN167" s="98"/>
      <c r="SO167" s="98"/>
      <c r="SP167" s="98"/>
      <c r="SQ167" s="98"/>
      <c r="SR167" s="98"/>
    </row>
    <row r="168" spans="1:512" ht="230.25" outlineLevel="4" thickBot="1" x14ac:dyDescent="0.25">
      <c r="A168" s="43" t="s">
        <v>706</v>
      </c>
      <c r="B168" s="177"/>
      <c r="C168" s="138"/>
      <c r="D168" s="149"/>
      <c r="E168" s="87" t="s">
        <v>466</v>
      </c>
      <c r="F168" s="51" t="s">
        <v>707</v>
      </c>
      <c r="G168" s="37" t="s">
        <v>457</v>
      </c>
      <c r="H168" s="88" t="s">
        <v>127</v>
      </c>
      <c r="I168" s="92">
        <v>3</v>
      </c>
      <c r="J168" s="70" t="s">
        <v>468</v>
      </c>
      <c r="K168" s="93" t="s">
        <v>469</v>
      </c>
      <c r="L168" s="71">
        <v>2</v>
      </c>
      <c r="M168" s="89">
        <f t="shared" ref="M168:M197" si="24">I168*L168</f>
        <v>6</v>
      </c>
      <c r="N168" s="32" t="s">
        <v>39</v>
      </c>
      <c r="O168" s="53" t="s">
        <v>686</v>
      </c>
      <c r="P168" s="94">
        <v>2</v>
      </c>
      <c r="Q168" s="97">
        <f t="shared" si="9"/>
        <v>12</v>
      </c>
      <c r="R168" s="72"/>
      <c r="S168" s="72"/>
      <c r="T168" s="72"/>
      <c r="U168" s="50"/>
      <c r="V168" s="51"/>
      <c r="W168" s="52"/>
      <c r="X168" s="51"/>
      <c r="Y168" s="51"/>
      <c r="Z168" s="53"/>
      <c r="AA168" s="40"/>
      <c r="AB168" s="41"/>
      <c r="AD168" s="17">
        <f t="shared" si="17"/>
        <v>16639</v>
      </c>
      <c r="AE168" s="18"/>
      <c r="LZ168" s="98"/>
      <c r="MA168" s="98"/>
      <c r="MB168" s="98"/>
      <c r="MC168" s="98"/>
      <c r="MD168" s="98"/>
      <c r="ME168" s="98"/>
      <c r="MF168" s="98"/>
      <c r="MG168" s="98"/>
      <c r="MH168" s="98"/>
      <c r="MI168" s="98"/>
      <c r="MJ168" s="98"/>
      <c r="MK168" s="98"/>
      <c r="ML168" s="98"/>
      <c r="MM168" s="98"/>
      <c r="MN168" s="98"/>
      <c r="MO168" s="98"/>
      <c r="MP168" s="98"/>
      <c r="MQ168" s="98"/>
      <c r="MR168" s="98"/>
      <c r="MS168" s="98"/>
      <c r="MT168" s="98"/>
      <c r="MU168" s="98"/>
      <c r="MV168" s="98"/>
      <c r="MW168" s="98"/>
      <c r="MX168" s="98"/>
      <c r="MY168" s="98"/>
      <c r="MZ168" s="98"/>
      <c r="NA168" s="98"/>
      <c r="NB168" s="98"/>
      <c r="NC168" s="98"/>
      <c r="ND168" s="98"/>
      <c r="NE168" s="98"/>
      <c r="NF168" s="98"/>
      <c r="NG168" s="98"/>
      <c r="NH168" s="98"/>
      <c r="NI168" s="98"/>
      <c r="NJ168" s="98"/>
      <c r="NK168" s="98"/>
      <c r="NL168" s="98"/>
      <c r="NM168" s="98"/>
      <c r="NN168" s="98"/>
      <c r="NO168" s="98"/>
      <c r="NP168" s="98"/>
      <c r="NQ168" s="98"/>
      <c r="NR168" s="98"/>
      <c r="NS168" s="98"/>
      <c r="NT168" s="98"/>
      <c r="NU168" s="98"/>
      <c r="NV168" s="98"/>
      <c r="NW168" s="98"/>
      <c r="NX168" s="98"/>
      <c r="NY168" s="98"/>
      <c r="NZ168" s="98"/>
      <c r="OA168" s="98"/>
      <c r="OB168" s="98"/>
      <c r="OC168" s="98"/>
      <c r="OD168" s="98"/>
      <c r="OE168" s="98"/>
      <c r="OF168" s="98"/>
      <c r="OG168" s="98"/>
      <c r="OH168" s="98"/>
      <c r="OI168" s="98"/>
      <c r="OJ168" s="98"/>
      <c r="OK168" s="98"/>
      <c r="OL168" s="98"/>
      <c r="OM168" s="98"/>
      <c r="ON168" s="98"/>
      <c r="OO168" s="98"/>
      <c r="OP168" s="98"/>
      <c r="OQ168" s="98"/>
      <c r="OR168" s="98"/>
      <c r="OS168" s="98"/>
      <c r="OT168" s="98"/>
      <c r="OU168" s="98"/>
      <c r="OV168" s="98"/>
      <c r="OW168" s="98"/>
      <c r="OX168" s="98"/>
      <c r="OY168" s="98"/>
      <c r="OZ168" s="98"/>
      <c r="PA168" s="98"/>
      <c r="PB168" s="98"/>
      <c r="PC168" s="98"/>
      <c r="PD168" s="98"/>
      <c r="PE168" s="98"/>
      <c r="PF168" s="98"/>
      <c r="PG168" s="98"/>
      <c r="PH168" s="98"/>
      <c r="PI168" s="98"/>
      <c r="PJ168" s="98"/>
      <c r="PK168" s="98"/>
      <c r="PL168" s="98"/>
      <c r="PM168" s="98"/>
      <c r="PN168" s="98"/>
      <c r="PO168" s="98"/>
      <c r="PP168" s="98"/>
      <c r="PQ168" s="98"/>
      <c r="PR168" s="98"/>
      <c r="PS168" s="98"/>
      <c r="PT168" s="98"/>
      <c r="PU168" s="98"/>
      <c r="PV168" s="98"/>
      <c r="PW168" s="98"/>
      <c r="PX168" s="98"/>
      <c r="PY168" s="98"/>
      <c r="PZ168" s="98"/>
      <c r="QA168" s="98"/>
      <c r="QB168" s="98"/>
      <c r="QC168" s="98"/>
      <c r="QD168" s="98"/>
      <c r="QE168" s="98"/>
      <c r="QF168" s="98"/>
      <c r="QG168" s="98"/>
      <c r="QH168" s="98"/>
      <c r="QI168" s="98"/>
      <c r="QJ168" s="98"/>
      <c r="QK168" s="98"/>
      <c r="QL168" s="98"/>
      <c r="QM168" s="98"/>
      <c r="QN168" s="98"/>
      <c r="QO168" s="98"/>
      <c r="QP168" s="98"/>
      <c r="QQ168" s="98"/>
      <c r="QR168" s="98"/>
      <c r="QS168" s="98"/>
      <c r="QT168" s="98"/>
      <c r="QU168" s="98"/>
      <c r="QV168" s="98"/>
      <c r="QW168" s="98"/>
      <c r="QX168" s="98"/>
      <c r="QY168" s="98"/>
      <c r="QZ168" s="98"/>
      <c r="RA168" s="98"/>
      <c r="RB168" s="98"/>
      <c r="RC168" s="98"/>
      <c r="RD168" s="98"/>
      <c r="RE168" s="98"/>
      <c r="RF168" s="98"/>
      <c r="RG168" s="98"/>
      <c r="RH168" s="98"/>
      <c r="RI168" s="98"/>
      <c r="RJ168" s="98"/>
      <c r="RK168" s="98"/>
      <c r="RL168" s="98"/>
      <c r="RM168" s="98"/>
      <c r="RN168" s="98"/>
      <c r="RO168" s="98"/>
      <c r="RP168" s="98"/>
      <c r="RQ168" s="98"/>
      <c r="RR168" s="98"/>
      <c r="RS168" s="98"/>
      <c r="RT168" s="98"/>
      <c r="RU168" s="98"/>
      <c r="RV168" s="98"/>
      <c r="RW168" s="98"/>
      <c r="RX168" s="98"/>
      <c r="RY168" s="98"/>
      <c r="RZ168" s="98"/>
      <c r="SA168" s="98"/>
      <c r="SB168" s="98"/>
      <c r="SC168" s="98"/>
      <c r="SD168" s="98"/>
      <c r="SE168" s="98"/>
      <c r="SF168" s="98"/>
      <c r="SG168" s="98"/>
      <c r="SH168" s="98"/>
      <c r="SI168" s="98"/>
      <c r="SJ168" s="98"/>
      <c r="SK168" s="98"/>
      <c r="SL168" s="98"/>
      <c r="SM168" s="98"/>
      <c r="SN168" s="98"/>
      <c r="SO168" s="98"/>
      <c r="SP168" s="98"/>
      <c r="SQ168" s="98"/>
      <c r="SR168" s="98"/>
    </row>
    <row r="169" spans="1:512" ht="230.25" outlineLevel="4" thickBot="1" x14ac:dyDescent="0.25">
      <c r="A169" s="43" t="s">
        <v>708</v>
      </c>
      <c r="B169" s="177" t="s">
        <v>682</v>
      </c>
      <c r="C169" s="138" t="s">
        <v>709</v>
      </c>
      <c r="D169" s="149" t="s">
        <v>710</v>
      </c>
      <c r="E169" s="87" t="s">
        <v>33</v>
      </c>
      <c r="F169" s="74" t="s">
        <v>710</v>
      </c>
      <c r="G169" s="66" t="s">
        <v>499</v>
      </c>
      <c r="H169" s="26" t="s">
        <v>147</v>
      </c>
      <c r="I169" s="27">
        <v>1</v>
      </c>
      <c r="J169" s="70" t="s">
        <v>463</v>
      </c>
      <c r="K169" s="29" t="s">
        <v>496</v>
      </c>
      <c r="L169" s="71">
        <v>1</v>
      </c>
      <c r="M169" s="89">
        <f t="shared" si="24"/>
        <v>1</v>
      </c>
      <c r="N169" s="32" t="s">
        <v>39</v>
      </c>
      <c r="O169" s="53" t="s">
        <v>76</v>
      </c>
      <c r="P169" s="90">
        <v>5</v>
      </c>
      <c r="Q169" s="97">
        <f t="shared" si="9"/>
        <v>5</v>
      </c>
      <c r="R169" s="72"/>
      <c r="S169" s="72"/>
      <c r="T169" s="72"/>
      <c r="U169" s="50"/>
      <c r="V169" s="51"/>
      <c r="W169" s="52"/>
      <c r="X169" s="51"/>
      <c r="Y169" s="51"/>
      <c r="Z169" s="53"/>
      <c r="AA169" s="40"/>
      <c r="AB169" s="41"/>
      <c r="AD169" s="17">
        <f t="shared" si="17"/>
        <v>16640</v>
      </c>
      <c r="AE169" s="18"/>
      <c r="LZ169" s="98"/>
      <c r="MA169" s="98"/>
      <c r="MB169" s="98"/>
      <c r="MC169" s="98"/>
      <c r="MD169" s="98"/>
      <c r="ME169" s="98"/>
      <c r="MF169" s="98"/>
      <c r="MG169" s="98"/>
      <c r="MH169" s="98"/>
      <c r="MI169" s="98"/>
      <c r="MJ169" s="98"/>
      <c r="MK169" s="98"/>
      <c r="ML169" s="98"/>
      <c r="MM169" s="98"/>
      <c r="MN169" s="98"/>
      <c r="MO169" s="98"/>
      <c r="MP169" s="98"/>
      <c r="MQ169" s="98"/>
      <c r="MR169" s="98"/>
      <c r="MS169" s="98"/>
      <c r="MT169" s="98"/>
      <c r="MU169" s="98"/>
      <c r="MV169" s="98"/>
      <c r="MW169" s="98"/>
      <c r="MX169" s="98"/>
      <c r="MY169" s="98"/>
      <c r="MZ169" s="98"/>
      <c r="NA169" s="98"/>
      <c r="NB169" s="98"/>
      <c r="NC169" s="98"/>
      <c r="ND169" s="98"/>
      <c r="NE169" s="98"/>
      <c r="NF169" s="98"/>
      <c r="NG169" s="98"/>
      <c r="NH169" s="98"/>
      <c r="NI169" s="98"/>
      <c r="NJ169" s="98"/>
      <c r="NK169" s="98"/>
      <c r="NL169" s="98"/>
      <c r="NM169" s="98"/>
      <c r="NN169" s="98"/>
      <c r="NO169" s="98"/>
      <c r="NP169" s="98"/>
      <c r="NQ169" s="98"/>
      <c r="NR169" s="98"/>
      <c r="NS169" s="98"/>
      <c r="NT169" s="98"/>
      <c r="NU169" s="98"/>
      <c r="NV169" s="98"/>
      <c r="NW169" s="98"/>
      <c r="NX169" s="98"/>
      <c r="NY169" s="98"/>
      <c r="NZ169" s="98"/>
      <c r="OA169" s="98"/>
      <c r="OB169" s="98"/>
      <c r="OC169" s="98"/>
      <c r="OD169" s="98"/>
      <c r="OE169" s="98"/>
      <c r="OF169" s="98"/>
      <c r="OG169" s="98"/>
      <c r="OH169" s="98"/>
      <c r="OI169" s="98"/>
      <c r="OJ169" s="98"/>
      <c r="OK169" s="98"/>
      <c r="OL169" s="98"/>
      <c r="OM169" s="98"/>
      <c r="ON169" s="98"/>
      <c r="OO169" s="98"/>
      <c r="OP169" s="98"/>
      <c r="OQ169" s="98"/>
      <c r="OR169" s="98"/>
      <c r="OS169" s="98"/>
      <c r="OT169" s="98"/>
      <c r="OU169" s="98"/>
      <c r="OV169" s="98"/>
      <c r="OW169" s="98"/>
      <c r="OX169" s="98"/>
      <c r="OY169" s="98"/>
      <c r="OZ169" s="98"/>
      <c r="PA169" s="98"/>
      <c r="PB169" s="98"/>
      <c r="PC169" s="98"/>
      <c r="PD169" s="98"/>
      <c r="PE169" s="98"/>
      <c r="PF169" s="98"/>
      <c r="PG169" s="98"/>
      <c r="PH169" s="98"/>
      <c r="PI169" s="98"/>
      <c r="PJ169" s="98"/>
      <c r="PK169" s="98"/>
      <c r="PL169" s="98"/>
      <c r="PM169" s="98"/>
      <c r="PN169" s="98"/>
      <c r="PO169" s="98"/>
      <c r="PP169" s="98"/>
      <c r="PQ169" s="98"/>
      <c r="PR169" s="98"/>
      <c r="PS169" s="98"/>
      <c r="PT169" s="98"/>
      <c r="PU169" s="98"/>
      <c r="PV169" s="98"/>
      <c r="PW169" s="98"/>
      <c r="PX169" s="98"/>
      <c r="PY169" s="98"/>
      <c r="PZ169" s="98"/>
      <c r="QA169" s="98"/>
      <c r="QB169" s="98"/>
      <c r="QC169" s="98"/>
      <c r="QD169" s="98"/>
      <c r="QE169" s="98"/>
      <c r="QF169" s="98"/>
      <c r="QG169" s="98"/>
      <c r="QH169" s="98"/>
      <c r="QI169" s="98"/>
      <c r="QJ169" s="98"/>
      <c r="QK169" s="98"/>
      <c r="QL169" s="98"/>
      <c r="QM169" s="98"/>
      <c r="QN169" s="98"/>
      <c r="QO169" s="98"/>
      <c r="QP169" s="98"/>
      <c r="QQ169" s="98"/>
      <c r="QR169" s="98"/>
      <c r="QS169" s="98"/>
      <c r="QT169" s="98"/>
      <c r="QU169" s="98"/>
      <c r="QV169" s="98"/>
      <c r="QW169" s="98"/>
      <c r="QX169" s="98"/>
      <c r="QY169" s="98"/>
      <c r="QZ169" s="98"/>
      <c r="RA169" s="98"/>
      <c r="RB169" s="98"/>
      <c r="RC169" s="98"/>
      <c r="RD169" s="98"/>
      <c r="RE169" s="98"/>
      <c r="RF169" s="98"/>
      <c r="RG169" s="98"/>
      <c r="RH169" s="98"/>
      <c r="RI169" s="98"/>
      <c r="RJ169" s="98"/>
      <c r="RK169" s="98"/>
      <c r="RL169" s="98"/>
      <c r="RM169" s="98"/>
      <c r="RN169" s="98"/>
      <c r="RO169" s="98"/>
      <c r="RP169" s="98"/>
      <c r="RQ169" s="98"/>
      <c r="RR169" s="98"/>
      <c r="RS169" s="98"/>
      <c r="RT169" s="98"/>
      <c r="RU169" s="98"/>
      <c r="RV169" s="98"/>
      <c r="RW169" s="98"/>
      <c r="RX169" s="98"/>
      <c r="RY169" s="98"/>
      <c r="RZ169" s="98"/>
      <c r="SA169" s="98"/>
      <c r="SB169" s="98"/>
      <c r="SC169" s="98"/>
      <c r="SD169" s="98"/>
      <c r="SE169" s="98"/>
      <c r="SF169" s="98"/>
      <c r="SG169" s="98"/>
      <c r="SH169" s="98"/>
      <c r="SI169" s="98"/>
      <c r="SJ169" s="98"/>
      <c r="SK169" s="98"/>
      <c r="SL169" s="98"/>
      <c r="SM169" s="98"/>
      <c r="SN169" s="98"/>
      <c r="SO169" s="98"/>
      <c r="SP169" s="98"/>
      <c r="SQ169" s="98"/>
      <c r="SR169" s="98"/>
    </row>
    <row r="170" spans="1:512" ht="230.25" outlineLevel="4" thickBot="1" x14ac:dyDescent="0.25">
      <c r="A170" s="43" t="s">
        <v>711</v>
      </c>
      <c r="B170" s="177"/>
      <c r="C170" s="138"/>
      <c r="D170" s="149"/>
      <c r="E170" s="87" t="s">
        <v>43</v>
      </c>
      <c r="F170" s="74" t="s">
        <v>710</v>
      </c>
      <c r="G170" s="66" t="s">
        <v>499</v>
      </c>
      <c r="H170" s="26" t="s">
        <v>147</v>
      </c>
      <c r="I170" s="27">
        <v>1</v>
      </c>
      <c r="J170" s="70" t="s">
        <v>463</v>
      </c>
      <c r="K170" s="29" t="s">
        <v>487</v>
      </c>
      <c r="L170" s="30">
        <v>1</v>
      </c>
      <c r="M170" s="89">
        <f t="shared" si="24"/>
        <v>1</v>
      </c>
      <c r="N170" s="32" t="s">
        <v>39</v>
      </c>
      <c r="O170" s="53" t="s">
        <v>76</v>
      </c>
      <c r="P170" s="90">
        <v>5</v>
      </c>
      <c r="Q170" s="97">
        <f t="shared" si="9"/>
        <v>5</v>
      </c>
      <c r="R170" s="72"/>
      <c r="S170" s="72"/>
      <c r="T170" s="72"/>
      <c r="U170" s="50"/>
      <c r="V170" s="51"/>
      <c r="W170" s="52"/>
      <c r="X170" s="51"/>
      <c r="Y170" s="51"/>
      <c r="Z170" s="53"/>
      <c r="AA170" s="40"/>
      <c r="AB170" s="41"/>
      <c r="AD170" s="17">
        <f t="shared" si="17"/>
        <v>16641</v>
      </c>
      <c r="AE170" s="18"/>
      <c r="LZ170" s="98"/>
      <c r="MA170" s="98"/>
      <c r="MB170" s="98"/>
      <c r="MC170" s="98"/>
      <c r="MD170" s="98"/>
      <c r="ME170" s="98"/>
      <c r="MF170" s="98"/>
      <c r="MG170" s="98"/>
      <c r="MH170" s="98"/>
      <c r="MI170" s="98"/>
      <c r="MJ170" s="98"/>
      <c r="MK170" s="98"/>
      <c r="ML170" s="98"/>
      <c r="MM170" s="98"/>
      <c r="MN170" s="98"/>
      <c r="MO170" s="98"/>
      <c r="MP170" s="98"/>
      <c r="MQ170" s="98"/>
      <c r="MR170" s="98"/>
      <c r="MS170" s="98"/>
      <c r="MT170" s="98"/>
      <c r="MU170" s="98"/>
      <c r="MV170" s="98"/>
      <c r="MW170" s="98"/>
      <c r="MX170" s="98"/>
      <c r="MY170" s="98"/>
      <c r="MZ170" s="98"/>
      <c r="NA170" s="98"/>
      <c r="NB170" s="98"/>
      <c r="NC170" s="98"/>
      <c r="ND170" s="98"/>
      <c r="NE170" s="98"/>
      <c r="NF170" s="98"/>
      <c r="NG170" s="98"/>
      <c r="NH170" s="98"/>
      <c r="NI170" s="98"/>
      <c r="NJ170" s="98"/>
      <c r="NK170" s="98"/>
      <c r="NL170" s="98"/>
      <c r="NM170" s="98"/>
      <c r="NN170" s="98"/>
      <c r="NO170" s="98"/>
      <c r="NP170" s="98"/>
      <c r="NQ170" s="98"/>
      <c r="NR170" s="98"/>
      <c r="NS170" s="98"/>
      <c r="NT170" s="98"/>
      <c r="NU170" s="98"/>
      <c r="NV170" s="98"/>
      <c r="NW170" s="98"/>
      <c r="NX170" s="98"/>
      <c r="NY170" s="98"/>
      <c r="NZ170" s="98"/>
      <c r="OA170" s="98"/>
      <c r="OB170" s="98"/>
      <c r="OC170" s="98"/>
      <c r="OD170" s="98"/>
      <c r="OE170" s="98"/>
      <c r="OF170" s="98"/>
      <c r="OG170" s="98"/>
      <c r="OH170" s="98"/>
      <c r="OI170" s="98"/>
      <c r="OJ170" s="98"/>
      <c r="OK170" s="98"/>
      <c r="OL170" s="98"/>
      <c r="OM170" s="98"/>
      <c r="ON170" s="98"/>
      <c r="OO170" s="98"/>
      <c r="OP170" s="98"/>
      <c r="OQ170" s="98"/>
      <c r="OR170" s="98"/>
      <c r="OS170" s="98"/>
      <c r="OT170" s="98"/>
      <c r="OU170" s="98"/>
      <c r="OV170" s="98"/>
      <c r="OW170" s="98"/>
      <c r="OX170" s="98"/>
      <c r="OY170" s="98"/>
      <c r="OZ170" s="98"/>
      <c r="PA170" s="98"/>
      <c r="PB170" s="98"/>
      <c r="PC170" s="98"/>
      <c r="PD170" s="98"/>
      <c r="PE170" s="98"/>
      <c r="PF170" s="98"/>
      <c r="PG170" s="98"/>
      <c r="PH170" s="98"/>
      <c r="PI170" s="98"/>
      <c r="PJ170" s="98"/>
      <c r="PK170" s="98"/>
      <c r="PL170" s="98"/>
      <c r="PM170" s="98"/>
      <c r="PN170" s="98"/>
      <c r="PO170" s="98"/>
      <c r="PP170" s="98"/>
      <c r="PQ170" s="98"/>
      <c r="PR170" s="98"/>
      <c r="PS170" s="98"/>
      <c r="PT170" s="98"/>
      <c r="PU170" s="98"/>
      <c r="PV170" s="98"/>
      <c r="PW170" s="98"/>
      <c r="PX170" s="98"/>
      <c r="PY170" s="98"/>
      <c r="PZ170" s="98"/>
      <c r="QA170" s="98"/>
      <c r="QB170" s="98"/>
      <c r="QC170" s="98"/>
      <c r="QD170" s="98"/>
      <c r="QE170" s="98"/>
      <c r="QF170" s="98"/>
      <c r="QG170" s="98"/>
      <c r="QH170" s="98"/>
      <c r="QI170" s="98"/>
      <c r="QJ170" s="98"/>
      <c r="QK170" s="98"/>
      <c r="QL170" s="98"/>
      <c r="QM170" s="98"/>
      <c r="QN170" s="98"/>
      <c r="QO170" s="98"/>
      <c r="QP170" s="98"/>
      <c r="QQ170" s="98"/>
      <c r="QR170" s="98"/>
      <c r="QS170" s="98"/>
      <c r="QT170" s="98"/>
      <c r="QU170" s="98"/>
      <c r="QV170" s="98"/>
      <c r="QW170" s="98"/>
      <c r="QX170" s="98"/>
      <c r="QY170" s="98"/>
      <c r="QZ170" s="98"/>
      <c r="RA170" s="98"/>
      <c r="RB170" s="98"/>
      <c r="RC170" s="98"/>
      <c r="RD170" s="98"/>
      <c r="RE170" s="98"/>
      <c r="RF170" s="98"/>
      <c r="RG170" s="98"/>
      <c r="RH170" s="98"/>
      <c r="RI170" s="98"/>
      <c r="RJ170" s="98"/>
      <c r="RK170" s="98"/>
      <c r="RL170" s="98"/>
      <c r="RM170" s="98"/>
      <c r="RN170" s="98"/>
      <c r="RO170" s="98"/>
      <c r="RP170" s="98"/>
      <c r="RQ170" s="98"/>
      <c r="RR170" s="98"/>
      <c r="RS170" s="98"/>
      <c r="RT170" s="98"/>
      <c r="RU170" s="98"/>
      <c r="RV170" s="98"/>
      <c r="RW170" s="98"/>
      <c r="RX170" s="98"/>
      <c r="RY170" s="98"/>
      <c r="RZ170" s="98"/>
      <c r="SA170" s="98"/>
      <c r="SB170" s="98"/>
      <c r="SC170" s="98"/>
      <c r="SD170" s="98"/>
      <c r="SE170" s="98"/>
      <c r="SF170" s="98"/>
      <c r="SG170" s="98"/>
      <c r="SH170" s="98"/>
      <c r="SI170" s="98"/>
      <c r="SJ170" s="98"/>
      <c r="SK170" s="98"/>
      <c r="SL170" s="98"/>
      <c r="SM170" s="98"/>
      <c r="SN170" s="98"/>
      <c r="SO170" s="98"/>
      <c r="SP170" s="98"/>
      <c r="SQ170" s="98"/>
      <c r="SR170" s="98"/>
    </row>
    <row r="171" spans="1:512" ht="230.25" outlineLevel="4" thickBot="1" x14ac:dyDescent="0.25">
      <c r="A171" s="43" t="s">
        <v>712</v>
      </c>
      <c r="B171" s="177"/>
      <c r="C171" s="138"/>
      <c r="D171" s="149"/>
      <c r="E171" s="87" t="s">
        <v>466</v>
      </c>
      <c r="F171" s="74" t="s">
        <v>710</v>
      </c>
      <c r="G171" s="66" t="s">
        <v>499</v>
      </c>
      <c r="H171" s="26" t="s">
        <v>147</v>
      </c>
      <c r="I171" s="27">
        <v>1</v>
      </c>
      <c r="J171" s="70" t="s">
        <v>468</v>
      </c>
      <c r="K171" s="93" t="s">
        <v>469</v>
      </c>
      <c r="L171" s="71">
        <v>2</v>
      </c>
      <c r="M171" s="89">
        <f t="shared" si="24"/>
        <v>2</v>
      </c>
      <c r="N171" s="32" t="s">
        <v>39</v>
      </c>
      <c r="O171" s="53" t="s">
        <v>76</v>
      </c>
      <c r="P171" s="90">
        <v>5</v>
      </c>
      <c r="Q171" s="97">
        <f t="shared" si="9"/>
        <v>10</v>
      </c>
      <c r="R171" s="72"/>
      <c r="S171" s="72"/>
      <c r="T171" s="72"/>
      <c r="U171" s="50"/>
      <c r="V171" s="51"/>
      <c r="W171" s="52"/>
      <c r="X171" s="51"/>
      <c r="Y171" s="51"/>
      <c r="Z171" s="53"/>
      <c r="AA171" s="40"/>
      <c r="AB171" s="41"/>
      <c r="AD171" s="17">
        <f t="shared" si="17"/>
        <v>16642</v>
      </c>
      <c r="AE171" s="18"/>
      <c r="LZ171" s="98"/>
      <c r="MA171" s="98"/>
      <c r="MB171" s="98"/>
      <c r="MC171" s="98"/>
      <c r="MD171" s="98"/>
      <c r="ME171" s="98"/>
      <c r="MF171" s="98"/>
      <c r="MG171" s="98"/>
      <c r="MH171" s="98"/>
      <c r="MI171" s="98"/>
      <c r="MJ171" s="98"/>
      <c r="MK171" s="98"/>
      <c r="ML171" s="98"/>
      <c r="MM171" s="98"/>
      <c r="MN171" s="98"/>
      <c r="MO171" s="98"/>
      <c r="MP171" s="98"/>
      <c r="MQ171" s="98"/>
      <c r="MR171" s="98"/>
      <c r="MS171" s="98"/>
      <c r="MT171" s="98"/>
      <c r="MU171" s="98"/>
      <c r="MV171" s="98"/>
      <c r="MW171" s="98"/>
      <c r="MX171" s="98"/>
      <c r="MY171" s="98"/>
      <c r="MZ171" s="98"/>
      <c r="NA171" s="98"/>
      <c r="NB171" s="98"/>
      <c r="NC171" s="98"/>
      <c r="ND171" s="98"/>
      <c r="NE171" s="98"/>
      <c r="NF171" s="98"/>
      <c r="NG171" s="98"/>
      <c r="NH171" s="98"/>
      <c r="NI171" s="98"/>
      <c r="NJ171" s="98"/>
      <c r="NK171" s="98"/>
      <c r="NL171" s="98"/>
      <c r="NM171" s="98"/>
      <c r="NN171" s="98"/>
      <c r="NO171" s="98"/>
      <c r="NP171" s="98"/>
      <c r="NQ171" s="98"/>
      <c r="NR171" s="98"/>
      <c r="NS171" s="98"/>
      <c r="NT171" s="98"/>
      <c r="NU171" s="98"/>
      <c r="NV171" s="98"/>
      <c r="NW171" s="98"/>
      <c r="NX171" s="98"/>
      <c r="NY171" s="98"/>
      <c r="NZ171" s="98"/>
      <c r="OA171" s="98"/>
      <c r="OB171" s="98"/>
      <c r="OC171" s="98"/>
      <c r="OD171" s="98"/>
      <c r="OE171" s="98"/>
      <c r="OF171" s="98"/>
      <c r="OG171" s="98"/>
      <c r="OH171" s="98"/>
      <c r="OI171" s="98"/>
      <c r="OJ171" s="98"/>
      <c r="OK171" s="98"/>
      <c r="OL171" s="98"/>
      <c r="OM171" s="98"/>
      <c r="ON171" s="98"/>
      <c r="OO171" s="98"/>
      <c r="OP171" s="98"/>
      <c r="OQ171" s="98"/>
      <c r="OR171" s="98"/>
      <c r="OS171" s="98"/>
      <c r="OT171" s="98"/>
      <c r="OU171" s="98"/>
      <c r="OV171" s="98"/>
      <c r="OW171" s="98"/>
      <c r="OX171" s="98"/>
      <c r="OY171" s="98"/>
      <c r="OZ171" s="98"/>
      <c r="PA171" s="98"/>
      <c r="PB171" s="98"/>
      <c r="PC171" s="98"/>
      <c r="PD171" s="98"/>
      <c r="PE171" s="98"/>
      <c r="PF171" s="98"/>
      <c r="PG171" s="98"/>
      <c r="PH171" s="98"/>
      <c r="PI171" s="98"/>
      <c r="PJ171" s="98"/>
      <c r="PK171" s="98"/>
      <c r="PL171" s="98"/>
      <c r="PM171" s="98"/>
      <c r="PN171" s="98"/>
      <c r="PO171" s="98"/>
      <c r="PP171" s="98"/>
      <c r="PQ171" s="98"/>
      <c r="PR171" s="98"/>
      <c r="PS171" s="98"/>
      <c r="PT171" s="98"/>
      <c r="PU171" s="98"/>
      <c r="PV171" s="98"/>
      <c r="PW171" s="98"/>
      <c r="PX171" s="98"/>
      <c r="PY171" s="98"/>
      <c r="PZ171" s="98"/>
      <c r="QA171" s="98"/>
      <c r="QB171" s="98"/>
      <c r="QC171" s="98"/>
      <c r="QD171" s="98"/>
      <c r="QE171" s="98"/>
      <c r="QF171" s="98"/>
      <c r="QG171" s="98"/>
      <c r="QH171" s="98"/>
      <c r="QI171" s="98"/>
      <c r="QJ171" s="98"/>
      <c r="QK171" s="98"/>
      <c r="QL171" s="98"/>
      <c r="QM171" s="98"/>
      <c r="QN171" s="98"/>
      <c r="QO171" s="98"/>
      <c r="QP171" s="98"/>
      <c r="QQ171" s="98"/>
      <c r="QR171" s="98"/>
      <c r="QS171" s="98"/>
      <c r="QT171" s="98"/>
      <c r="QU171" s="98"/>
      <c r="QV171" s="98"/>
      <c r="QW171" s="98"/>
      <c r="QX171" s="98"/>
      <c r="QY171" s="98"/>
      <c r="QZ171" s="98"/>
      <c r="RA171" s="98"/>
      <c r="RB171" s="98"/>
      <c r="RC171" s="98"/>
      <c r="RD171" s="98"/>
      <c r="RE171" s="98"/>
      <c r="RF171" s="98"/>
      <c r="RG171" s="98"/>
      <c r="RH171" s="98"/>
      <c r="RI171" s="98"/>
      <c r="RJ171" s="98"/>
      <c r="RK171" s="98"/>
      <c r="RL171" s="98"/>
      <c r="RM171" s="98"/>
      <c r="RN171" s="98"/>
      <c r="RO171" s="98"/>
      <c r="RP171" s="98"/>
      <c r="RQ171" s="98"/>
      <c r="RR171" s="98"/>
      <c r="RS171" s="98"/>
      <c r="RT171" s="98"/>
      <c r="RU171" s="98"/>
      <c r="RV171" s="98"/>
      <c r="RW171" s="98"/>
      <c r="RX171" s="98"/>
      <c r="RY171" s="98"/>
      <c r="RZ171" s="98"/>
      <c r="SA171" s="98"/>
      <c r="SB171" s="98"/>
      <c r="SC171" s="98"/>
      <c r="SD171" s="98"/>
      <c r="SE171" s="98"/>
      <c r="SF171" s="98"/>
      <c r="SG171" s="98"/>
      <c r="SH171" s="98"/>
      <c r="SI171" s="98"/>
      <c r="SJ171" s="98"/>
      <c r="SK171" s="98"/>
      <c r="SL171" s="98"/>
      <c r="SM171" s="98"/>
      <c r="SN171" s="98"/>
      <c r="SO171" s="98"/>
      <c r="SP171" s="98"/>
      <c r="SQ171" s="98"/>
      <c r="SR171" s="98"/>
    </row>
    <row r="172" spans="1:512" ht="230.25" outlineLevel="4" thickBot="1" x14ac:dyDescent="0.25">
      <c r="A172" s="43" t="s">
        <v>713</v>
      </c>
      <c r="B172" s="178" t="s">
        <v>714</v>
      </c>
      <c r="C172" s="179" t="s">
        <v>715</v>
      </c>
      <c r="D172" s="176" t="s">
        <v>716</v>
      </c>
      <c r="E172" s="48" t="s">
        <v>506</v>
      </c>
      <c r="F172" s="74" t="s">
        <v>717</v>
      </c>
      <c r="G172" s="87" t="s">
        <v>615</v>
      </c>
      <c r="H172" s="88" t="s">
        <v>127</v>
      </c>
      <c r="I172" s="69">
        <v>3</v>
      </c>
      <c r="J172" s="70" t="s">
        <v>47</v>
      </c>
      <c r="K172" s="93" t="s">
        <v>75</v>
      </c>
      <c r="L172" s="71">
        <v>1</v>
      </c>
      <c r="M172" s="89">
        <f t="shared" si="24"/>
        <v>3</v>
      </c>
      <c r="N172" s="32" t="s">
        <v>39</v>
      </c>
      <c r="O172" s="33" t="s">
        <v>143</v>
      </c>
      <c r="P172" s="71">
        <v>2</v>
      </c>
      <c r="Q172" s="97">
        <f t="shared" si="9"/>
        <v>6</v>
      </c>
      <c r="R172" s="72"/>
      <c r="S172" s="72"/>
      <c r="T172" s="72"/>
      <c r="U172" s="50"/>
      <c r="V172" s="51"/>
      <c r="W172" s="52"/>
      <c r="X172" s="51"/>
      <c r="Y172" s="51"/>
      <c r="Z172" s="53"/>
      <c r="AA172" s="40"/>
      <c r="AB172" s="41"/>
      <c r="AD172" s="17">
        <f t="shared" si="17"/>
        <v>10528</v>
      </c>
      <c r="AE172" s="18"/>
    </row>
    <row r="173" spans="1:512" ht="230.25" outlineLevel="4" thickBot="1" x14ac:dyDescent="0.25">
      <c r="A173" s="43" t="s">
        <v>718</v>
      </c>
      <c r="B173" s="175"/>
      <c r="C173" s="172"/>
      <c r="D173" s="148"/>
      <c r="E173" s="48" t="s">
        <v>510</v>
      </c>
      <c r="F173" s="48" t="s">
        <v>719</v>
      </c>
      <c r="G173" s="48" t="s">
        <v>438</v>
      </c>
      <c r="H173" s="39" t="s">
        <v>439</v>
      </c>
      <c r="I173" s="69">
        <v>1</v>
      </c>
      <c r="J173" s="70" t="s">
        <v>47</v>
      </c>
      <c r="K173" s="93" t="s">
        <v>75</v>
      </c>
      <c r="L173" s="71">
        <v>1</v>
      </c>
      <c r="M173" s="89">
        <f t="shared" si="24"/>
        <v>1</v>
      </c>
      <c r="N173" s="32" t="s">
        <v>39</v>
      </c>
      <c r="O173" s="53" t="s">
        <v>76</v>
      </c>
      <c r="P173" s="71">
        <v>5</v>
      </c>
      <c r="Q173" s="97">
        <f t="shared" si="9"/>
        <v>5</v>
      </c>
      <c r="R173" s="72"/>
      <c r="S173" s="72"/>
      <c r="T173" s="72"/>
      <c r="U173" s="50"/>
      <c r="V173" s="51"/>
      <c r="W173" s="52"/>
      <c r="X173" s="51"/>
      <c r="Y173" s="51"/>
      <c r="Z173" s="53"/>
      <c r="AA173" s="40"/>
      <c r="AB173" s="41"/>
      <c r="AD173" s="17">
        <f t="shared" si="17"/>
        <v>10529</v>
      </c>
      <c r="AE173" s="18"/>
    </row>
    <row r="174" spans="1:512" ht="230.25" outlineLevel="4" thickBot="1" x14ac:dyDescent="0.25">
      <c r="A174" s="43" t="s">
        <v>720</v>
      </c>
      <c r="B174" s="174" t="s">
        <v>721</v>
      </c>
      <c r="C174" s="171" t="s">
        <v>722</v>
      </c>
      <c r="D174" s="147" t="s">
        <v>716</v>
      </c>
      <c r="E174" s="48" t="s">
        <v>622</v>
      </c>
      <c r="F174" s="48" t="s">
        <v>723</v>
      </c>
      <c r="G174" s="48" t="s">
        <v>438</v>
      </c>
      <c r="H174" s="39" t="s">
        <v>439</v>
      </c>
      <c r="I174" s="69">
        <v>1</v>
      </c>
      <c r="J174" s="70" t="s">
        <v>47</v>
      </c>
      <c r="K174" s="93" t="s">
        <v>75</v>
      </c>
      <c r="L174" s="71">
        <v>1</v>
      </c>
      <c r="M174" s="89">
        <f t="shared" si="24"/>
        <v>1</v>
      </c>
      <c r="N174" s="32" t="s">
        <v>39</v>
      </c>
      <c r="O174" s="53" t="s">
        <v>76</v>
      </c>
      <c r="P174" s="71">
        <v>5</v>
      </c>
      <c r="Q174" s="97">
        <f t="shared" si="9"/>
        <v>5</v>
      </c>
      <c r="R174" s="72"/>
      <c r="S174" s="72"/>
      <c r="T174" s="72"/>
      <c r="U174" s="50"/>
      <c r="V174" s="51"/>
      <c r="W174" s="52"/>
      <c r="X174" s="51"/>
      <c r="Y174" s="51"/>
      <c r="Z174" s="53"/>
      <c r="AA174" s="40"/>
      <c r="AB174" s="41"/>
      <c r="AD174" s="17">
        <f t="shared" si="17"/>
        <v>10530</v>
      </c>
      <c r="AE174" s="18"/>
    </row>
    <row r="175" spans="1:512" ht="230.25" outlineLevel="4" thickBot="1" x14ac:dyDescent="0.25">
      <c r="A175" s="43" t="s">
        <v>724</v>
      </c>
      <c r="B175" s="175"/>
      <c r="C175" s="172"/>
      <c r="D175" s="148"/>
      <c r="E175" s="48" t="s">
        <v>518</v>
      </c>
      <c r="F175" s="48" t="s">
        <v>723</v>
      </c>
      <c r="G175" s="48" t="s">
        <v>438</v>
      </c>
      <c r="H175" s="39" t="s">
        <v>439</v>
      </c>
      <c r="I175" s="69">
        <v>1</v>
      </c>
      <c r="J175" s="70" t="s">
        <v>47</v>
      </c>
      <c r="K175" s="93" t="s">
        <v>75</v>
      </c>
      <c r="L175" s="71">
        <v>1</v>
      </c>
      <c r="M175" s="89">
        <f t="shared" si="24"/>
        <v>1</v>
      </c>
      <c r="N175" s="32" t="s">
        <v>39</v>
      </c>
      <c r="O175" s="53" t="s">
        <v>76</v>
      </c>
      <c r="P175" s="71">
        <v>5</v>
      </c>
      <c r="Q175" s="97">
        <f t="shared" si="9"/>
        <v>5</v>
      </c>
      <c r="R175" s="72"/>
      <c r="S175" s="72"/>
      <c r="T175" s="72"/>
      <c r="U175" s="50"/>
      <c r="V175" s="51"/>
      <c r="W175" s="52"/>
      <c r="X175" s="51"/>
      <c r="Y175" s="51"/>
      <c r="Z175" s="53"/>
      <c r="AA175" s="40"/>
      <c r="AB175" s="41"/>
      <c r="AD175" s="17">
        <f t="shared" si="17"/>
        <v>10531</v>
      </c>
      <c r="AE175" s="18"/>
    </row>
    <row r="176" spans="1:512" ht="230.25" outlineLevel="4" thickBot="1" x14ac:dyDescent="0.25">
      <c r="A176" s="43" t="s">
        <v>725</v>
      </c>
      <c r="B176" s="174" t="s">
        <v>726</v>
      </c>
      <c r="C176" s="171" t="s">
        <v>727</v>
      </c>
      <c r="D176" s="147" t="s">
        <v>716</v>
      </c>
      <c r="E176" s="48" t="s">
        <v>622</v>
      </c>
      <c r="F176" s="48" t="s">
        <v>723</v>
      </c>
      <c r="G176" s="48" t="s">
        <v>438</v>
      </c>
      <c r="H176" s="39" t="s">
        <v>439</v>
      </c>
      <c r="I176" s="69">
        <v>1</v>
      </c>
      <c r="J176" s="70" t="s">
        <v>47</v>
      </c>
      <c r="K176" s="93" t="s">
        <v>75</v>
      </c>
      <c r="L176" s="71">
        <v>1</v>
      </c>
      <c r="M176" s="89">
        <f t="shared" si="24"/>
        <v>1</v>
      </c>
      <c r="N176" s="32" t="s">
        <v>39</v>
      </c>
      <c r="O176" s="53" t="s">
        <v>76</v>
      </c>
      <c r="P176" s="71">
        <v>5</v>
      </c>
      <c r="Q176" s="97">
        <f t="shared" si="9"/>
        <v>5</v>
      </c>
      <c r="R176" s="72"/>
      <c r="S176" s="72"/>
      <c r="T176" s="72"/>
      <c r="U176" s="50"/>
      <c r="V176" s="51"/>
      <c r="W176" s="52"/>
      <c r="X176" s="51"/>
      <c r="Y176" s="51"/>
      <c r="Z176" s="53"/>
      <c r="AA176" s="40"/>
      <c r="AB176" s="41"/>
      <c r="AD176" s="17">
        <f t="shared" si="17"/>
        <v>10532</v>
      </c>
      <c r="AE176" s="18"/>
    </row>
    <row r="177" spans="1:31" ht="230.25" outlineLevel="4" thickBot="1" x14ac:dyDescent="0.25">
      <c r="A177" s="43" t="s">
        <v>728</v>
      </c>
      <c r="B177" s="175"/>
      <c r="C177" s="172"/>
      <c r="D177" s="148"/>
      <c r="E177" s="48" t="s">
        <v>518</v>
      </c>
      <c r="F177" s="48" t="s">
        <v>729</v>
      </c>
      <c r="G177" s="87" t="s">
        <v>615</v>
      </c>
      <c r="H177" s="88" t="s">
        <v>127</v>
      </c>
      <c r="I177" s="69">
        <v>3</v>
      </c>
      <c r="J177" s="70" t="s">
        <v>47</v>
      </c>
      <c r="K177" s="93" t="s">
        <v>75</v>
      </c>
      <c r="L177" s="71">
        <v>1</v>
      </c>
      <c r="M177" s="89">
        <f t="shared" si="24"/>
        <v>3</v>
      </c>
      <c r="N177" s="32" t="s">
        <v>39</v>
      </c>
      <c r="O177" s="33" t="s">
        <v>143</v>
      </c>
      <c r="P177" s="71">
        <v>2</v>
      </c>
      <c r="Q177" s="97">
        <f t="shared" si="9"/>
        <v>6</v>
      </c>
      <c r="R177" s="72"/>
      <c r="S177" s="72"/>
      <c r="T177" s="72"/>
      <c r="U177" s="50"/>
      <c r="V177" s="51"/>
      <c r="W177" s="52"/>
      <c r="X177" s="51"/>
      <c r="Y177" s="51"/>
      <c r="Z177" s="53"/>
      <c r="AA177" s="40"/>
      <c r="AB177" s="41"/>
      <c r="AD177" s="17">
        <f t="shared" si="17"/>
        <v>10533</v>
      </c>
      <c r="AE177" s="18"/>
    </row>
    <row r="178" spans="1:31" ht="230.25" outlineLevel="4" thickBot="1" x14ac:dyDescent="0.25">
      <c r="A178" s="43" t="s">
        <v>730</v>
      </c>
      <c r="B178" s="174" t="s">
        <v>731</v>
      </c>
      <c r="C178" s="171" t="s">
        <v>732</v>
      </c>
      <c r="D178" s="147" t="s">
        <v>733</v>
      </c>
      <c r="E178" s="48" t="s">
        <v>506</v>
      </c>
      <c r="F178" s="48" t="s">
        <v>734</v>
      </c>
      <c r="G178" s="87" t="s">
        <v>615</v>
      </c>
      <c r="H178" s="88" t="s">
        <v>127</v>
      </c>
      <c r="I178" s="69">
        <v>3</v>
      </c>
      <c r="J178" s="70" t="s">
        <v>47</v>
      </c>
      <c r="K178" s="93" t="s">
        <v>75</v>
      </c>
      <c r="L178" s="71">
        <v>1</v>
      </c>
      <c r="M178" s="89">
        <f t="shared" si="24"/>
        <v>3</v>
      </c>
      <c r="N178" s="32" t="s">
        <v>39</v>
      </c>
      <c r="O178" s="33" t="s">
        <v>143</v>
      </c>
      <c r="P178" s="71">
        <v>2</v>
      </c>
      <c r="Q178" s="97">
        <f t="shared" si="9"/>
        <v>6</v>
      </c>
      <c r="R178" s="72"/>
      <c r="S178" s="72"/>
      <c r="T178" s="72"/>
      <c r="U178" s="50"/>
      <c r="V178" s="51"/>
      <c r="W178" s="52"/>
      <c r="X178" s="51"/>
      <c r="Y178" s="51"/>
      <c r="Z178" s="53"/>
      <c r="AA178" s="40"/>
      <c r="AB178" s="41"/>
      <c r="AD178" s="17">
        <f t="shared" si="17"/>
        <v>10534</v>
      </c>
      <c r="AE178" s="18"/>
    </row>
    <row r="179" spans="1:31" ht="230.25" outlineLevel="4" thickBot="1" x14ac:dyDescent="0.25">
      <c r="A179" s="43" t="s">
        <v>735</v>
      </c>
      <c r="B179" s="175"/>
      <c r="C179" s="172"/>
      <c r="D179" s="148"/>
      <c r="E179" s="48" t="s">
        <v>510</v>
      </c>
      <c r="F179" s="48" t="s">
        <v>736</v>
      </c>
      <c r="G179" s="48" t="s">
        <v>438</v>
      </c>
      <c r="H179" s="39" t="s">
        <v>439</v>
      </c>
      <c r="I179" s="69">
        <v>1</v>
      </c>
      <c r="J179" s="70" t="s">
        <v>47</v>
      </c>
      <c r="K179" s="93" t="s">
        <v>75</v>
      </c>
      <c r="L179" s="71">
        <v>1</v>
      </c>
      <c r="M179" s="89">
        <f t="shared" si="24"/>
        <v>1</v>
      </c>
      <c r="N179" s="32" t="s">
        <v>39</v>
      </c>
      <c r="O179" s="53" t="s">
        <v>76</v>
      </c>
      <c r="P179" s="71">
        <v>5</v>
      </c>
      <c r="Q179" s="97">
        <f t="shared" si="9"/>
        <v>5</v>
      </c>
      <c r="R179" s="72"/>
      <c r="S179" s="72"/>
      <c r="T179" s="72"/>
      <c r="U179" s="50"/>
      <c r="V179" s="51"/>
      <c r="W179" s="52"/>
      <c r="X179" s="51"/>
      <c r="Y179" s="51"/>
      <c r="Z179" s="53"/>
      <c r="AA179" s="40"/>
      <c r="AB179" s="41"/>
      <c r="AD179" s="17">
        <f t="shared" si="17"/>
        <v>10535</v>
      </c>
      <c r="AE179" s="18"/>
    </row>
    <row r="180" spans="1:31" ht="230.25" outlineLevel="4" thickBot="1" x14ac:dyDescent="0.25">
      <c r="A180" s="43" t="s">
        <v>737</v>
      </c>
      <c r="B180" s="174" t="s">
        <v>738</v>
      </c>
      <c r="C180" s="171" t="s">
        <v>739</v>
      </c>
      <c r="D180" s="147" t="s">
        <v>733</v>
      </c>
      <c r="E180" s="48" t="s">
        <v>516</v>
      </c>
      <c r="F180" s="48" t="s">
        <v>736</v>
      </c>
      <c r="G180" s="48" t="s">
        <v>438</v>
      </c>
      <c r="H180" s="39" t="s">
        <v>439</v>
      </c>
      <c r="I180" s="69">
        <v>1</v>
      </c>
      <c r="J180" s="70" t="s">
        <v>47</v>
      </c>
      <c r="K180" s="93" t="s">
        <v>75</v>
      </c>
      <c r="L180" s="71">
        <v>1</v>
      </c>
      <c r="M180" s="89">
        <f t="shared" si="24"/>
        <v>1</v>
      </c>
      <c r="N180" s="32" t="s">
        <v>39</v>
      </c>
      <c r="O180" s="53" t="s">
        <v>76</v>
      </c>
      <c r="P180" s="71">
        <v>5</v>
      </c>
      <c r="Q180" s="97">
        <f t="shared" si="9"/>
        <v>5</v>
      </c>
      <c r="R180" s="72"/>
      <c r="S180" s="72"/>
      <c r="T180" s="72"/>
      <c r="U180" s="50"/>
      <c r="V180" s="51"/>
      <c r="W180" s="52"/>
      <c r="X180" s="51"/>
      <c r="Y180" s="51"/>
      <c r="Z180" s="53"/>
      <c r="AA180" s="40"/>
      <c r="AB180" s="41"/>
      <c r="AD180" s="17">
        <f t="shared" si="17"/>
        <v>10536</v>
      </c>
      <c r="AE180" s="18"/>
    </row>
    <row r="181" spans="1:31" ht="230.25" outlineLevel="4" thickBot="1" x14ac:dyDescent="0.25">
      <c r="A181" s="43" t="s">
        <v>740</v>
      </c>
      <c r="B181" s="175"/>
      <c r="C181" s="172"/>
      <c r="D181" s="148"/>
      <c r="E181" s="48" t="s">
        <v>518</v>
      </c>
      <c r="F181" s="48" t="s">
        <v>736</v>
      </c>
      <c r="G181" s="48" t="s">
        <v>438</v>
      </c>
      <c r="H181" s="39" t="s">
        <v>439</v>
      </c>
      <c r="I181" s="69">
        <v>1</v>
      </c>
      <c r="J181" s="70" t="s">
        <v>47</v>
      </c>
      <c r="K181" s="93" t="s">
        <v>75</v>
      </c>
      <c r="L181" s="71">
        <v>1</v>
      </c>
      <c r="M181" s="89">
        <f t="shared" si="24"/>
        <v>1</v>
      </c>
      <c r="N181" s="32" t="s">
        <v>39</v>
      </c>
      <c r="O181" s="53" t="s">
        <v>76</v>
      </c>
      <c r="P181" s="71">
        <v>5</v>
      </c>
      <c r="Q181" s="97">
        <f t="shared" si="9"/>
        <v>5</v>
      </c>
      <c r="R181" s="72"/>
      <c r="S181" s="72"/>
      <c r="T181" s="72"/>
      <c r="U181" s="50"/>
      <c r="V181" s="51"/>
      <c r="W181" s="52"/>
      <c r="X181" s="51"/>
      <c r="Y181" s="51"/>
      <c r="Z181" s="53"/>
      <c r="AA181" s="40"/>
      <c r="AB181" s="41"/>
      <c r="AD181" s="17">
        <f t="shared" si="17"/>
        <v>10537</v>
      </c>
      <c r="AE181" s="18"/>
    </row>
    <row r="182" spans="1:31" ht="230.25" outlineLevel="4" thickBot="1" x14ac:dyDescent="0.25">
      <c r="A182" s="43" t="s">
        <v>741</v>
      </c>
      <c r="B182" s="174" t="s">
        <v>742</v>
      </c>
      <c r="C182" s="171" t="s">
        <v>743</v>
      </c>
      <c r="D182" s="147" t="s">
        <v>733</v>
      </c>
      <c r="E182" s="48" t="s">
        <v>622</v>
      </c>
      <c r="F182" s="48" t="s">
        <v>736</v>
      </c>
      <c r="G182" s="48" t="s">
        <v>438</v>
      </c>
      <c r="H182" s="39" t="s">
        <v>439</v>
      </c>
      <c r="I182" s="69">
        <v>1</v>
      </c>
      <c r="J182" s="70" t="s">
        <v>47</v>
      </c>
      <c r="K182" s="93" t="s">
        <v>75</v>
      </c>
      <c r="L182" s="71">
        <v>1</v>
      </c>
      <c r="M182" s="89">
        <f t="shared" si="24"/>
        <v>1</v>
      </c>
      <c r="N182" s="32" t="s">
        <v>39</v>
      </c>
      <c r="O182" s="53" t="s">
        <v>76</v>
      </c>
      <c r="P182" s="71">
        <v>5</v>
      </c>
      <c r="Q182" s="97">
        <f t="shared" si="9"/>
        <v>5</v>
      </c>
      <c r="R182" s="72"/>
      <c r="S182" s="72"/>
      <c r="T182" s="72"/>
      <c r="U182" s="50"/>
      <c r="V182" s="51"/>
      <c r="W182" s="52"/>
      <c r="X182" s="51"/>
      <c r="Y182" s="51"/>
      <c r="Z182" s="53"/>
      <c r="AA182" s="40"/>
      <c r="AB182" s="41"/>
      <c r="AD182" s="17">
        <f t="shared" si="17"/>
        <v>10538</v>
      </c>
      <c r="AE182" s="18"/>
    </row>
    <row r="183" spans="1:31" ht="230.25" outlineLevel="4" thickBot="1" x14ac:dyDescent="0.25">
      <c r="A183" s="43" t="s">
        <v>744</v>
      </c>
      <c r="B183" s="175"/>
      <c r="C183" s="172"/>
      <c r="D183" s="148"/>
      <c r="E183" s="48" t="s">
        <v>518</v>
      </c>
      <c r="F183" s="48" t="s">
        <v>729</v>
      </c>
      <c r="G183" s="87" t="s">
        <v>615</v>
      </c>
      <c r="H183" s="88" t="s">
        <v>127</v>
      </c>
      <c r="I183" s="69">
        <v>3</v>
      </c>
      <c r="J183" s="70" t="s">
        <v>47</v>
      </c>
      <c r="K183" s="93" t="s">
        <v>75</v>
      </c>
      <c r="L183" s="71">
        <v>1</v>
      </c>
      <c r="M183" s="89">
        <f t="shared" si="24"/>
        <v>3</v>
      </c>
      <c r="N183" s="32" t="s">
        <v>39</v>
      </c>
      <c r="O183" s="33" t="s">
        <v>143</v>
      </c>
      <c r="P183" s="71">
        <v>2</v>
      </c>
      <c r="Q183" s="97">
        <f t="shared" si="9"/>
        <v>6</v>
      </c>
      <c r="R183" s="72"/>
      <c r="S183" s="72"/>
      <c r="T183" s="72"/>
      <c r="U183" s="50"/>
      <c r="V183" s="51"/>
      <c r="W183" s="52"/>
      <c r="X183" s="51"/>
      <c r="Y183" s="51"/>
      <c r="Z183" s="53"/>
      <c r="AA183" s="40"/>
      <c r="AB183" s="41"/>
      <c r="AD183" s="17">
        <f t="shared" si="17"/>
        <v>10539</v>
      </c>
      <c r="AE183" s="18"/>
    </row>
    <row r="184" spans="1:31" ht="230.25" outlineLevel="4" thickBot="1" x14ac:dyDescent="0.25">
      <c r="A184" s="43" t="s">
        <v>745</v>
      </c>
      <c r="B184" s="174" t="s">
        <v>746</v>
      </c>
      <c r="C184" s="171" t="s">
        <v>747</v>
      </c>
      <c r="D184" s="147" t="s">
        <v>748</v>
      </c>
      <c r="E184" s="48" t="s">
        <v>506</v>
      </c>
      <c r="F184" s="48" t="s">
        <v>749</v>
      </c>
      <c r="G184" s="87" t="s">
        <v>615</v>
      </c>
      <c r="H184" s="88" t="s">
        <v>127</v>
      </c>
      <c r="I184" s="69">
        <v>3</v>
      </c>
      <c r="J184" s="70" t="s">
        <v>47</v>
      </c>
      <c r="K184" s="93" t="s">
        <v>75</v>
      </c>
      <c r="L184" s="71">
        <v>1</v>
      </c>
      <c r="M184" s="89">
        <f t="shared" si="24"/>
        <v>3</v>
      </c>
      <c r="N184" s="32" t="s">
        <v>39</v>
      </c>
      <c r="O184" s="33" t="s">
        <v>143</v>
      </c>
      <c r="P184" s="71">
        <v>2</v>
      </c>
      <c r="Q184" s="97">
        <f t="shared" si="9"/>
        <v>6</v>
      </c>
      <c r="R184" s="72"/>
      <c r="S184" s="72"/>
      <c r="T184" s="72"/>
      <c r="U184" s="50"/>
      <c r="V184" s="51"/>
      <c r="W184" s="52"/>
      <c r="X184" s="51"/>
      <c r="Y184" s="51"/>
      <c r="Z184" s="53"/>
      <c r="AA184" s="40"/>
      <c r="AB184" s="41"/>
      <c r="AD184" s="17">
        <f t="shared" si="17"/>
        <v>10540</v>
      </c>
      <c r="AE184" s="18"/>
    </row>
    <row r="185" spans="1:31" ht="230.25" outlineLevel="4" thickBot="1" x14ac:dyDescent="0.25">
      <c r="A185" s="43" t="s">
        <v>750</v>
      </c>
      <c r="B185" s="175"/>
      <c r="C185" s="172"/>
      <c r="D185" s="148"/>
      <c r="E185" s="48" t="s">
        <v>510</v>
      </c>
      <c r="F185" s="48" t="s">
        <v>751</v>
      </c>
      <c r="G185" s="48" t="s">
        <v>438</v>
      </c>
      <c r="H185" s="39" t="s">
        <v>439</v>
      </c>
      <c r="I185" s="69">
        <v>1</v>
      </c>
      <c r="J185" s="70" t="s">
        <v>47</v>
      </c>
      <c r="K185" s="93" t="s">
        <v>75</v>
      </c>
      <c r="L185" s="71">
        <v>1</v>
      </c>
      <c r="M185" s="89">
        <f t="shared" si="24"/>
        <v>1</v>
      </c>
      <c r="N185" s="32" t="s">
        <v>39</v>
      </c>
      <c r="O185" s="53" t="s">
        <v>76</v>
      </c>
      <c r="P185" s="71">
        <v>5</v>
      </c>
      <c r="Q185" s="97">
        <f t="shared" si="9"/>
        <v>5</v>
      </c>
      <c r="R185" s="72"/>
      <c r="S185" s="72"/>
      <c r="T185" s="72"/>
      <c r="U185" s="50"/>
      <c r="V185" s="51"/>
      <c r="W185" s="52"/>
      <c r="X185" s="51"/>
      <c r="Y185" s="51"/>
      <c r="Z185" s="53"/>
      <c r="AA185" s="40"/>
      <c r="AB185" s="41"/>
      <c r="AD185" s="17">
        <f t="shared" si="17"/>
        <v>10541</v>
      </c>
      <c r="AE185" s="18"/>
    </row>
    <row r="186" spans="1:31" ht="230.25" outlineLevel="4" thickBot="1" x14ac:dyDescent="0.25">
      <c r="A186" s="43" t="s">
        <v>752</v>
      </c>
      <c r="B186" s="174" t="s">
        <v>753</v>
      </c>
      <c r="C186" s="75" t="s">
        <v>754</v>
      </c>
      <c r="D186" s="147" t="s">
        <v>748</v>
      </c>
      <c r="E186" s="48" t="s">
        <v>516</v>
      </c>
      <c r="F186" s="48" t="s">
        <v>751</v>
      </c>
      <c r="G186" s="48" t="s">
        <v>438</v>
      </c>
      <c r="H186" s="39" t="s">
        <v>439</v>
      </c>
      <c r="I186" s="69">
        <v>1</v>
      </c>
      <c r="J186" s="70" t="s">
        <v>47</v>
      </c>
      <c r="K186" s="93" t="s">
        <v>75</v>
      </c>
      <c r="L186" s="71">
        <v>1</v>
      </c>
      <c r="M186" s="89">
        <f t="shared" si="24"/>
        <v>1</v>
      </c>
      <c r="N186" s="32" t="s">
        <v>39</v>
      </c>
      <c r="O186" s="53" t="s">
        <v>76</v>
      </c>
      <c r="P186" s="71">
        <v>5</v>
      </c>
      <c r="Q186" s="97">
        <f t="shared" si="9"/>
        <v>5</v>
      </c>
      <c r="R186" s="72"/>
      <c r="S186" s="72"/>
      <c r="T186" s="72"/>
      <c r="U186" s="50"/>
      <c r="V186" s="51"/>
      <c r="W186" s="52"/>
      <c r="X186" s="51"/>
      <c r="Y186" s="51"/>
      <c r="Z186" s="53"/>
      <c r="AA186" s="40"/>
      <c r="AB186" s="41"/>
      <c r="AD186" s="17">
        <f t="shared" si="17"/>
        <v>10542</v>
      </c>
      <c r="AE186" s="18"/>
    </row>
    <row r="187" spans="1:31" ht="230.25" outlineLevel="4" thickBot="1" x14ac:dyDescent="0.25">
      <c r="A187" s="43" t="s">
        <v>755</v>
      </c>
      <c r="B187" s="175"/>
      <c r="C187" s="77"/>
      <c r="D187" s="148"/>
      <c r="E187" s="48" t="s">
        <v>518</v>
      </c>
      <c r="F187" s="48" t="s">
        <v>751</v>
      </c>
      <c r="G187" s="48" t="s">
        <v>438</v>
      </c>
      <c r="H187" s="39" t="s">
        <v>439</v>
      </c>
      <c r="I187" s="69">
        <v>1</v>
      </c>
      <c r="J187" s="70" t="s">
        <v>47</v>
      </c>
      <c r="K187" s="93" t="s">
        <v>75</v>
      </c>
      <c r="L187" s="71">
        <v>1</v>
      </c>
      <c r="M187" s="89">
        <f t="shared" si="24"/>
        <v>1</v>
      </c>
      <c r="N187" s="32" t="s">
        <v>39</v>
      </c>
      <c r="O187" s="53" t="s">
        <v>76</v>
      </c>
      <c r="P187" s="71">
        <v>5</v>
      </c>
      <c r="Q187" s="97">
        <f t="shared" si="9"/>
        <v>5</v>
      </c>
      <c r="R187" s="72"/>
      <c r="S187" s="72"/>
      <c r="T187" s="72"/>
      <c r="U187" s="50"/>
      <c r="V187" s="51"/>
      <c r="W187" s="52"/>
      <c r="X187" s="51"/>
      <c r="Y187" s="51"/>
      <c r="Z187" s="53"/>
      <c r="AA187" s="40"/>
      <c r="AB187" s="41"/>
      <c r="AD187" s="17">
        <f t="shared" si="17"/>
        <v>10543</v>
      </c>
      <c r="AE187" s="18"/>
    </row>
    <row r="188" spans="1:31" ht="230.25" outlineLevel="4" thickBot="1" x14ac:dyDescent="0.25">
      <c r="A188" s="43" t="s">
        <v>756</v>
      </c>
      <c r="B188" s="174" t="s">
        <v>757</v>
      </c>
      <c r="C188" s="75" t="s">
        <v>758</v>
      </c>
      <c r="D188" s="147" t="s">
        <v>748</v>
      </c>
      <c r="E188" s="48" t="s">
        <v>622</v>
      </c>
      <c r="F188" s="48" t="s">
        <v>751</v>
      </c>
      <c r="G188" s="48" t="s">
        <v>438</v>
      </c>
      <c r="H188" s="39" t="s">
        <v>439</v>
      </c>
      <c r="I188" s="69">
        <v>1</v>
      </c>
      <c r="J188" s="70" t="s">
        <v>47</v>
      </c>
      <c r="K188" s="93" t="s">
        <v>75</v>
      </c>
      <c r="L188" s="71">
        <v>1</v>
      </c>
      <c r="M188" s="89">
        <f t="shared" si="24"/>
        <v>1</v>
      </c>
      <c r="N188" s="32" t="s">
        <v>39</v>
      </c>
      <c r="O188" s="53" t="s">
        <v>76</v>
      </c>
      <c r="P188" s="71">
        <v>5</v>
      </c>
      <c r="Q188" s="97">
        <f t="shared" si="9"/>
        <v>5</v>
      </c>
      <c r="R188" s="72"/>
      <c r="S188" s="72"/>
      <c r="T188" s="72"/>
      <c r="U188" s="50"/>
      <c r="V188" s="51"/>
      <c r="W188" s="52"/>
      <c r="X188" s="51"/>
      <c r="Y188" s="51"/>
      <c r="Z188" s="53"/>
      <c r="AA188" s="40"/>
      <c r="AB188" s="41"/>
      <c r="AD188" s="17">
        <f t="shared" si="17"/>
        <v>-1533</v>
      </c>
      <c r="AE188" s="18">
        <f t="shared" ref="AE188:AE189" si="25">VALUE(RIGHT((IF(A188="",0,A188)),4))</f>
        <v>1533</v>
      </c>
    </row>
    <row r="189" spans="1:31" ht="230.25" outlineLevel="4" thickBot="1" x14ac:dyDescent="0.25">
      <c r="A189" s="43" t="s">
        <v>759</v>
      </c>
      <c r="B189" s="175"/>
      <c r="C189" s="77"/>
      <c r="D189" s="148"/>
      <c r="E189" s="48" t="s">
        <v>518</v>
      </c>
      <c r="F189" s="48" t="s">
        <v>749</v>
      </c>
      <c r="G189" s="87" t="s">
        <v>615</v>
      </c>
      <c r="H189" s="88" t="s">
        <v>127</v>
      </c>
      <c r="I189" s="69">
        <v>3</v>
      </c>
      <c r="J189" s="70" t="s">
        <v>47</v>
      </c>
      <c r="K189" s="93" t="s">
        <v>75</v>
      </c>
      <c r="L189" s="71">
        <v>1</v>
      </c>
      <c r="M189" s="89">
        <f t="shared" si="24"/>
        <v>3</v>
      </c>
      <c r="N189" s="32" t="s">
        <v>39</v>
      </c>
      <c r="O189" s="33" t="s">
        <v>143</v>
      </c>
      <c r="P189" s="71">
        <v>2</v>
      </c>
      <c r="Q189" s="97">
        <f t="shared" si="9"/>
        <v>6</v>
      </c>
      <c r="R189" s="72"/>
      <c r="S189" s="72"/>
      <c r="T189" s="72"/>
      <c r="U189" s="50"/>
      <c r="V189" s="51"/>
      <c r="W189" s="52"/>
      <c r="X189" s="51"/>
      <c r="Y189" s="51"/>
      <c r="Z189" s="53"/>
      <c r="AA189" s="40"/>
      <c r="AB189" s="41"/>
      <c r="AD189" s="17">
        <f t="shared" si="17"/>
        <v>-1534</v>
      </c>
      <c r="AE189" s="18">
        <f t="shared" si="25"/>
        <v>1534</v>
      </c>
    </row>
    <row r="190" spans="1:31" ht="230.25" outlineLevel="4" thickBot="1" x14ac:dyDescent="0.25">
      <c r="A190" s="43" t="s">
        <v>760</v>
      </c>
      <c r="B190" s="150" t="s">
        <v>761</v>
      </c>
      <c r="C190" s="171" t="s">
        <v>762</v>
      </c>
      <c r="D190" s="171" t="s">
        <v>561</v>
      </c>
      <c r="E190" s="48" t="s">
        <v>198</v>
      </c>
      <c r="F190" s="48" t="s">
        <v>763</v>
      </c>
      <c r="G190" s="48" t="s">
        <v>563</v>
      </c>
      <c r="H190" s="39" t="s">
        <v>61</v>
      </c>
      <c r="I190" s="69">
        <v>1</v>
      </c>
      <c r="J190" s="70" t="s">
        <v>186</v>
      </c>
      <c r="K190" s="93" t="s">
        <v>75</v>
      </c>
      <c r="L190" s="71">
        <v>2</v>
      </c>
      <c r="M190" s="89">
        <f t="shared" si="24"/>
        <v>2</v>
      </c>
      <c r="N190" s="32" t="s">
        <v>39</v>
      </c>
      <c r="O190" s="53" t="s">
        <v>76</v>
      </c>
      <c r="P190" s="71">
        <v>5</v>
      </c>
      <c r="Q190" s="97">
        <f t="shared" si="9"/>
        <v>10</v>
      </c>
      <c r="R190" s="72"/>
      <c r="S190" s="72"/>
      <c r="T190" s="72"/>
      <c r="U190" s="50"/>
      <c r="V190" s="51"/>
      <c r="W190" s="52"/>
      <c r="X190" s="51"/>
      <c r="Y190" s="51"/>
      <c r="Z190" s="53"/>
      <c r="AA190" s="40"/>
      <c r="AB190" s="41"/>
      <c r="AD190" s="17">
        <f t="shared" si="17"/>
        <v>10544</v>
      </c>
      <c r="AE190" s="18"/>
    </row>
    <row r="191" spans="1:31" ht="230.25" outlineLevel="4" thickBot="1" x14ac:dyDescent="0.25">
      <c r="A191" s="43" t="s">
        <v>764</v>
      </c>
      <c r="B191" s="173"/>
      <c r="C191" s="179"/>
      <c r="D191" s="179"/>
      <c r="E191" s="48" t="s">
        <v>565</v>
      </c>
      <c r="F191" s="48" t="s">
        <v>765</v>
      </c>
      <c r="G191" s="87" t="s">
        <v>615</v>
      </c>
      <c r="H191" s="88" t="s">
        <v>127</v>
      </c>
      <c r="I191" s="69">
        <v>3</v>
      </c>
      <c r="J191" s="70" t="s">
        <v>192</v>
      </c>
      <c r="K191" s="93" t="s">
        <v>75</v>
      </c>
      <c r="L191" s="71">
        <v>2</v>
      </c>
      <c r="M191" s="89">
        <f t="shared" si="24"/>
        <v>6</v>
      </c>
      <c r="N191" s="32" t="s">
        <v>39</v>
      </c>
      <c r="O191" s="33" t="s">
        <v>143</v>
      </c>
      <c r="P191" s="71">
        <v>2</v>
      </c>
      <c r="Q191" s="97">
        <f t="shared" si="9"/>
        <v>12</v>
      </c>
      <c r="R191" s="72"/>
      <c r="S191" s="72"/>
      <c r="T191" s="72"/>
      <c r="U191" s="50"/>
      <c r="V191" s="51"/>
      <c r="W191" s="52"/>
      <c r="X191" s="51"/>
      <c r="Y191" s="51"/>
      <c r="Z191" s="53"/>
      <c r="AA191" s="40"/>
      <c r="AB191" s="41"/>
      <c r="AD191" s="17">
        <f t="shared" si="17"/>
        <v>10545</v>
      </c>
      <c r="AE191" s="18"/>
    </row>
    <row r="192" spans="1:31" ht="230.25" outlineLevel="4" thickBot="1" x14ac:dyDescent="0.25">
      <c r="A192" s="43" t="s">
        <v>766</v>
      </c>
      <c r="B192" s="151"/>
      <c r="C192" s="172"/>
      <c r="D192" s="172"/>
      <c r="E192" s="48" t="s">
        <v>570</v>
      </c>
      <c r="F192" s="48" t="s">
        <v>765</v>
      </c>
      <c r="G192" s="87" t="s">
        <v>615</v>
      </c>
      <c r="H192" s="88" t="s">
        <v>127</v>
      </c>
      <c r="I192" s="69">
        <v>3</v>
      </c>
      <c r="J192" s="70" t="s">
        <v>192</v>
      </c>
      <c r="K192" s="93" t="s">
        <v>75</v>
      </c>
      <c r="L192" s="71">
        <v>2</v>
      </c>
      <c r="M192" s="89">
        <f t="shared" si="24"/>
        <v>6</v>
      </c>
      <c r="N192" s="32" t="s">
        <v>39</v>
      </c>
      <c r="O192" s="33" t="s">
        <v>143</v>
      </c>
      <c r="P192" s="71">
        <v>1</v>
      </c>
      <c r="Q192" s="91">
        <f t="shared" si="9"/>
        <v>6</v>
      </c>
      <c r="R192" s="72"/>
      <c r="S192" s="72"/>
      <c r="T192" s="72"/>
      <c r="U192" s="50"/>
      <c r="V192" s="51"/>
      <c r="W192" s="52"/>
      <c r="X192" s="51"/>
      <c r="Y192" s="51"/>
      <c r="Z192" s="53"/>
      <c r="AA192" s="40"/>
      <c r="AB192" s="41"/>
      <c r="AD192" s="17">
        <f t="shared" si="17"/>
        <v>10546</v>
      </c>
      <c r="AE192" s="18"/>
    </row>
    <row r="193" spans="1:512" ht="230.25" outlineLevel="4" thickBot="1" x14ac:dyDescent="0.25">
      <c r="A193" s="43" t="s">
        <v>767</v>
      </c>
      <c r="B193" s="150" t="s">
        <v>768</v>
      </c>
      <c r="C193" s="171" t="s">
        <v>769</v>
      </c>
      <c r="D193" s="171" t="s">
        <v>561</v>
      </c>
      <c r="E193" s="48" t="s">
        <v>198</v>
      </c>
      <c r="F193" s="48" t="s">
        <v>763</v>
      </c>
      <c r="G193" s="48" t="s">
        <v>563</v>
      </c>
      <c r="H193" s="39" t="s">
        <v>61</v>
      </c>
      <c r="I193" s="69">
        <v>1</v>
      </c>
      <c r="J193" s="70" t="s">
        <v>186</v>
      </c>
      <c r="K193" s="93" t="s">
        <v>75</v>
      </c>
      <c r="L193" s="71">
        <v>2</v>
      </c>
      <c r="M193" s="89">
        <f t="shared" si="24"/>
        <v>2</v>
      </c>
      <c r="N193" s="32" t="s">
        <v>39</v>
      </c>
      <c r="O193" s="53" t="s">
        <v>76</v>
      </c>
      <c r="P193" s="71">
        <v>5</v>
      </c>
      <c r="Q193" s="97">
        <f t="shared" si="9"/>
        <v>10</v>
      </c>
      <c r="R193" s="72"/>
      <c r="S193" s="72"/>
      <c r="T193" s="72"/>
      <c r="U193" s="50"/>
      <c r="V193" s="51"/>
      <c r="W193" s="52"/>
      <c r="X193" s="51"/>
      <c r="Y193" s="51"/>
      <c r="Z193" s="53"/>
      <c r="AA193" s="40"/>
      <c r="AB193" s="41"/>
      <c r="AD193" s="17">
        <f t="shared" si="17"/>
        <v>10547</v>
      </c>
      <c r="AE193" s="18">
        <f t="shared" ref="AE193:AE223" si="26">VALUE(RIGHT((IF(A193="",0,A193)),4))</f>
        <v>547</v>
      </c>
    </row>
    <row r="194" spans="1:512" ht="230.25" outlineLevel="4" thickBot="1" x14ac:dyDescent="0.25">
      <c r="A194" s="43" t="s">
        <v>770</v>
      </c>
      <c r="B194" s="173"/>
      <c r="C194" s="179"/>
      <c r="D194" s="179"/>
      <c r="E194" s="48" t="s">
        <v>565</v>
      </c>
      <c r="F194" s="48" t="s">
        <v>771</v>
      </c>
      <c r="G194" s="87" t="s">
        <v>615</v>
      </c>
      <c r="H194" s="88" t="s">
        <v>127</v>
      </c>
      <c r="I194" s="69">
        <v>3</v>
      </c>
      <c r="J194" s="70" t="s">
        <v>192</v>
      </c>
      <c r="K194" s="93" t="s">
        <v>75</v>
      </c>
      <c r="L194" s="71">
        <v>2</v>
      </c>
      <c r="M194" s="89">
        <f t="shared" si="24"/>
        <v>6</v>
      </c>
      <c r="N194" s="32" t="s">
        <v>39</v>
      </c>
      <c r="O194" s="33" t="s">
        <v>143</v>
      </c>
      <c r="P194" s="71">
        <v>2</v>
      </c>
      <c r="Q194" s="97">
        <f t="shared" si="9"/>
        <v>12</v>
      </c>
      <c r="R194" s="72"/>
      <c r="S194" s="72"/>
      <c r="T194" s="72"/>
      <c r="U194" s="50"/>
      <c r="V194" s="51"/>
      <c r="W194" s="52"/>
      <c r="X194" s="51"/>
      <c r="Y194" s="51"/>
      <c r="Z194" s="53"/>
      <c r="AA194" s="40"/>
      <c r="AB194" s="41"/>
      <c r="AD194" s="17">
        <f t="shared" si="17"/>
        <v>10548</v>
      </c>
      <c r="AE194" s="18">
        <f t="shared" si="26"/>
        <v>548</v>
      </c>
    </row>
    <row r="195" spans="1:512" ht="230.25" outlineLevel="4" thickBot="1" x14ac:dyDescent="0.25">
      <c r="A195" s="43" t="s">
        <v>772</v>
      </c>
      <c r="B195" s="151"/>
      <c r="C195" s="172"/>
      <c r="D195" s="172"/>
      <c r="E195" s="48" t="s">
        <v>570</v>
      </c>
      <c r="F195" s="48" t="s">
        <v>771</v>
      </c>
      <c r="G195" s="87" t="s">
        <v>615</v>
      </c>
      <c r="H195" s="88" t="s">
        <v>127</v>
      </c>
      <c r="I195" s="69">
        <v>3</v>
      </c>
      <c r="J195" s="70" t="s">
        <v>192</v>
      </c>
      <c r="K195" s="93" t="s">
        <v>75</v>
      </c>
      <c r="L195" s="71">
        <v>2</v>
      </c>
      <c r="M195" s="89">
        <f t="shared" si="24"/>
        <v>6</v>
      </c>
      <c r="N195" s="32" t="s">
        <v>39</v>
      </c>
      <c r="O195" s="33" t="s">
        <v>143</v>
      </c>
      <c r="P195" s="71">
        <v>1</v>
      </c>
      <c r="Q195" s="91">
        <f t="shared" si="9"/>
        <v>6</v>
      </c>
      <c r="R195" s="72"/>
      <c r="S195" s="72"/>
      <c r="T195" s="72"/>
      <c r="U195" s="50"/>
      <c r="V195" s="51"/>
      <c r="W195" s="52"/>
      <c r="X195" s="51"/>
      <c r="Y195" s="51"/>
      <c r="Z195" s="53"/>
      <c r="AA195" s="40"/>
      <c r="AB195" s="41"/>
      <c r="AD195" s="17">
        <f t="shared" si="17"/>
        <v>-9808</v>
      </c>
      <c r="AE195" s="18">
        <f t="shared" si="26"/>
        <v>9808</v>
      </c>
    </row>
    <row r="196" spans="1:512" ht="230.25" outlineLevel="4" thickBot="1" x14ac:dyDescent="0.25">
      <c r="A196" s="43" t="s">
        <v>773</v>
      </c>
      <c r="B196" s="150" t="s">
        <v>774</v>
      </c>
      <c r="C196" s="171" t="s">
        <v>775</v>
      </c>
      <c r="D196" s="167" t="s">
        <v>776</v>
      </c>
      <c r="E196" s="48" t="s">
        <v>584</v>
      </c>
      <c r="F196" s="48" t="s">
        <v>777</v>
      </c>
      <c r="G196" s="48" t="s">
        <v>275</v>
      </c>
      <c r="H196" s="39" t="s">
        <v>61</v>
      </c>
      <c r="I196" s="69">
        <v>1</v>
      </c>
      <c r="J196" s="70" t="s">
        <v>74</v>
      </c>
      <c r="K196" s="93" t="s">
        <v>75</v>
      </c>
      <c r="L196" s="71">
        <v>1</v>
      </c>
      <c r="M196" s="89">
        <f t="shared" si="24"/>
        <v>1</v>
      </c>
      <c r="N196" s="32" t="s">
        <v>39</v>
      </c>
      <c r="O196" s="53" t="s">
        <v>76</v>
      </c>
      <c r="P196" s="71">
        <v>5</v>
      </c>
      <c r="Q196" s="97">
        <f t="shared" si="9"/>
        <v>5</v>
      </c>
      <c r="R196" s="72"/>
      <c r="S196" s="72"/>
      <c r="T196" s="72"/>
      <c r="U196" s="50"/>
      <c r="V196" s="51"/>
      <c r="W196" s="52"/>
      <c r="X196" s="51"/>
      <c r="Y196" s="51"/>
      <c r="Z196" s="53"/>
      <c r="AA196" s="40"/>
      <c r="AB196" s="41"/>
      <c r="AD196" s="17">
        <f t="shared" si="17"/>
        <v>-1537</v>
      </c>
      <c r="AE196" s="18">
        <f t="shared" si="26"/>
        <v>1537</v>
      </c>
    </row>
    <row r="197" spans="1:512" ht="230.25" outlineLevel="4" thickBot="1" x14ac:dyDescent="0.25">
      <c r="A197" s="43" t="s">
        <v>778</v>
      </c>
      <c r="B197" s="151"/>
      <c r="C197" s="172"/>
      <c r="D197" s="169"/>
      <c r="E197" s="48" t="s">
        <v>588</v>
      </c>
      <c r="F197" s="48" t="s">
        <v>589</v>
      </c>
      <c r="G197" s="48" t="s">
        <v>275</v>
      </c>
      <c r="H197" s="39" t="s">
        <v>61</v>
      </c>
      <c r="I197" s="69">
        <v>1</v>
      </c>
      <c r="J197" s="70" t="s">
        <v>74</v>
      </c>
      <c r="K197" s="93" t="s">
        <v>75</v>
      </c>
      <c r="L197" s="71">
        <v>1</v>
      </c>
      <c r="M197" s="89">
        <f t="shared" si="24"/>
        <v>1</v>
      </c>
      <c r="N197" s="32" t="s">
        <v>39</v>
      </c>
      <c r="O197" s="53" t="s">
        <v>76</v>
      </c>
      <c r="P197" s="71">
        <v>5</v>
      </c>
      <c r="Q197" s="97">
        <f t="shared" si="9"/>
        <v>5</v>
      </c>
      <c r="R197" s="72"/>
      <c r="S197" s="72"/>
      <c r="T197" s="72"/>
      <c r="U197" s="50"/>
      <c r="V197" s="51"/>
      <c r="W197" s="52"/>
      <c r="X197" s="51"/>
      <c r="Y197" s="51"/>
      <c r="Z197" s="53"/>
      <c r="AA197" s="40"/>
      <c r="AB197" s="41"/>
      <c r="AD197" s="17">
        <f t="shared" ref="AD197:AD260" si="27">VALUE(RIGHT((IF(A197="",0,A197)),5))</f>
        <v>-1538</v>
      </c>
      <c r="AE197" s="18">
        <f t="shared" si="26"/>
        <v>1538</v>
      </c>
    </row>
    <row r="198" spans="1:512" ht="230.25" outlineLevel="4" thickBot="1" x14ac:dyDescent="0.25">
      <c r="A198" s="43" t="s">
        <v>779</v>
      </c>
      <c r="B198" s="150" t="s">
        <v>780</v>
      </c>
      <c r="C198" s="75" t="s">
        <v>781</v>
      </c>
      <c r="D198" s="147" t="s">
        <v>664</v>
      </c>
      <c r="E198" s="48" t="s">
        <v>256</v>
      </c>
      <c r="F198" s="48" t="s">
        <v>355</v>
      </c>
      <c r="G198" s="48" t="s">
        <v>438</v>
      </c>
      <c r="H198" s="39" t="s">
        <v>439</v>
      </c>
      <c r="I198" s="69">
        <v>1</v>
      </c>
      <c r="J198" s="70" t="s">
        <v>84</v>
      </c>
      <c r="K198" s="93" t="s">
        <v>75</v>
      </c>
      <c r="L198" s="71">
        <v>1</v>
      </c>
      <c r="M198" s="89">
        <v>3</v>
      </c>
      <c r="N198" s="32" t="s">
        <v>39</v>
      </c>
      <c r="O198" s="53" t="s">
        <v>76</v>
      </c>
      <c r="P198" s="71">
        <v>5</v>
      </c>
      <c r="Q198" s="97">
        <f t="shared" si="9"/>
        <v>15</v>
      </c>
      <c r="R198" s="72"/>
      <c r="S198" s="72"/>
      <c r="T198" s="72"/>
      <c r="U198" s="50"/>
      <c r="V198" s="51"/>
      <c r="W198" s="52"/>
      <c r="X198" s="51"/>
      <c r="Y198" s="51"/>
      <c r="Z198" s="53"/>
      <c r="AA198" s="40"/>
      <c r="AB198" s="41"/>
      <c r="AC198" s="98"/>
      <c r="AD198" s="17">
        <f t="shared" si="27"/>
        <v>-1559</v>
      </c>
      <c r="AE198" s="18">
        <f t="shared" si="26"/>
        <v>1559</v>
      </c>
      <c r="AF198" s="98"/>
      <c r="AG198" s="98"/>
      <c r="AH198" s="98"/>
      <c r="AI198" s="98"/>
      <c r="AJ198" s="98"/>
      <c r="AK198" s="98"/>
      <c r="AL198" s="98"/>
      <c r="AM198" s="98"/>
      <c r="AN198" s="98"/>
      <c r="AO198" s="98"/>
      <c r="AP198" s="98"/>
      <c r="AQ198" s="98"/>
      <c r="AR198" s="98"/>
      <c r="AS198" s="98"/>
      <c r="AT198" s="98"/>
      <c r="AU198" s="98"/>
      <c r="AV198" s="98"/>
      <c r="AW198" s="98"/>
      <c r="AX198" s="98"/>
      <c r="AY198" s="98"/>
      <c r="AZ198" s="98"/>
      <c r="BA198" s="98"/>
      <c r="BB198" s="98"/>
      <c r="BC198" s="98"/>
      <c r="BD198" s="98"/>
      <c r="BE198" s="98"/>
      <c r="BF198" s="98"/>
      <c r="BG198" s="98"/>
      <c r="BH198" s="98"/>
      <c r="BI198" s="98"/>
      <c r="BJ198" s="98"/>
      <c r="BK198" s="98"/>
      <c r="BL198" s="98"/>
      <c r="BM198" s="98"/>
      <c r="BN198" s="98"/>
      <c r="BO198" s="98"/>
      <c r="BP198" s="98"/>
      <c r="BQ198" s="98"/>
      <c r="BR198" s="98"/>
      <c r="BS198" s="98"/>
      <c r="BT198" s="98"/>
      <c r="BU198" s="98"/>
      <c r="BV198" s="98"/>
      <c r="BW198" s="98"/>
      <c r="BX198" s="98"/>
      <c r="BY198" s="98"/>
      <c r="BZ198" s="98"/>
      <c r="CA198" s="98"/>
      <c r="CB198" s="98"/>
      <c r="CC198" s="98"/>
      <c r="CD198" s="98"/>
      <c r="CE198" s="98"/>
      <c r="CF198" s="98"/>
      <c r="CG198" s="98"/>
      <c r="CH198" s="98"/>
      <c r="CI198" s="98"/>
      <c r="CJ198" s="98"/>
      <c r="CK198" s="98"/>
      <c r="CL198" s="98"/>
      <c r="CM198" s="98"/>
      <c r="CN198" s="98"/>
      <c r="CO198" s="98"/>
      <c r="CP198" s="98"/>
      <c r="CQ198" s="98"/>
      <c r="CR198" s="98"/>
      <c r="CS198" s="98"/>
      <c r="CT198" s="98"/>
      <c r="CU198" s="98"/>
      <c r="CV198" s="98"/>
      <c r="CW198" s="98"/>
      <c r="CX198" s="98"/>
      <c r="CY198" s="98"/>
      <c r="CZ198" s="98"/>
      <c r="DA198" s="98"/>
      <c r="DB198" s="98"/>
      <c r="DC198" s="98"/>
      <c r="DD198" s="98"/>
      <c r="DE198" s="98"/>
      <c r="DF198" s="98"/>
      <c r="DG198" s="98"/>
      <c r="DH198" s="98"/>
      <c r="DI198" s="98"/>
      <c r="DJ198" s="98"/>
      <c r="DK198" s="98"/>
      <c r="DL198" s="98"/>
      <c r="DM198" s="98"/>
      <c r="DN198" s="98"/>
      <c r="DO198" s="98"/>
      <c r="DP198" s="98"/>
      <c r="DQ198" s="98"/>
      <c r="DR198" s="98"/>
      <c r="DS198" s="98"/>
      <c r="DT198" s="98"/>
      <c r="DU198" s="98"/>
      <c r="DV198" s="98"/>
      <c r="DW198" s="98"/>
      <c r="DX198" s="98"/>
      <c r="DY198" s="98"/>
      <c r="DZ198" s="98"/>
      <c r="EA198" s="98"/>
      <c r="EB198" s="98"/>
      <c r="EC198" s="98"/>
      <c r="ED198" s="98"/>
      <c r="EE198" s="98"/>
      <c r="EF198" s="98"/>
      <c r="EG198" s="98"/>
      <c r="EH198" s="98"/>
      <c r="EI198" s="98"/>
      <c r="EJ198" s="98"/>
      <c r="EK198" s="98"/>
      <c r="EL198" s="98"/>
      <c r="EM198" s="98"/>
      <c r="EN198" s="98"/>
      <c r="EO198" s="98"/>
      <c r="EP198" s="98"/>
      <c r="EQ198" s="98"/>
      <c r="ER198" s="98"/>
      <c r="ES198" s="98"/>
      <c r="ET198" s="98"/>
      <c r="EU198" s="98"/>
      <c r="EV198" s="98"/>
      <c r="EW198" s="98"/>
      <c r="EX198" s="98"/>
      <c r="EY198" s="98"/>
      <c r="EZ198" s="98"/>
      <c r="FA198" s="98"/>
      <c r="FB198" s="98"/>
      <c r="FC198" s="98"/>
      <c r="FD198" s="98"/>
      <c r="FE198" s="98"/>
      <c r="FF198" s="98"/>
      <c r="FG198" s="98"/>
      <c r="FH198" s="98"/>
      <c r="FI198" s="98"/>
      <c r="FJ198" s="98"/>
      <c r="FK198" s="98"/>
      <c r="FL198" s="98"/>
      <c r="FM198" s="98"/>
      <c r="FN198" s="98"/>
      <c r="FO198" s="98"/>
      <c r="FP198" s="98"/>
      <c r="FQ198" s="98"/>
      <c r="FR198" s="98"/>
      <c r="FS198" s="98"/>
      <c r="FT198" s="98"/>
      <c r="FU198" s="98"/>
      <c r="FV198" s="98"/>
      <c r="FW198" s="98"/>
      <c r="FX198" s="98"/>
      <c r="FY198" s="98"/>
      <c r="FZ198" s="98"/>
      <c r="GA198" s="98"/>
      <c r="GB198" s="98"/>
      <c r="GC198" s="98"/>
      <c r="GD198" s="98"/>
      <c r="GE198" s="98"/>
      <c r="GF198" s="98"/>
      <c r="GG198" s="98"/>
      <c r="GH198" s="98"/>
      <c r="GI198" s="98"/>
      <c r="GJ198" s="98"/>
      <c r="GK198" s="98"/>
      <c r="GL198" s="98"/>
      <c r="GM198" s="98"/>
      <c r="GN198" s="98"/>
      <c r="GO198" s="98"/>
      <c r="GP198" s="98"/>
      <c r="GQ198" s="98"/>
      <c r="GR198" s="98"/>
      <c r="GS198" s="98"/>
      <c r="GT198" s="98"/>
      <c r="GU198" s="98"/>
      <c r="GV198" s="98"/>
      <c r="GW198" s="98"/>
      <c r="GX198" s="98"/>
      <c r="GY198" s="98"/>
      <c r="GZ198" s="98"/>
      <c r="HA198" s="98"/>
      <c r="HB198" s="98"/>
      <c r="HC198" s="98"/>
      <c r="HD198" s="98"/>
      <c r="HE198" s="98"/>
      <c r="HF198" s="98"/>
      <c r="HG198" s="98"/>
      <c r="HH198" s="98"/>
      <c r="HI198" s="98"/>
      <c r="HJ198" s="98"/>
      <c r="HK198" s="98"/>
      <c r="HL198" s="98"/>
      <c r="HM198" s="98"/>
      <c r="HN198" s="98"/>
      <c r="HO198" s="98"/>
      <c r="HP198" s="98"/>
      <c r="HQ198" s="98"/>
      <c r="HR198" s="98"/>
      <c r="HS198" s="98"/>
      <c r="HT198" s="98"/>
      <c r="HU198" s="98"/>
      <c r="HV198" s="98"/>
      <c r="HW198" s="98"/>
      <c r="HX198" s="98"/>
      <c r="HY198" s="98"/>
      <c r="HZ198" s="98"/>
      <c r="IA198" s="98"/>
      <c r="IB198" s="98"/>
      <c r="IC198" s="98"/>
      <c r="ID198" s="98"/>
      <c r="IE198" s="98"/>
      <c r="IF198" s="98"/>
      <c r="IG198" s="98"/>
      <c r="IH198" s="98"/>
      <c r="II198" s="98"/>
      <c r="IJ198" s="98"/>
      <c r="IK198" s="98"/>
      <c r="IL198" s="98"/>
      <c r="IM198" s="98"/>
      <c r="IN198" s="98"/>
      <c r="IO198" s="98"/>
      <c r="IP198" s="98"/>
      <c r="IQ198" s="98"/>
      <c r="IR198" s="98"/>
      <c r="IS198" s="98"/>
      <c r="IT198" s="98"/>
      <c r="IU198" s="98"/>
      <c r="IV198" s="98"/>
      <c r="IW198" s="98"/>
      <c r="IX198" s="98"/>
      <c r="IY198" s="98"/>
      <c r="IZ198" s="98"/>
      <c r="JA198" s="98"/>
      <c r="JB198" s="98"/>
      <c r="JC198" s="98"/>
      <c r="JD198" s="98"/>
      <c r="JE198" s="98"/>
      <c r="JF198" s="98"/>
      <c r="JG198" s="98"/>
      <c r="JH198" s="98"/>
      <c r="JI198" s="98"/>
      <c r="JJ198" s="98"/>
      <c r="JK198" s="98"/>
      <c r="JL198" s="98"/>
      <c r="JM198" s="98"/>
      <c r="JN198" s="98"/>
      <c r="JO198" s="98"/>
      <c r="JP198" s="98"/>
      <c r="JQ198" s="98"/>
      <c r="JR198" s="98"/>
      <c r="JS198" s="98"/>
      <c r="JT198" s="98"/>
      <c r="JU198" s="98"/>
      <c r="JV198" s="98"/>
      <c r="JW198" s="98"/>
      <c r="JX198" s="98"/>
      <c r="JY198" s="98"/>
      <c r="JZ198" s="98"/>
      <c r="KA198" s="98"/>
      <c r="KB198" s="98"/>
      <c r="KC198" s="98"/>
      <c r="KD198" s="98"/>
      <c r="KE198" s="98"/>
      <c r="KF198" s="98"/>
      <c r="KG198" s="98"/>
      <c r="KH198" s="98"/>
      <c r="KI198" s="98"/>
      <c r="KJ198" s="98"/>
      <c r="KK198" s="98"/>
      <c r="KL198" s="98"/>
      <c r="KM198" s="98"/>
      <c r="KN198" s="98"/>
      <c r="KO198" s="98"/>
      <c r="KP198" s="98"/>
      <c r="KQ198" s="98"/>
      <c r="KR198" s="98"/>
      <c r="KS198" s="98"/>
      <c r="KT198" s="98"/>
      <c r="KU198" s="98"/>
      <c r="KV198" s="98"/>
      <c r="KW198" s="98"/>
      <c r="KX198" s="98"/>
      <c r="KY198" s="98"/>
      <c r="KZ198" s="98"/>
      <c r="LA198" s="98"/>
      <c r="LB198" s="98"/>
      <c r="LC198" s="98"/>
      <c r="LD198" s="98"/>
      <c r="LE198" s="98"/>
      <c r="LF198" s="98"/>
      <c r="LG198" s="98"/>
      <c r="LH198" s="98"/>
      <c r="LI198" s="98"/>
      <c r="LJ198" s="98"/>
      <c r="LK198" s="98"/>
      <c r="LL198" s="98"/>
      <c r="LM198" s="98"/>
      <c r="LN198" s="98"/>
      <c r="LO198" s="98"/>
      <c r="LP198" s="98"/>
      <c r="LQ198" s="98"/>
      <c r="LR198" s="98"/>
      <c r="LS198" s="98"/>
      <c r="LT198" s="98"/>
      <c r="LU198" s="98"/>
      <c r="LV198" s="98"/>
      <c r="LW198" s="98"/>
      <c r="LX198" s="98"/>
      <c r="LY198" s="98"/>
      <c r="LZ198" s="98"/>
      <c r="MA198" s="98"/>
      <c r="MB198" s="98"/>
      <c r="MC198" s="98"/>
      <c r="MD198" s="98"/>
      <c r="ME198" s="98"/>
      <c r="MF198" s="98"/>
      <c r="MG198" s="98"/>
      <c r="MH198" s="98"/>
      <c r="MI198" s="98"/>
      <c r="MJ198" s="98"/>
      <c r="MK198" s="98"/>
      <c r="ML198" s="98"/>
      <c r="MM198" s="98"/>
      <c r="MN198" s="98"/>
      <c r="MO198" s="98"/>
      <c r="MP198" s="98"/>
      <c r="MQ198" s="98"/>
      <c r="MR198" s="98"/>
      <c r="MS198" s="98"/>
      <c r="MT198" s="98"/>
      <c r="MU198" s="98"/>
      <c r="MV198" s="98"/>
      <c r="MW198" s="98"/>
      <c r="MX198" s="98"/>
      <c r="MY198" s="98"/>
      <c r="MZ198" s="98"/>
      <c r="NA198" s="98"/>
      <c r="NB198" s="98"/>
      <c r="NC198" s="98"/>
      <c r="ND198" s="98"/>
      <c r="NE198" s="98"/>
      <c r="NF198" s="98"/>
      <c r="NG198" s="98"/>
      <c r="NH198" s="98"/>
      <c r="NI198" s="98"/>
      <c r="NJ198" s="98"/>
      <c r="NK198" s="98"/>
      <c r="NL198" s="98"/>
      <c r="NM198" s="98"/>
      <c r="NN198" s="98"/>
      <c r="NO198" s="98"/>
      <c r="NP198" s="98"/>
      <c r="NQ198" s="98"/>
      <c r="NR198" s="98"/>
      <c r="NS198" s="98"/>
      <c r="NT198" s="98"/>
      <c r="NU198" s="98"/>
      <c r="NV198" s="98"/>
      <c r="NW198" s="98"/>
      <c r="NX198" s="98"/>
      <c r="NY198" s="98"/>
      <c r="NZ198" s="98"/>
      <c r="OA198" s="98"/>
      <c r="OB198" s="98"/>
      <c r="OC198" s="98"/>
      <c r="OD198" s="98"/>
      <c r="OE198" s="98"/>
      <c r="OF198" s="98"/>
      <c r="OG198" s="98"/>
      <c r="OH198" s="98"/>
      <c r="OI198" s="98"/>
      <c r="OJ198" s="98"/>
      <c r="OK198" s="98"/>
      <c r="OL198" s="98"/>
      <c r="OM198" s="98"/>
      <c r="ON198" s="98"/>
      <c r="OO198" s="98"/>
      <c r="OP198" s="98"/>
      <c r="OQ198" s="98"/>
      <c r="OR198" s="98"/>
      <c r="OS198" s="98"/>
      <c r="OT198" s="98"/>
      <c r="OU198" s="98"/>
      <c r="OV198" s="98"/>
      <c r="OW198" s="98"/>
      <c r="OX198" s="98"/>
      <c r="OY198" s="98"/>
      <c r="OZ198" s="98"/>
      <c r="PA198" s="98"/>
      <c r="PB198" s="98"/>
      <c r="PC198" s="98"/>
      <c r="PD198" s="98"/>
      <c r="PE198" s="98"/>
      <c r="PF198" s="98"/>
      <c r="PG198" s="98"/>
      <c r="PH198" s="98"/>
      <c r="PI198" s="98"/>
      <c r="PJ198" s="98"/>
      <c r="PK198" s="98"/>
      <c r="PL198" s="98"/>
      <c r="PM198" s="98"/>
      <c r="PN198" s="98"/>
      <c r="PO198" s="98"/>
      <c r="PP198" s="98"/>
      <c r="PQ198" s="98"/>
      <c r="PR198" s="98"/>
      <c r="PS198" s="98"/>
      <c r="PT198" s="98"/>
      <c r="PU198" s="98"/>
      <c r="PV198" s="98"/>
      <c r="PW198" s="98"/>
      <c r="PX198" s="98"/>
      <c r="PY198" s="98"/>
      <c r="PZ198" s="98"/>
      <c r="QA198" s="98"/>
      <c r="QB198" s="98"/>
      <c r="QC198" s="98"/>
      <c r="QD198" s="98"/>
      <c r="QE198" s="98"/>
      <c r="QF198" s="98"/>
      <c r="QG198" s="98"/>
      <c r="QH198" s="98"/>
      <c r="QI198" s="98"/>
      <c r="QJ198" s="98"/>
      <c r="QK198" s="98"/>
      <c r="QL198" s="98"/>
      <c r="QM198" s="98"/>
      <c r="QN198" s="98"/>
      <c r="QO198" s="98"/>
      <c r="QP198" s="98"/>
      <c r="QQ198" s="98"/>
      <c r="QR198" s="98"/>
      <c r="QS198" s="98"/>
      <c r="QT198" s="98"/>
      <c r="QU198" s="98"/>
      <c r="QV198" s="98"/>
      <c r="QW198" s="98"/>
      <c r="QX198" s="98"/>
      <c r="QY198" s="98"/>
      <c r="QZ198" s="98"/>
      <c r="RA198" s="98"/>
      <c r="RB198" s="98"/>
      <c r="RC198" s="98"/>
      <c r="RD198" s="98"/>
      <c r="RE198" s="98"/>
      <c r="RF198" s="98"/>
      <c r="RG198" s="98"/>
      <c r="RH198" s="98"/>
      <c r="RI198" s="98"/>
      <c r="RJ198" s="98"/>
      <c r="RK198" s="98"/>
      <c r="RL198" s="98"/>
      <c r="RM198" s="98"/>
      <c r="RN198" s="98"/>
      <c r="RO198" s="98"/>
      <c r="RP198" s="98"/>
      <c r="RQ198" s="98"/>
      <c r="RR198" s="98"/>
      <c r="RS198" s="98"/>
      <c r="RT198" s="98"/>
      <c r="RU198" s="98"/>
      <c r="RV198" s="98"/>
      <c r="RW198" s="98"/>
      <c r="RX198" s="98"/>
      <c r="RY198" s="98"/>
      <c r="RZ198" s="98"/>
      <c r="SA198" s="98"/>
      <c r="SB198" s="98"/>
      <c r="SC198" s="98"/>
      <c r="SD198" s="98"/>
      <c r="SE198" s="98"/>
      <c r="SF198" s="98"/>
      <c r="SG198" s="98"/>
      <c r="SH198" s="98"/>
      <c r="SI198" s="98"/>
      <c r="SJ198" s="98"/>
      <c r="SK198" s="98"/>
      <c r="SL198" s="98"/>
      <c r="SM198" s="98"/>
      <c r="SN198" s="98"/>
      <c r="SO198" s="98"/>
      <c r="SP198" s="98"/>
      <c r="SQ198" s="98"/>
      <c r="SR198" s="98"/>
    </row>
    <row r="199" spans="1:512" s="98" customFormat="1" ht="230.25" outlineLevel="4" thickBot="1" x14ac:dyDescent="0.25">
      <c r="A199" s="43" t="s">
        <v>782</v>
      </c>
      <c r="B199" s="151"/>
      <c r="C199" s="77"/>
      <c r="D199" s="148"/>
      <c r="E199" s="48" t="s">
        <v>71</v>
      </c>
      <c r="F199" s="48" t="s">
        <v>783</v>
      </c>
      <c r="G199" s="87" t="s">
        <v>615</v>
      </c>
      <c r="H199" s="88" t="s">
        <v>127</v>
      </c>
      <c r="I199" s="69">
        <v>3</v>
      </c>
      <c r="J199" s="70" t="s">
        <v>74</v>
      </c>
      <c r="K199" s="93" t="s">
        <v>75</v>
      </c>
      <c r="L199" s="71">
        <v>1</v>
      </c>
      <c r="M199" s="89">
        <v>3</v>
      </c>
      <c r="N199" s="32" t="s">
        <v>39</v>
      </c>
      <c r="O199" s="33" t="s">
        <v>143</v>
      </c>
      <c r="P199" s="71">
        <v>2</v>
      </c>
      <c r="Q199" s="97">
        <f t="shared" si="9"/>
        <v>6</v>
      </c>
      <c r="R199" s="32"/>
      <c r="S199" s="32"/>
      <c r="T199" s="32"/>
      <c r="U199" s="95"/>
      <c r="V199" s="62"/>
      <c r="W199" s="96"/>
      <c r="X199" s="62"/>
      <c r="Y199" s="62"/>
      <c r="Z199" s="33"/>
      <c r="AA199" s="40"/>
      <c r="AB199" s="99"/>
      <c r="AD199" s="17">
        <f t="shared" si="27"/>
        <v>-1560</v>
      </c>
      <c r="AE199" s="18">
        <f t="shared" si="26"/>
        <v>1560</v>
      </c>
    </row>
    <row r="200" spans="1:512" ht="230.25" outlineLevel="4" thickBot="1" x14ac:dyDescent="0.25">
      <c r="A200" s="43" t="s">
        <v>784</v>
      </c>
      <c r="B200" s="174" t="s">
        <v>785</v>
      </c>
      <c r="C200" s="75" t="s">
        <v>786</v>
      </c>
      <c r="D200" s="147" t="s">
        <v>670</v>
      </c>
      <c r="E200" s="48" t="s">
        <v>67</v>
      </c>
      <c r="F200" s="48" t="s">
        <v>647</v>
      </c>
      <c r="G200" s="48" t="s">
        <v>648</v>
      </c>
      <c r="H200" s="39" t="s">
        <v>439</v>
      </c>
      <c r="I200" s="69">
        <v>2</v>
      </c>
      <c r="J200" s="70" t="s">
        <v>84</v>
      </c>
      <c r="K200" s="93" t="s">
        <v>75</v>
      </c>
      <c r="L200" s="71">
        <v>1</v>
      </c>
      <c r="M200" s="89">
        <v>3</v>
      </c>
      <c r="N200" s="32" t="s">
        <v>39</v>
      </c>
      <c r="O200" s="53" t="s">
        <v>76</v>
      </c>
      <c r="P200" s="71">
        <v>5</v>
      </c>
      <c r="Q200" s="97">
        <f t="shared" si="9"/>
        <v>15</v>
      </c>
      <c r="R200" s="72"/>
      <c r="S200" s="72"/>
      <c r="T200" s="72"/>
      <c r="U200" s="50"/>
      <c r="V200" s="51"/>
      <c r="W200" s="52"/>
      <c r="X200" s="51"/>
      <c r="Y200" s="51"/>
      <c r="Z200" s="53"/>
      <c r="AA200" s="40"/>
      <c r="AB200" s="41"/>
      <c r="AC200" s="98"/>
      <c r="AD200" s="17">
        <f t="shared" si="27"/>
        <v>-1561</v>
      </c>
      <c r="AE200" s="18">
        <f t="shared" si="26"/>
        <v>1561</v>
      </c>
      <c r="AF200" s="98"/>
      <c r="AG200" s="98"/>
      <c r="AH200" s="98"/>
      <c r="AI200" s="98"/>
      <c r="AJ200" s="98"/>
      <c r="AK200" s="98"/>
      <c r="AL200" s="98"/>
      <c r="AM200" s="98"/>
      <c r="AN200" s="98"/>
      <c r="AO200" s="98"/>
      <c r="AP200" s="98"/>
      <c r="AQ200" s="98"/>
      <c r="AR200" s="98"/>
      <c r="AS200" s="98"/>
      <c r="AT200" s="98"/>
      <c r="AU200" s="98"/>
      <c r="AV200" s="98"/>
      <c r="AW200" s="98"/>
      <c r="AX200" s="98"/>
      <c r="AY200" s="98"/>
      <c r="AZ200" s="98"/>
      <c r="BA200" s="98"/>
      <c r="BB200" s="98"/>
      <c r="BC200" s="98"/>
      <c r="BD200" s="98"/>
      <c r="BE200" s="98"/>
      <c r="BF200" s="98"/>
      <c r="BG200" s="98"/>
      <c r="BH200" s="98"/>
      <c r="BI200" s="98"/>
      <c r="BJ200" s="98"/>
      <c r="BK200" s="98"/>
      <c r="BL200" s="98"/>
      <c r="BM200" s="98"/>
      <c r="BN200" s="98"/>
      <c r="BO200" s="98"/>
      <c r="BP200" s="98"/>
      <c r="BQ200" s="98"/>
      <c r="BR200" s="98"/>
      <c r="BS200" s="98"/>
      <c r="BT200" s="98"/>
      <c r="BU200" s="98"/>
      <c r="BV200" s="98"/>
      <c r="BW200" s="98"/>
      <c r="BX200" s="98"/>
      <c r="BY200" s="98"/>
      <c r="BZ200" s="98"/>
      <c r="CA200" s="98"/>
      <c r="CB200" s="98"/>
      <c r="CC200" s="98"/>
      <c r="CD200" s="98"/>
      <c r="CE200" s="98"/>
      <c r="CF200" s="98"/>
      <c r="CG200" s="98"/>
      <c r="CH200" s="98"/>
      <c r="CI200" s="98"/>
      <c r="CJ200" s="98"/>
      <c r="CK200" s="98"/>
      <c r="CL200" s="98"/>
      <c r="CM200" s="98"/>
      <c r="CN200" s="98"/>
      <c r="CO200" s="98"/>
      <c r="CP200" s="98"/>
      <c r="CQ200" s="98"/>
      <c r="CR200" s="98"/>
      <c r="CS200" s="98"/>
      <c r="CT200" s="98"/>
      <c r="CU200" s="98"/>
      <c r="CV200" s="98"/>
      <c r="CW200" s="98"/>
      <c r="CX200" s="98"/>
      <c r="CY200" s="98"/>
      <c r="CZ200" s="98"/>
      <c r="DA200" s="98"/>
      <c r="DB200" s="98"/>
      <c r="DC200" s="98"/>
      <c r="DD200" s="98"/>
      <c r="DE200" s="98"/>
      <c r="DF200" s="98"/>
      <c r="DG200" s="98"/>
      <c r="DH200" s="98"/>
      <c r="DI200" s="98"/>
      <c r="DJ200" s="98"/>
      <c r="DK200" s="98"/>
      <c r="DL200" s="98"/>
      <c r="DM200" s="98"/>
      <c r="DN200" s="98"/>
      <c r="DO200" s="98"/>
      <c r="DP200" s="98"/>
      <c r="DQ200" s="98"/>
      <c r="DR200" s="98"/>
      <c r="DS200" s="98"/>
      <c r="DT200" s="98"/>
      <c r="DU200" s="98"/>
      <c r="DV200" s="98"/>
      <c r="DW200" s="98"/>
      <c r="DX200" s="98"/>
      <c r="DY200" s="98"/>
      <c r="DZ200" s="98"/>
      <c r="EA200" s="98"/>
      <c r="EB200" s="98"/>
      <c r="EC200" s="98"/>
      <c r="ED200" s="98"/>
      <c r="EE200" s="98"/>
      <c r="EF200" s="98"/>
      <c r="EG200" s="98"/>
      <c r="EH200" s="98"/>
      <c r="EI200" s="98"/>
      <c r="EJ200" s="98"/>
      <c r="EK200" s="98"/>
      <c r="EL200" s="98"/>
      <c r="EM200" s="98"/>
      <c r="EN200" s="98"/>
      <c r="EO200" s="98"/>
      <c r="EP200" s="98"/>
      <c r="EQ200" s="98"/>
      <c r="ER200" s="98"/>
      <c r="ES200" s="98"/>
      <c r="ET200" s="98"/>
      <c r="EU200" s="98"/>
      <c r="EV200" s="98"/>
      <c r="EW200" s="98"/>
      <c r="EX200" s="98"/>
      <c r="EY200" s="98"/>
      <c r="EZ200" s="98"/>
      <c r="FA200" s="98"/>
      <c r="FB200" s="98"/>
      <c r="FC200" s="98"/>
      <c r="FD200" s="98"/>
      <c r="FE200" s="98"/>
      <c r="FF200" s="98"/>
      <c r="FG200" s="98"/>
      <c r="FH200" s="98"/>
      <c r="FI200" s="98"/>
      <c r="FJ200" s="98"/>
      <c r="FK200" s="98"/>
      <c r="FL200" s="98"/>
      <c r="FM200" s="98"/>
      <c r="FN200" s="98"/>
      <c r="FO200" s="98"/>
      <c r="FP200" s="98"/>
      <c r="FQ200" s="98"/>
      <c r="FR200" s="98"/>
      <c r="FS200" s="98"/>
      <c r="FT200" s="98"/>
      <c r="FU200" s="98"/>
      <c r="FV200" s="98"/>
      <c r="FW200" s="98"/>
      <c r="FX200" s="98"/>
      <c r="FY200" s="98"/>
      <c r="FZ200" s="98"/>
      <c r="GA200" s="98"/>
      <c r="GB200" s="98"/>
      <c r="GC200" s="98"/>
      <c r="GD200" s="98"/>
      <c r="GE200" s="98"/>
      <c r="GF200" s="98"/>
      <c r="GG200" s="98"/>
      <c r="GH200" s="98"/>
      <c r="GI200" s="98"/>
      <c r="GJ200" s="98"/>
      <c r="GK200" s="98"/>
      <c r="GL200" s="98"/>
      <c r="GM200" s="98"/>
      <c r="GN200" s="98"/>
      <c r="GO200" s="98"/>
      <c r="GP200" s="98"/>
      <c r="GQ200" s="98"/>
      <c r="GR200" s="98"/>
      <c r="GS200" s="98"/>
      <c r="GT200" s="98"/>
      <c r="GU200" s="98"/>
      <c r="GV200" s="98"/>
      <c r="GW200" s="98"/>
      <c r="GX200" s="98"/>
      <c r="GY200" s="98"/>
      <c r="GZ200" s="98"/>
      <c r="HA200" s="98"/>
      <c r="HB200" s="98"/>
      <c r="HC200" s="98"/>
      <c r="HD200" s="98"/>
      <c r="HE200" s="98"/>
      <c r="HF200" s="98"/>
      <c r="HG200" s="98"/>
      <c r="HH200" s="98"/>
      <c r="HI200" s="98"/>
      <c r="HJ200" s="98"/>
      <c r="HK200" s="98"/>
      <c r="HL200" s="98"/>
      <c r="HM200" s="98"/>
      <c r="HN200" s="98"/>
      <c r="HO200" s="98"/>
      <c r="HP200" s="98"/>
      <c r="HQ200" s="98"/>
      <c r="HR200" s="98"/>
      <c r="HS200" s="98"/>
      <c r="HT200" s="98"/>
      <c r="HU200" s="98"/>
      <c r="HV200" s="98"/>
      <c r="HW200" s="98"/>
      <c r="HX200" s="98"/>
      <c r="HY200" s="98"/>
      <c r="HZ200" s="98"/>
      <c r="IA200" s="98"/>
      <c r="IB200" s="98"/>
      <c r="IC200" s="98"/>
      <c r="ID200" s="98"/>
      <c r="IE200" s="98"/>
      <c r="IF200" s="98"/>
      <c r="IG200" s="98"/>
      <c r="IH200" s="98"/>
      <c r="II200" s="98"/>
      <c r="IJ200" s="98"/>
      <c r="IK200" s="98"/>
      <c r="IL200" s="98"/>
      <c r="IM200" s="98"/>
      <c r="IN200" s="98"/>
      <c r="IO200" s="98"/>
      <c r="IP200" s="98"/>
      <c r="IQ200" s="98"/>
      <c r="IR200" s="98"/>
      <c r="IS200" s="98"/>
      <c r="IT200" s="98"/>
      <c r="IU200" s="98"/>
      <c r="IV200" s="98"/>
      <c r="IW200" s="98"/>
      <c r="IX200" s="98"/>
      <c r="IY200" s="98"/>
      <c r="IZ200" s="98"/>
      <c r="JA200" s="98"/>
      <c r="JB200" s="98"/>
      <c r="JC200" s="98"/>
      <c r="JD200" s="98"/>
      <c r="JE200" s="98"/>
      <c r="JF200" s="98"/>
      <c r="JG200" s="98"/>
      <c r="JH200" s="98"/>
      <c r="JI200" s="98"/>
      <c r="JJ200" s="98"/>
      <c r="JK200" s="98"/>
      <c r="JL200" s="98"/>
      <c r="JM200" s="98"/>
      <c r="JN200" s="98"/>
      <c r="JO200" s="98"/>
      <c r="JP200" s="98"/>
      <c r="JQ200" s="98"/>
      <c r="JR200" s="98"/>
      <c r="JS200" s="98"/>
      <c r="JT200" s="98"/>
      <c r="JU200" s="98"/>
      <c r="JV200" s="98"/>
      <c r="JW200" s="98"/>
      <c r="JX200" s="98"/>
      <c r="JY200" s="98"/>
      <c r="JZ200" s="98"/>
      <c r="KA200" s="98"/>
      <c r="KB200" s="98"/>
      <c r="KC200" s="98"/>
      <c r="KD200" s="98"/>
      <c r="KE200" s="98"/>
      <c r="KF200" s="98"/>
      <c r="KG200" s="98"/>
      <c r="KH200" s="98"/>
      <c r="KI200" s="98"/>
      <c r="KJ200" s="98"/>
      <c r="KK200" s="98"/>
      <c r="KL200" s="98"/>
      <c r="KM200" s="98"/>
      <c r="KN200" s="98"/>
      <c r="KO200" s="98"/>
      <c r="KP200" s="98"/>
      <c r="KQ200" s="98"/>
      <c r="KR200" s="98"/>
      <c r="KS200" s="98"/>
      <c r="KT200" s="98"/>
      <c r="KU200" s="98"/>
      <c r="KV200" s="98"/>
      <c r="KW200" s="98"/>
      <c r="KX200" s="98"/>
      <c r="KY200" s="98"/>
      <c r="KZ200" s="98"/>
      <c r="LA200" s="98"/>
      <c r="LB200" s="98"/>
      <c r="LC200" s="98"/>
      <c r="LD200" s="98"/>
      <c r="LE200" s="98"/>
      <c r="LF200" s="98"/>
      <c r="LG200" s="98"/>
      <c r="LH200" s="98"/>
      <c r="LI200" s="98"/>
      <c r="LJ200" s="98"/>
      <c r="LK200" s="98"/>
      <c r="LL200" s="98"/>
      <c r="LM200" s="98"/>
      <c r="LN200" s="98"/>
      <c r="LO200" s="98"/>
      <c r="LP200" s="98"/>
      <c r="LQ200" s="98"/>
      <c r="LR200" s="98"/>
      <c r="LS200" s="98"/>
      <c r="LT200" s="98"/>
      <c r="LU200" s="98"/>
      <c r="LV200" s="98"/>
      <c r="LW200" s="98"/>
      <c r="LX200" s="98"/>
      <c r="LY200" s="98"/>
      <c r="LZ200" s="98"/>
      <c r="MA200" s="98"/>
      <c r="MB200" s="98"/>
      <c r="MC200" s="98"/>
      <c r="MD200" s="98"/>
      <c r="ME200" s="98"/>
      <c r="MF200" s="98"/>
      <c r="MG200" s="98"/>
      <c r="MH200" s="98"/>
      <c r="MI200" s="98"/>
      <c r="MJ200" s="98"/>
      <c r="MK200" s="98"/>
      <c r="ML200" s="98"/>
      <c r="MM200" s="98"/>
      <c r="MN200" s="98"/>
      <c r="MO200" s="98"/>
      <c r="MP200" s="98"/>
      <c r="MQ200" s="98"/>
      <c r="MR200" s="98"/>
      <c r="MS200" s="98"/>
      <c r="MT200" s="98"/>
      <c r="MU200" s="98"/>
      <c r="MV200" s="98"/>
      <c r="MW200" s="98"/>
      <c r="MX200" s="98"/>
      <c r="MY200" s="98"/>
      <c r="MZ200" s="98"/>
      <c r="NA200" s="98"/>
      <c r="NB200" s="98"/>
      <c r="NC200" s="98"/>
      <c r="ND200" s="98"/>
      <c r="NE200" s="98"/>
      <c r="NF200" s="98"/>
      <c r="NG200" s="98"/>
      <c r="NH200" s="98"/>
      <c r="NI200" s="98"/>
      <c r="NJ200" s="98"/>
      <c r="NK200" s="98"/>
      <c r="NL200" s="98"/>
      <c r="NM200" s="98"/>
      <c r="NN200" s="98"/>
      <c r="NO200" s="98"/>
      <c r="NP200" s="98"/>
      <c r="NQ200" s="98"/>
      <c r="NR200" s="98"/>
      <c r="NS200" s="98"/>
      <c r="NT200" s="98"/>
      <c r="NU200" s="98"/>
      <c r="NV200" s="98"/>
      <c r="NW200" s="98"/>
      <c r="NX200" s="98"/>
      <c r="NY200" s="98"/>
      <c r="NZ200" s="98"/>
      <c r="OA200" s="98"/>
      <c r="OB200" s="98"/>
      <c r="OC200" s="98"/>
      <c r="OD200" s="98"/>
      <c r="OE200" s="98"/>
      <c r="OF200" s="98"/>
      <c r="OG200" s="98"/>
      <c r="OH200" s="98"/>
      <c r="OI200" s="98"/>
      <c r="OJ200" s="98"/>
      <c r="OK200" s="98"/>
      <c r="OL200" s="98"/>
      <c r="OM200" s="98"/>
      <c r="ON200" s="98"/>
      <c r="OO200" s="98"/>
      <c r="OP200" s="98"/>
      <c r="OQ200" s="98"/>
      <c r="OR200" s="98"/>
      <c r="OS200" s="98"/>
      <c r="OT200" s="98"/>
      <c r="OU200" s="98"/>
      <c r="OV200" s="98"/>
      <c r="OW200" s="98"/>
      <c r="OX200" s="98"/>
      <c r="OY200" s="98"/>
      <c r="OZ200" s="98"/>
      <c r="PA200" s="98"/>
      <c r="PB200" s="98"/>
      <c r="PC200" s="98"/>
      <c r="PD200" s="98"/>
      <c r="PE200" s="98"/>
      <c r="PF200" s="98"/>
      <c r="PG200" s="98"/>
      <c r="PH200" s="98"/>
      <c r="PI200" s="98"/>
      <c r="PJ200" s="98"/>
      <c r="PK200" s="98"/>
      <c r="PL200" s="98"/>
      <c r="PM200" s="98"/>
      <c r="PN200" s="98"/>
      <c r="PO200" s="98"/>
      <c r="PP200" s="98"/>
      <c r="PQ200" s="98"/>
      <c r="PR200" s="98"/>
      <c r="PS200" s="98"/>
      <c r="PT200" s="98"/>
      <c r="PU200" s="98"/>
      <c r="PV200" s="98"/>
      <c r="PW200" s="98"/>
      <c r="PX200" s="98"/>
      <c r="PY200" s="98"/>
      <c r="PZ200" s="98"/>
      <c r="QA200" s="98"/>
      <c r="QB200" s="98"/>
      <c r="QC200" s="98"/>
      <c r="QD200" s="98"/>
      <c r="QE200" s="98"/>
      <c r="QF200" s="98"/>
      <c r="QG200" s="98"/>
      <c r="QH200" s="98"/>
      <c r="QI200" s="98"/>
      <c r="QJ200" s="98"/>
      <c r="QK200" s="98"/>
      <c r="QL200" s="98"/>
      <c r="QM200" s="98"/>
      <c r="QN200" s="98"/>
      <c r="QO200" s="98"/>
      <c r="QP200" s="98"/>
      <c r="QQ200" s="98"/>
      <c r="QR200" s="98"/>
      <c r="QS200" s="98"/>
      <c r="QT200" s="98"/>
      <c r="QU200" s="98"/>
      <c r="QV200" s="98"/>
      <c r="QW200" s="98"/>
      <c r="QX200" s="98"/>
      <c r="QY200" s="98"/>
      <c r="QZ200" s="98"/>
      <c r="RA200" s="98"/>
      <c r="RB200" s="98"/>
      <c r="RC200" s="98"/>
      <c r="RD200" s="98"/>
      <c r="RE200" s="98"/>
      <c r="RF200" s="98"/>
      <c r="RG200" s="98"/>
      <c r="RH200" s="98"/>
      <c r="RI200" s="98"/>
      <c r="RJ200" s="98"/>
      <c r="RK200" s="98"/>
      <c r="RL200" s="98"/>
      <c r="RM200" s="98"/>
      <c r="RN200" s="98"/>
      <c r="RO200" s="98"/>
      <c r="RP200" s="98"/>
      <c r="RQ200" s="98"/>
      <c r="RR200" s="98"/>
      <c r="RS200" s="98"/>
      <c r="RT200" s="98"/>
      <c r="RU200" s="98"/>
      <c r="RV200" s="98"/>
      <c r="RW200" s="98"/>
      <c r="RX200" s="98"/>
      <c r="RY200" s="98"/>
      <c r="RZ200" s="98"/>
      <c r="SA200" s="98"/>
      <c r="SB200" s="98"/>
      <c r="SC200" s="98"/>
      <c r="SD200" s="98"/>
      <c r="SE200" s="98"/>
      <c r="SF200" s="98"/>
      <c r="SG200" s="98"/>
      <c r="SH200" s="98"/>
      <c r="SI200" s="98"/>
      <c r="SJ200" s="98"/>
      <c r="SK200" s="98"/>
      <c r="SL200" s="98"/>
      <c r="SM200" s="98"/>
      <c r="SN200" s="98"/>
      <c r="SO200" s="98"/>
      <c r="SP200" s="98"/>
      <c r="SQ200" s="98"/>
      <c r="SR200" s="98"/>
    </row>
    <row r="201" spans="1:512" s="100" customFormat="1" ht="230.25" outlineLevel="4" thickBot="1" x14ac:dyDescent="0.25">
      <c r="A201" s="43" t="s">
        <v>787</v>
      </c>
      <c r="B201" s="175"/>
      <c r="C201" s="77"/>
      <c r="D201" s="148"/>
      <c r="E201" s="48" t="s">
        <v>71</v>
      </c>
      <c r="F201" s="48" t="s">
        <v>788</v>
      </c>
      <c r="G201" s="87" t="s">
        <v>615</v>
      </c>
      <c r="H201" s="88" t="s">
        <v>127</v>
      </c>
      <c r="I201" s="69">
        <v>3</v>
      </c>
      <c r="J201" s="70" t="s">
        <v>74</v>
      </c>
      <c r="K201" s="93" t="s">
        <v>75</v>
      </c>
      <c r="L201" s="71">
        <v>1</v>
      </c>
      <c r="M201" s="89">
        <v>3</v>
      </c>
      <c r="N201" s="32" t="s">
        <v>39</v>
      </c>
      <c r="O201" s="33" t="s">
        <v>143</v>
      </c>
      <c r="P201" s="71">
        <v>3</v>
      </c>
      <c r="Q201" s="97">
        <f t="shared" si="9"/>
        <v>9</v>
      </c>
      <c r="R201" s="32"/>
      <c r="S201" s="32"/>
      <c r="T201" s="32"/>
      <c r="U201" s="95"/>
      <c r="V201" s="62"/>
      <c r="W201" s="96"/>
      <c r="X201" s="62"/>
      <c r="Y201" s="62"/>
      <c r="Z201" s="33"/>
      <c r="AA201" s="40"/>
      <c r="AB201" s="99"/>
      <c r="AC201" s="98"/>
      <c r="AD201" s="17">
        <f t="shared" si="27"/>
        <v>-1562</v>
      </c>
      <c r="AE201" s="18">
        <f t="shared" si="26"/>
        <v>1562</v>
      </c>
      <c r="AF201" s="98"/>
      <c r="AG201" s="98"/>
      <c r="AH201" s="98"/>
      <c r="AI201" s="98"/>
      <c r="AJ201" s="98"/>
      <c r="AK201" s="98"/>
      <c r="AL201" s="98"/>
      <c r="AM201" s="98"/>
      <c r="AN201" s="98"/>
      <c r="AO201" s="98"/>
      <c r="AP201" s="98"/>
      <c r="AQ201" s="98"/>
      <c r="AR201" s="98"/>
      <c r="AS201" s="98"/>
      <c r="AT201" s="98"/>
      <c r="AU201" s="98"/>
      <c r="AV201" s="98"/>
      <c r="AW201" s="98"/>
      <c r="AX201" s="98"/>
      <c r="AY201" s="98"/>
      <c r="AZ201" s="98"/>
      <c r="BA201" s="98"/>
      <c r="BB201" s="98"/>
      <c r="BC201" s="98"/>
      <c r="BD201" s="98"/>
      <c r="BE201" s="98"/>
      <c r="BF201" s="98"/>
      <c r="BG201" s="98"/>
      <c r="BH201" s="98"/>
      <c r="BI201" s="98"/>
      <c r="BJ201" s="98"/>
      <c r="BK201" s="98"/>
      <c r="BL201" s="98"/>
      <c r="BM201" s="98"/>
      <c r="BN201" s="98"/>
      <c r="BO201" s="98"/>
      <c r="BP201" s="98"/>
      <c r="BQ201" s="98"/>
      <c r="BR201" s="98"/>
      <c r="BS201" s="98"/>
      <c r="BT201" s="98"/>
      <c r="BU201" s="98"/>
      <c r="BV201" s="98"/>
      <c r="BW201" s="98"/>
      <c r="BX201" s="98"/>
      <c r="BY201" s="98"/>
      <c r="BZ201" s="98"/>
      <c r="CA201" s="98"/>
      <c r="CB201" s="98"/>
      <c r="CC201" s="98"/>
      <c r="CD201" s="98"/>
      <c r="CE201" s="98"/>
      <c r="CF201" s="98"/>
      <c r="CG201" s="98"/>
      <c r="CH201" s="98"/>
      <c r="CI201" s="98"/>
      <c r="CJ201" s="98"/>
      <c r="CK201" s="98"/>
      <c r="CL201" s="98"/>
      <c r="CM201" s="98"/>
      <c r="CN201" s="98"/>
      <c r="CO201" s="98"/>
      <c r="CP201" s="98"/>
      <c r="CQ201" s="98"/>
      <c r="CR201" s="98"/>
      <c r="CS201" s="98"/>
      <c r="CT201" s="98"/>
      <c r="CU201" s="98"/>
      <c r="CV201" s="98"/>
      <c r="CW201" s="98"/>
      <c r="CX201" s="98"/>
      <c r="CY201" s="98"/>
      <c r="CZ201" s="98"/>
      <c r="DA201" s="98"/>
      <c r="DB201" s="98"/>
      <c r="DC201" s="98"/>
      <c r="DD201" s="98"/>
      <c r="DE201" s="98"/>
      <c r="DF201" s="98"/>
      <c r="DG201" s="98"/>
      <c r="DH201" s="98"/>
      <c r="DI201" s="98"/>
      <c r="DJ201" s="98"/>
      <c r="DK201" s="98"/>
      <c r="DL201" s="98"/>
      <c r="DM201" s="98"/>
      <c r="DN201" s="98"/>
      <c r="DO201" s="98"/>
      <c r="DP201" s="98"/>
      <c r="DQ201" s="98"/>
      <c r="DR201" s="98"/>
      <c r="DS201" s="98"/>
      <c r="DT201" s="98"/>
      <c r="DU201" s="98"/>
      <c r="DV201" s="98"/>
      <c r="DW201" s="98"/>
      <c r="DX201" s="98"/>
      <c r="DY201" s="98"/>
      <c r="DZ201" s="98"/>
      <c r="EA201" s="98"/>
      <c r="EB201" s="98"/>
      <c r="EC201" s="98"/>
      <c r="ED201" s="98"/>
      <c r="EE201" s="98"/>
      <c r="EF201" s="98"/>
      <c r="EG201" s="98"/>
      <c r="EH201" s="98"/>
      <c r="EI201" s="98"/>
      <c r="EJ201" s="98"/>
      <c r="EK201" s="98"/>
      <c r="EL201" s="98"/>
      <c r="EM201" s="98"/>
      <c r="EN201" s="98"/>
      <c r="EO201" s="98"/>
      <c r="EP201" s="98"/>
      <c r="EQ201" s="98"/>
      <c r="ER201" s="98"/>
      <c r="ES201" s="98"/>
      <c r="ET201" s="98"/>
      <c r="EU201" s="98"/>
      <c r="EV201" s="98"/>
      <c r="EW201" s="98"/>
      <c r="EX201" s="98"/>
      <c r="EY201" s="98"/>
      <c r="EZ201" s="98"/>
      <c r="FA201" s="98"/>
      <c r="FB201" s="98"/>
      <c r="FC201" s="98"/>
      <c r="FD201" s="98"/>
      <c r="FE201" s="98"/>
      <c r="FF201" s="98"/>
      <c r="FG201" s="98"/>
      <c r="FH201" s="98"/>
      <c r="FI201" s="98"/>
      <c r="FJ201" s="98"/>
      <c r="FK201" s="98"/>
      <c r="FL201" s="98"/>
      <c r="FM201" s="98"/>
      <c r="FN201" s="98"/>
      <c r="FO201" s="98"/>
      <c r="FP201" s="98"/>
      <c r="FQ201" s="98"/>
      <c r="FR201" s="98"/>
      <c r="FS201" s="98"/>
      <c r="FT201" s="98"/>
      <c r="FU201" s="98"/>
      <c r="FV201" s="98"/>
      <c r="FW201" s="98"/>
      <c r="FX201" s="98"/>
      <c r="FY201" s="98"/>
      <c r="FZ201" s="98"/>
      <c r="GA201" s="98"/>
      <c r="GB201" s="98"/>
      <c r="GC201" s="98"/>
      <c r="GD201" s="98"/>
      <c r="GE201" s="98"/>
      <c r="GF201" s="98"/>
      <c r="GG201" s="98"/>
      <c r="GH201" s="98"/>
      <c r="GI201" s="98"/>
      <c r="GJ201" s="98"/>
      <c r="GK201" s="98"/>
      <c r="GL201" s="98"/>
      <c r="GM201" s="98"/>
      <c r="GN201" s="98"/>
      <c r="GO201" s="98"/>
      <c r="GP201" s="98"/>
      <c r="GQ201" s="98"/>
      <c r="GR201" s="98"/>
      <c r="GS201" s="98"/>
      <c r="GT201" s="98"/>
      <c r="GU201" s="98"/>
      <c r="GV201" s="98"/>
      <c r="GW201" s="98"/>
      <c r="GX201" s="98"/>
      <c r="GY201" s="98"/>
      <c r="GZ201" s="98"/>
      <c r="HA201" s="98"/>
      <c r="HB201" s="98"/>
      <c r="HC201" s="98"/>
      <c r="HD201" s="98"/>
      <c r="HE201" s="98"/>
      <c r="HF201" s="98"/>
      <c r="HG201" s="98"/>
      <c r="HH201" s="98"/>
      <c r="HI201" s="98"/>
      <c r="HJ201" s="98"/>
      <c r="HK201" s="98"/>
      <c r="HL201" s="98"/>
      <c r="HM201" s="98"/>
      <c r="HN201" s="98"/>
      <c r="HO201" s="98"/>
      <c r="HP201" s="98"/>
      <c r="HQ201" s="98"/>
      <c r="HR201" s="98"/>
      <c r="HS201" s="98"/>
      <c r="HT201" s="98"/>
      <c r="HU201" s="98"/>
      <c r="HV201" s="98"/>
      <c r="HW201" s="98"/>
      <c r="HX201" s="98"/>
      <c r="HY201" s="98"/>
      <c r="HZ201" s="98"/>
      <c r="IA201" s="98"/>
      <c r="IB201" s="98"/>
      <c r="IC201" s="98"/>
      <c r="ID201" s="98"/>
      <c r="IE201" s="98"/>
      <c r="IF201" s="98"/>
      <c r="IG201" s="98"/>
      <c r="IH201" s="98"/>
      <c r="II201" s="98"/>
      <c r="IJ201" s="98"/>
      <c r="IK201" s="98"/>
      <c r="IL201" s="98"/>
      <c r="IM201" s="98"/>
      <c r="IN201" s="98"/>
      <c r="IO201" s="98"/>
      <c r="IP201" s="98"/>
      <c r="IQ201" s="98"/>
      <c r="IR201" s="98"/>
      <c r="IS201" s="98"/>
      <c r="IT201" s="98"/>
      <c r="IU201" s="98"/>
      <c r="IV201" s="98"/>
      <c r="IW201" s="98"/>
      <c r="IX201" s="98"/>
      <c r="IY201" s="98"/>
      <c r="IZ201" s="98"/>
      <c r="JA201" s="98"/>
      <c r="JB201" s="98"/>
      <c r="JC201" s="98"/>
      <c r="JD201" s="98"/>
      <c r="JE201" s="98"/>
      <c r="JF201" s="98"/>
      <c r="JG201" s="98"/>
      <c r="JH201" s="98"/>
      <c r="JI201" s="98"/>
      <c r="JJ201" s="98"/>
      <c r="JK201" s="98"/>
      <c r="JL201" s="98"/>
      <c r="JM201" s="98"/>
      <c r="JN201" s="98"/>
      <c r="JO201" s="98"/>
      <c r="JP201" s="98"/>
      <c r="JQ201" s="98"/>
      <c r="JR201" s="98"/>
      <c r="JS201" s="98"/>
      <c r="JT201" s="98"/>
      <c r="JU201" s="98"/>
      <c r="JV201" s="98"/>
      <c r="JW201" s="98"/>
      <c r="JX201" s="98"/>
      <c r="JY201" s="98"/>
      <c r="JZ201" s="98"/>
      <c r="KA201" s="98"/>
      <c r="KB201" s="98"/>
      <c r="KC201" s="98"/>
      <c r="KD201" s="98"/>
      <c r="KE201" s="98"/>
      <c r="KF201" s="98"/>
      <c r="KG201" s="98"/>
      <c r="KH201" s="98"/>
      <c r="KI201" s="98"/>
      <c r="KJ201" s="98"/>
      <c r="KK201" s="98"/>
      <c r="KL201" s="98"/>
      <c r="KM201" s="98"/>
      <c r="KN201" s="98"/>
      <c r="KO201" s="98"/>
      <c r="KP201" s="98"/>
      <c r="KQ201" s="98"/>
      <c r="KR201" s="98"/>
      <c r="KS201" s="98"/>
      <c r="KT201" s="98"/>
      <c r="KU201" s="98"/>
      <c r="KV201" s="98"/>
      <c r="KW201" s="98"/>
      <c r="KX201" s="98"/>
      <c r="KY201" s="98"/>
      <c r="KZ201" s="98"/>
      <c r="LA201" s="98"/>
      <c r="LB201" s="98"/>
      <c r="LC201" s="98"/>
      <c r="LD201" s="98"/>
      <c r="LE201" s="98"/>
      <c r="LF201" s="98"/>
      <c r="LG201" s="98"/>
      <c r="LH201" s="98"/>
      <c r="LI201" s="98"/>
      <c r="LJ201" s="98"/>
      <c r="LK201" s="98"/>
      <c r="LL201" s="98"/>
      <c r="LM201" s="98"/>
      <c r="LN201" s="98"/>
      <c r="LO201" s="98"/>
      <c r="LP201" s="98"/>
      <c r="LQ201" s="98"/>
      <c r="LR201" s="98"/>
      <c r="LS201" s="98"/>
      <c r="LT201" s="98"/>
      <c r="LU201" s="98"/>
      <c r="LV201" s="98"/>
      <c r="LW201" s="98"/>
      <c r="LX201" s="98"/>
      <c r="LY201" s="98"/>
      <c r="LZ201" s="98"/>
      <c r="MA201" s="98"/>
      <c r="MB201" s="98"/>
      <c r="MC201" s="98"/>
      <c r="MD201" s="98"/>
      <c r="ME201" s="98"/>
      <c r="MF201" s="98"/>
      <c r="MG201" s="98"/>
      <c r="MH201" s="98"/>
      <c r="MI201" s="98"/>
      <c r="MJ201" s="98"/>
      <c r="MK201" s="98"/>
      <c r="ML201" s="98"/>
      <c r="MM201" s="98"/>
      <c r="MN201" s="98"/>
      <c r="MO201" s="98"/>
      <c r="MP201" s="98"/>
      <c r="MQ201" s="98"/>
      <c r="MR201" s="98"/>
      <c r="MS201" s="98"/>
      <c r="MT201" s="98"/>
      <c r="MU201" s="98"/>
      <c r="MV201" s="98"/>
      <c r="MW201" s="98"/>
      <c r="MX201" s="98"/>
      <c r="MY201" s="98"/>
      <c r="MZ201" s="98"/>
      <c r="NA201" s="98"/>
      <c r="NB201" s="98"/>
      <c r="NC201" s="98"/>
      <c r="ND201" s="98"/>
      <c r="NE201" s="98"/>
      <c r="NF201" s="98"/>
      <c r="NG201" s="98"/>
      <c r="NH201" s="98"/>
      <c r="NI201" s="98"/>
      <c r="NJ201" s="98"/>
      <c r="NK201" s="98"/>
      <c r="NL201" s="98"/>
      <c r="NM201" s="98"/>
      <c r="NN201" s="98"/>
      <c r="NO201" s="98"/>
      <c r="NP201" s="98"/>
      <c r="NQ201" s="98"/>
      <c r="NR201" s="98"/>
      <c r="NS201" s="98"/>
      <c r="NT201" s="98"/>
      <c r="NU201" s="98"/>
      <c r="NV201" s="98"/>
      <c r="NW201" s="98"/>
      <c r="NX201" s="98"/>
      <c r="NY201" s="98"/>
      <c r="NZ201" s="98"/>
      <c r="OA201" s="98"/>
      <c r="OB201" s="98"/>
      <c r="OC201" s="98"/>
      <c r="OD201" s="98"/>
      <c r="OE201" s="98"/>
      <c r="OF201" s="98"/>
      <c r="OG201" s="98"/>
      <c r="OH201" s="98"/>
      <c r="OI201" s="98"/>
      <c r="OJ201" s="98"/>
      <c r="OK201" s="98"/>
      <c r="OL201" s="98"/>
      <c r="OM201" s="98"/>
      <c r="ON201" s="98"/>
      <c r="OO201" s="98"/>
      <c r="OP201" s="98"/>
      <c r="OQ201" s="98"/>
      <c r="OR201" s="98"/>
      <c r="OS201" s="98"/>
      <c r="OT201" s="98"/>
      <c r="OU201" s="98"/>
      <c r="OV201" s="98"/>
      <c r="OW201" s="98"/>
      <c r="OX201" s="98"/>
      <c r="OY201" s="98"/>
      <c r="OZ201" s="98"/>
      <c r="PA201" s="98"/>
      <c r="PB201" s="98"/>
      <c r="PC201" s="98"/>
      <c r="PD201" s="98"/>
      <c r="PE201" s="98"/>
      <c r="PF201" s="98"/>
      <c r="PG201" s="98"/>
      <c r="PH201" s="98"/>
      <c r="PI201" s="98"/>
      <c r="PJ201" s="98"/>
      <c r="PK201" s="98"/>
      <c r="PL201" s="98"/>
      <c r="PM201" s="98"/>
      <c r="PN201" s="98"/>
      <c r="PO201" s="98"/>
      <c r="PP201" s="98"/>
      <c r="PQ201" s="98"/>
      <c r="PR201" s="98"/>
      <c r="PS201" s="98"/>
      <c r="PT201" s="98"/>
      <c r="PU201" s="98"/>
      <c r="PV201" s="98"/>
      <c r="PW201" s="98"/>
      <c r="PX201" s="98"/>
      <c r="PY201" s="98"/>
      <c r="PZ201" s="98"/>
      <c r="QA201" s="98"/>
      <c r="QB201" s="98"/>
      <c r="QC201" s="98"/>
      <c r="QD201" s="98"/>
      <c r="QE201" s="98"/>
      <c r="QF201" s="98"/>
      <c r="QG201" s="98"/>
      <c r="QH201" s="98"/>
      <c r="QI201" s="98"/>
      <c r="QJ201" s="98"/>
      <c r="QK201" s="98"/>
      <c r="QL201" s="98"/>
      <c r="QM201" s="98"/>
      <c r="QN201" s="98"/>
      <c r="QO201" s="98"/>
      <c r="QP201" s="98"/>
      <c r="QQ201" s="98"/>
      <c r="QR201" s="98"/>
      <c r="QS201" s="98"/>
      <c r="QT201" s="98"/>
      <c r="QU201" s="98"/>
      <c r="QV201" s="98"/>
      <c r="QW201" s="98"/>
      <c r="QX201" s="98"/>
      <c r="QY201" s="98"/>
      <c r="QZ201" s="98"/>
      <c r="RA201" s="98"/>
      <c r="RB201" s="98"/>
      <c r="RC201" s="98"/>
      <c r="RD201" s="98"/>
      <c r="RE201" s="98"/>
      <c r="RF201" s="98"/>
      <c r="RG201" s="98"/>
      <c r="RH201" s="98"/>
      <c r="RI201" s="98"/>
      <c r="RJ201" s="98"/>
      <c r="RK201" s="98"/>
      <c r="RL201" s="98"/>
      <c r="RM201" s="98"/>
      <c r="RN201" s="98"/>
      <c r="RO201" s="98"/>
      <c r="RP201" s="98"/>
      <c r="RQ201" s="98"/>
      <c r="RR201" s="98"/>
      <c r="RS201" s="98"/>
      <c r="RT201" s="98"/>
      <c r="RU201" s="98"/>
      <c r="RV201" s="98"/>
      <c r="RW201" s="98"/>
      <c r="RX201" s="98"/>
      <c r="RY201" s="98"/>
      <c r="RZ201" s="98"/>
      <c r="SA201" s="98"/>
      <c r="SB201" s="98"/>
      <c r="SC201" s="98"/>
      <c r="SD201" s="98"/>
      <c r="SE201" s="98"/>
      <c r="SF201" s="98"/>
      <c r="SG201" s="98"/>
      <c r="SH201" s="98"/>
      <c r="SI201" s="98"/>
      <c r="SJ201" s="98"/>
      <c r="SK201" s="98"/>
      <c r="SL201" s="98"/>
      <c r="SM201" s="98"/>
      <c r="SN201" s="98"/>
      <c r="SO201" s="98"/>
      <c r="SP201" s="98"/>
      <c r="SQ201" s="98"/>
      <c r="SR201" s="98"/>
    </row>
    <row r="202" spans="1:512" ht="230.25" outlineLevel="4" thickBot="1" x14ac:dyDescent="0.25">
      <c r="A202" s="43" t="s">
        <v>789</v>
      </c>
      <c r="B202" s="174" t="s">
        <v>790</v>
      </c>
      <c r="C202" s="75" t="s">
        <v>791</v>
      </c>
      <c r="D202" s="147" t="s">
        <v>664</v>
      </c>
      <c r="E202" s="48" t="s">
        <v>256</v>
      </c>
      <c r="F202" s="48" t="s">
        <v>355</v>
      </c>
      <c r="G202" s="48" t="s">
        <v>438</v>
      </c>
      <c r="H202" s="39" t="s">
        <v>439</v>
      </c>
      <c r="I202" s="69">
        <v>1</v>
      </c>
      <c r="J202" s="70" t="s">
        <v>84</v>
      </c>
      <c r="K202" s="93" t="s">
        <v>75</v>
      </c>
      <c r="L202" s="71">
        <v>1</v>
      </c>
      <c r="M202" s="89">
        <v>3</v>
      </c>
      <c r="N202" s="32" t="s">
        <v>39</v>
      </c>
      <c r="O202" s="53" t="s">
        <v>76</v>
      </c>
      <c r="P202" s="71">
        <v>5</v>
      </c>
      <c r="Q202" s="97">
        <f t="shared" si="9"/>
        <v>15</v>
      </c>
      <c r="R202" s="32"/>
      <c r="S202" s="32"/>
      <c r="T202" s="32"/>
      <c r="U202" s="95"/>
      <c r="V202" s="62"/>
      <c r="W202" s="96"/>
      <c r="X202" s="62"/>
      <c r="Y202" s="62"/>
      <c r="Z202" s="33"/>
      <c r="AA202" s="40"/>
      <c r="AB202" s="99"/>
      <c r="AC202" s="98"/>
      <c r="AD202" s="17">
        <f t="shared" si="27"/>
        <v>-1563</v>
      </c>
      <c r="AE202" s="18">
        <f t="shared" si="26"/>
        <v>1563</v>
      </c>
      <c r="AF202" s="98"/>
      <c r="AG202" s="98"/>
      <c r="AH202" s="98"/>
      <c r="AI202" s="98"/>
      <c r="AJ202" s="98"/>
      <c r="AK202" s="98"/>
      <c r="AL202" s="98"/>
      <c r="AM202" s="98"/>
      <c r="AN202" s="98"/>
      <c r="AO202" s="98"/>
      <c r="AP202" s="98"/>
      <c r="AQ202" s="98"/>
      <c r="AR202" s="98"/>
      <c r="AS202" s="98"/>
      <c r="AT202" s="98"/>
      <c r="AU202" s="98"/>
      <c r="AV202" s="98"/>
      <c r="AW202" s="98"/>
      <c r="AX202" s="98"/>
      <c r="AY202" s="98"/>
      <c r="AZ202" s="98"/>
      <c r="BA202" s="98"/>
      <c r="BB202" s="98"/>
      <c r="BC202" s="98"/>
      <c r="BD202" s="98"/>
      <c r="BE202" s="98"/>
      <c r="BF202" s="98"/>
      <c r="BG202" s="98"/>
      <c r="BH202" s="98"/>
      <c r="BI202" s="98"/>
      <c r="BJ202" s="98"/>
      <c r="BK202" s="98"/>
      <c r="BL202" s="98"/>
      <c r="BM202" s="98"/>
      <c r="BN202" s="98"/>
      <c r="BO202" s="98"/>
      <c r="BP202" s="98"/>
      <c r="BQ202" s="98"/>
      <c r="BR202" s="98"/>
      <c r="BS202" s="98"/>
      <c r="BT202" s="98"/>
      <c r="BU202" s="98"/>
      <c r="BV202" s="98"/>
      <c r="BW202" s="98"/>
      <c r="BX202" s="98"/>
      <c r="BY202" s="98"/>
      <c r="BZ202" s="98"/>
      <c r="CA202" s="98"/>
      <c r="CB202" s="98"/>
      <c r="CC202" s="98"/>
      <c r="CD202" s="98"/>
      <c r="CE202" s="98"/>
      <c r="CF202" s="98"/>
      <c r="CG202" s="98"/>
      <c r="CH202" s="98"/>
      <c r="CI202" s="98"/>
      <c r="CJ202" s="98"/>
      <c r="CK202" s="98"/>
      <c r="CL202" s="98"/>
      <c r="CM202" s="98"/>
      <c r="CN202" s="98"/>
      <c r="CO202" s="98"/>
      <c r="CP202" s="98"/>
      <c r="CQ202" s="98"/>
      <c r="CR202" s="98"/>
      <c r="CS202" s="98"/>
      <c r="CT202" s="98"/>
      <c r="CU202" s="98"/>
      <c r="CV202" s="98"/>
      <c r="CW202" s="98"/>
      <c r="CX202" s="98"/>
      <c r="CY202" s="98"/>
      <c r="CZ202" s="98"/>
      <c r="DA202" s="98"/>
      <c r="DB202" s="98"/>
      <c r="DC202" s="98"/>
      <c r="DD202" s="98"/>
      <c r="DE202" s="98"/>
      <c r="DF202" s="98"/>
      <c r="DG202" s="98"/>
      <c r="DH202" s="98"/>
      <c r="DI202" s="98"/>
      <c r="DJ202" s="98"/>
      <c r="DK202" s="98"/>
      <c r="DL202" s="98"/>
      <c r="DM202" s="98"/>
      <c r="DN202" s="98"/>
      <c r="DO202" s="98"/>
      <c r="DP202" s="98"/>
      <c r="DQ202" s="98"/>
      <c r="DR202" s="98"/>
      <c r="DS202" s="98"/>
      <c r="DT202" s="98"/>
      <c r="DU202" s="98"/>
      <c r="DV202" s="98"/>
      <c r="DW202" s="98"/>
      <c r="DX202" s="98"/>
      <c r="DY202" s="98"/>
      <c r="DZ202" s="98"/>
      <c r="EA202" s="98"/>
      <c r="EB202" s="98"/>
      <c r="EC202" s="98"/>
      <c r="ED202" s="98"/>
      <c r="EE202" s="98"/>
      <c r="EF202" s="98"/>
      <c r="EG202" s="98"/>
      <c r="EH202" s="98"/>
      <c r="EI202" s="98"/>
      <c r="EJ202" s="98"/>
      <c r="EK202" s="98"/>
      <c r="EL202" s="98"/>
      <c r="EM202" s="98"/>
      <c r="EN202" s="98"/>
      <c r="EO202" s="98"/>
      <c r="EP202" s="98"/>
      <c r="EQ202" s="98"/>
      <c r="ER202" s="98"/>
      <c r="ES202" s="98"/>
      <c r="ET202" s="98"/>
      <c r="EU202" s="98"/>
      <c r="EV202" s="98"/>
      <c r="EW202" s="98"/>
      <c r="EX202" s="98"/>
      <c r="EY202" s="98"/>
      <c r="EZ202" s="98"/>
      <c r="FA202" s="98"/>
      <c r="FB202" s="98"/>
      <c r="FC202" s="98"/>
      <c r="FD202" s="98"/>
      <c r="FE202" s="98"/>
      <c r="FF202" s="98"/>
      <c r="FG202" s="98"/>
      <c r="FH202" s="98"/>
      <c r="FI202" s="98"/>
      <c r="FJ202" s="98"/>
      <c r="FK202" s="98"/>
      <c r="FL202" s="98"/>
      <c r="FM202" s="98"/>
      <c r="FN202" s="98"/>
      <c r="FO202" s="98"/>
      <c r="FP202" s="98"/>
      <c r="FQ202" s="98"/>
      <c r="FR202" s="98"/>
      <c r="FS202" s="98"/>
      <c r="FT202" s="98"/>
      <c r="FU202" s="98"/>
      <c r="FV202" s="98"/>
      <c r="FW202" s="98"/>
      <c r="FX202" s="98"/>
      <c r="FY202" s="98"/>
      <c r="FZ202" s="98"/>
      <c r="GA202" s="98"/>
      <c r="GB202" s="98"/>
      <c r="GC202" s="98"/>
      <c r="GD202" s="98"/>
      <c r="GE202" s="98"/>
      <c r="GF202" s="98"/>
      <c r="GG202" s="98"/>
      <c r="GH202" s="98"/>
      <c r="GI202" s="98"/>
      <c r="GJ202" s="98"/>
      <c r="GK202" s="98"/>
      <c r="GL202" s="98"/>
      <c r="GM202" s="98"/>
      <c r="GN202" s="98"/>
      <c r="GO202" s="98"/>
      <c r="GP202" s="98"/>
      <c r="GQ202" s="98"/>
      <c r="GR202" s="98"/>
      <c r="GS202" s="98"/>
      <c r="GT202" s="98"/>
      <c r="GU202" s="98"/>
      <c r="GV202" s="98"/>
      <c r="GW202" s="98"/>
      <c r="GX202" s="98"/>
      <c r="GY202" s="98"/>
      <c r="GZ202" s="98"/>
      <c r="HA202" s="98"/>
      <c r="HB202" s="98"/>
      <c r="HC202" s="98"/>
      <c r="HD202" s="98"/>
      <c r="HE202" s="98"/>
      <c r="HF202" s="98"/>
      <c r="HG202" s="98"/>
      <c r="HH202" s="98"/>
      <c r="HI202" s="98"/>
      <c r="HJ202" s="98"/>
      <c r="HK202" s="98"/>
      <c r="HL202" s="98"/>
      <c r="HM202" s="98"/>
      <c r="HN202" s="98"/>
      <c r="HO202" s="98"/>
      <c r="HP202" s="98"/>
      <c r="HQ202" s="98"/>
      <c r="HR202" s="98"/>
      <c r="HS202" s="98"/>
      <c r="HT202" s="98"/>
      <c r="HU202" s="98"/>
      <c r="HV202" s="98"/>
      <c r="HW202" s="98"/>
      <c r="HX202" s="98"/>
      <c r="HY202" s="98"/>
      <c r="HZ202" s="98"/>
      <c r="IA202" s="98"/>
      <c r="IB202" s="98"/>
      <c r="IC202" s="98"/>
      <c r="ID202" s="98"/>
      <c r="IE202" s="98"/>
      <c r="IF202" s="98"/>
      <c r="IG202" s="98"/>
      <c r="IH202" s="98"/>
      <c r="II202" s="98"/>
      <c r="IJ202" s="98"/>
      <c r="IK202" s="98"/>
      <c r="IL202" s="98"/>
      <c r="IM202" s="98"/>
      <c r="IN202" s="98"/>
      <c r="IO202" s="98"/>
      <c r="IP202" s="98"/>
      <c r="IQ202" s="98"/>
      <c r="IR202" s="98"/>
      <c r="IS202" s="98"/>
      <c r="IT202" s="98"/>
      <c r="IU202" s="98"/>
      <c r="IV202" s="98"/>
      <c r="IW202" s="98"/>
      <c r="IX202" s="98"/>
      <c r="IY202" s="98"/>
      <c r="IZ202" s="98"/>
      <c r="JA202" s="98"/>
      <c r="JB202" s="98"/>
      <c r="JC202" s="98"/>
      <c r="JD202" s="98"/>
      <c r="JE202" s="98"/>
      <c r="JF202" s="98"/>
      <c r="JG202" s="98"/>
      <c r="JH202" s="98"/>
      <c r="JI202" s="98"/>
      <c r="JJ202" s="98"/>
      <c r="JK202" s="98"/>
      <c r="JL202" s="98"/>
      <c r="JM202" s="98"/>
      <c r="JN202" s="98"/>
      <c r="JO202" s="98"/>
      <c r="JP202" s="98"/>
      <c r="JQ202" s="98"/>
      <c r="JR202" s="98"/>
      <c r="JS202" s="98"/>
      <c r="JT202" s="98"/>
      <c r="JU202" s="98"/>
      <c r="JV202" s="98"/>
      <c r="JW202" s="98"/>
      <c r="JX202" s="98"/>
      <c r="JY202" s="98"/>
      <c r="JZ202" s="98"/>
      <c r="KA202" s="98"/>
      <c r="KB202" s="98"/>
      <c r="KC202" s="98"/>
      <c r="KD202" s="98"/>
      <c r="KE202" s="98"/>
      <c r="KF202" s="98"/>
      <c r="KG202" s="98"/>
      <c r="KH202" s="98"/>
      <c r="KI202" s="98"/>
      <c r="KJ202" s="98"/>
      <c r="KK202" s="98"/>
      <c r="KL202" s="98"/>
      <c r="KM202" s="98"/>
      <c r="KN202" s="98"/>
      <c r="KO202" s="98"/>
      <c r="KP202" s="98"/>
      <c r="KQ202" s="98"/>
      <c r="KR202" s="98"/>
      <c r="KS202" s="98"/>
      <c r="KT202" s="98"/>
      <c r="KU202" s="98"/>
      <c r="KV202" s="98"/>
      <c r="KW202" s="98"/>
      <c r="KX202" s="98"/>
      <c r="KY202" s="98"/>
      <c r="KZ202" s="98"/>
      <c r="LA202" s="98"/>
      <c r="LB202" s="98"/>
      <c r="LC202" s="98"/>
      <c r="LD202" s="98"/>
      <c r="LE202" s="98"/>
      <c r="LF202" s="98"/>
      <c r="LG202" s="98"/>
      <c r="LH202" s="98"/>
      <c r="LI202" s="98"/>
      <c r="LJ202" s="98"/>
      <c r="LK202" s="98"/>
      <c r="LL202" s="98"/>
      <c r="LM202" s="98"/>
      <c r="LN202" s="98"/>
      <c r="LO202" s="98"/>
      <c r="LP202" s="98"/>
      <c r="LQ202" s="98"/>
      <c r="LR202" s="98"/>
      <c r="LS202" s="98"/>
      <c r="LT202" s="98"/>
      <c r="LU202" s="98"/>
      <c r="LV202" s="98"/>
      <c r="LW202" s="98"/>
      <c r="LX202" s="98"/>
      <c r="LY202" s="98"/>
      <c r="LZ202" s="98"/>
      <c r="MA202" s="98"/>
      <c r="MB202" s="98"/>
      <c r="MC202" s="98"/>
      <c r="MD202" s="98"/>
      <c r="ME202" s="98"/>
      <c r="MF202" s="98"/>
      <c r="MG202" s="98"/>
      <c r="MH202" s="98"/>
      <c r="MI202" s="98"/>
      <c r="MJ202" s="98"/>
      <c r="MK202" s="98"/>
      <c r="ML202" s="98"/>
      <c r="MM202" s="98"/>
      <c r="MN202" s="98"/>
      <c r="MO202" s="98"/>
      <c r="MP202" s="98"/>
      <c r="MQ202" s="98"/>
      <c r="MR202" s="98"/>
      <c r="MS202" s="98"/>
      <c r="MT202" s="98"/>
      <c r="MU202" s="98"/>
      <c r="MV202" s="98"/>
      <c r="MW202" s="98"/>
      <c r="MX202" s="98"/>
      <c r="MY202" s="98"/>
      <c r="MZ202" s="98"/>
      <c r="NA202" s="98"/>
      <c r="NB202" s="98"/>
      <c r="NC202" s="98"/>
      <c r="ND202" s="98"/>
      <c r="NE202" s="98"/>
      <c r="NF202" s="98"/>
      <c r="NG202" s="98"/>
      <c r="NH202" s="98"/>
      <c r="NI202" s="98"/>
      <c r="NJ202" s="98"/>
      <c r="NK202" s="98"/>
      <c r="NL202" s="98"/>
      <c r="NM202" s="98"/>
      <c r="NN202" s="98"/>
      <c r="NO202" s="98"/>
      <c r="NP202" s="98"/>
      <c r="NQ202" s="98"/>
      <c r="NR202" s="98"/>
      <c r="NS202" s="98"/>
      <c r="NT202" s="98"/>
      <c r="NU202" s="98"/>
      <c r="NV202" s="98"/>
      <c r="NW202" s="98"/>
      <c r="NX202" s="98"/>
      <c r="NY202" s="98"/>
      <c r="NZ202" s="98"/>
      <c r="OA202" s="98"/>
      <c r="OB202" s="98"/>
      <c r="OC202" s="98"/>
      <c r="OD202" s="98"/>
      <c r="OE202" s="98"/>
      <c r="OF202" s="98"/>
      <c r="OG202" s="98"/>
      <c r="OH202" s="98"/>
      <c r="OI202" s="98"/>
      <c r="OJ202" s="98"/>
      <c r="OK202" s="98"/>
      <c r="OL202" s="98"/>
      <c r="OM202" s="98"/>
      <c r="ON202" s="98"/>
      <c r="OO202" s="98"/>
      <c r="OP202" s="98"/>
      <c r="OQ202" s="98"/>
      <c r="OR202" s="98"/>
      <c r="OS202" s="98"/>
      <c r="OT202" s="98"/>
      <c r="OU202" s="98"/>
      <c r="OV202" s="98"/>
      <c r="OW202" s="98"/>
      <c r="OX202" s="98"/>
      <c r="OY202" s="98"/>
      <c r="OZ202" s="98"/>
      <c r="PA202" s="98"/>
      <c r="PB202" s="98"/>
      <c r="PC202" s="98"/>
      <c r="PD202" s="98"/>
      <c r="PE202" s="98"/>
      <c r="PF202" s="98"/>
      <c r="PG202" s="98"/>
      <c r="PH202" s="98"/>
      <c r="PI202" s="98"/>
      <c r="PJ202" s="98"/>
      <c r="PK202" s="98"/>
      <c r="PL202" s="98"/>
      <c r="PM202" s="98"/>
      <c r="PN202" s="98"/>
      <c r="PO202" s="98"/>
      <c r="PP202" s="98"/>
      <c r="PQ202" s="98"/>
      <c r="PR202" s="98"/>
      <c r="PS202" s="98"/>
      <c r="PT202" s="98"/>
      <c r="PU202" s="98"/>
      <c r="PV202" s="98"/>
      <c r="PW202" s="98"/>
      <c r="PX202" s="98"/>
      <c r="PY202" s="98"/>
      <c r="PZ202" s="98"/>
      <c r="QA202" s="98"/>
      <c r="QB202" s="98"/>
      <c r="QC202" s="98"/>
      <c r="QD202" s="98"/>
      <c r="QE202" s="98"/>
      <c r="QF202" s="98"/>
      <c r="QG202" s="98"/>
      <c r="QH202" s="98"/>
      <c r="QI202" s="98"/>
      <c r="QJ202" s="98"/>
      <c r="QK202" s="98"/>
      <c r="QL202" s="98"/>
      <c r="QM202" s="98"/>
      <c r="QN202" s="98"/>
      <c r="QO202" s="98"/>
      <c r="QP202" s="98"/>
      <c r="QQ202" s="98"/>
      <c r="QR202" s="98"/>
      <c r="QS202" s="98"/>
      <c r="QT202" s="98"/>
      <c r="QU202" s="98"/>
      <c r="QV202" s="98"/>
      <c r="QW202" s="98"/>
      <c r="QX202" s="98"/>
      <c r="QY202" s="98"/>
      <c r="QZ202" s="98"/>
      <c r="RA202" s="98"/>
      <c r="RB202" s="98"/>
      <c r="RC202" s="98"/>
      <c r="RD202" s="98"/>
      <c r="RE202" s="98"/>
      <c r="RF202" s="98"/>
      <c r="RG202" s="98"/>
      <c r="RH202" s="98"/>
      <c r="RI202" s="98"/>
      <c r="RJ202" s="98"/>
      <c r="RK202" s="98"/>
      <c r="RL202" s="98"/>
      <c r="RM202" s="98"/>
      <c r="RN202" s="98"/>
      <c r="RO202" s="98"/>
      <c r="RP202" s="98"/>
      <c r="RQ202" s="98"/>
      <c r="RR202" s="98"/>
      <c r="RS202" s="98"/>
      <c r="RT202" s="98"/>
      <c r="RU202" s="98"/>
      <c r="RV202" s="98"/>
      <c r="RW202" s="98"/>
      <c r="RX202" s="98"/>
      <c r="RY202" s="98"/>
      <c r="RZ202" s="98"/>
      <c r="SA202" s="98"/>
      <c r="SB202" s="98"/>
      <c r="SC202" s="98"/>
      <c r="SD202" s="98"/>
      <c r="SE202" s="98"/>
      <c r="SF202" s="98"/>
      <c r="SG202" s="98"/>
      <c r="SH202" s="98"/>
      <c r="SI202" s="98"/>
      <c r="SJ202" s="98"/>
      <c r="SK202" s="98"/>
      <c r="SL202" s="98"/>
      <c r="SM202" s="98"/>
      <c r="SN202" s="98"/>
      <c r="SO202" s="98"/>
      <c r="SP202" s="98"/>
      <c r="SQ202" s="98"/>
      <c r="SR202" s="98"/>
    </row>
    <row r="203" spans="1:512" s="100" customFormat="1" ht="230.25" outlineLevel="4" thickBot="1" x14ac:dyDescent="0.25">
      <c r="A203" s="43" t="s">
        <v>792</v>
      </c>
      <c r="B203" s="175"/>
      <c r="C203" s="77"/>
      <c r="D203" s="148"/>
      <c r="E203" s="48" t="s">
        <v>71</v>
      </c>
      <c r="F203" s="48" t="s">
        <v>793</v>
      </c>
      <c r="G203" s="87" t="s">
        <v>615</v>
      </c>
      <c r="H203" s="88" t="s">
        <v>127</v>
      </c>
      <c r="I203" s="69">
        <v>3</v>
      </c>
      <c r="J203" s="70" t="s">
        <v>74</v>
      </c>
      <c r="K203" s="93" t="s">
        <v>75</v>
      </c>
      <c r="L203" s="71">
        <v>1</v>
      </c>
      <c r="M203" s="89">
        <v>3</v>
      </c>
      <c r="N203" s="32" t="s">
        <v>39</v>
      </c>
      <c r="O203" s="33" t="s">
        <v>143</v>
      </c>
      <c r="P203" s="71">
        <v>2</v>
      </c>
      <c r="Q203" s="97">
        <f t="shared" si="9"/>
        <v>6</v>
      </c>
      <c r="R203" s="32"/>
      <c r="S203" s="32"/>
      <c r="T203" s="32"/>
      <c r="U203" s="95"/>
      <c r="V203" s="62"/>
      <c r="W203" s="96"/>
      <c r="X203" s="62"/>
      <c r="Y203" s="62"/>
      <c r="Z203" s="33"/>
      <c r="AA203" s="40"/>
      <c r="AB203" s="99"/>
      <c r="AC203" s="98"/>
      <c r="AD203" s="17">
        <f t="shared" si="27"/>
        <v>-1564</v>
      </c>
      <c r="AE203" s="18">
        <f t="shared" si="26"/>
        <v>1564</v>
      </c>
      <c r="AF203" s="98"/>
      <c r="AG203" s="98"/>
      <c r="AH203" s="98"/>
      <c r="AI203" s="98"/>
      <c r="AJ203" s="98"/>
      <c r="AK203" s="98"/>
      <c r="AL203" s="98"/>
      <c r="AM203" s="98"/>
      <c r="AN203" s="98"/>
      <c r="AO203" s="98"/>
      <c r="AP203" s="98"/>
      <c r="AQ203" s="98"/>
      <c r="AR203" s="98"/>
      <c r="AS203" s="98"/>
      <c r="AT203" s="98"/>
      <c r="AU203" s="98"/>
      <c r="AV203" s="98"/>
      <c r="AW203" s="98"/>
      <c r="AX203" s="98"/>
      <c r="AY203" s="98"/>
      <c r="AZ203" s="98"/>
      <c r="BA203" s="98"/>
      <c r="BB203" s="98"/>
      <c r="BC203" s="98"/>
      <c r="BD203" s="98"/>
      <c r="BE203" s="98"/>
      <c r="BF203" s="98"/>
      <c r="BG203" s="98"/>
      <c r="BH203" s="98"/>
      <c r="BI203" s="98"/>
      <c r="BJ203" s="98"/>
      <c r="BK203" s="98"/>
      <c r="BL203" s="98"/>
      <c r="BM203" s="98"/>
      <c r="BN203" s="98"/>
      <c r="BO203" s="98"/>
      <c r="BP203" s="98"/>
      <c r="BQ203" s="98"/>
      <c r="BR203" s="98"/>
      <c r="BS203" s="98"/>
      <c r="BT203" s="98"/>
      <c r="BU203" s="98"/>
      <c r="BV203" s="98"/>
      <c r="BW203" s="98"/>
      <c r="BX203" s="98"/>
      <c r="BY203" s="98"/>
      <c r="BZ203" s="98"/>
      <c r="CA203" s="98"/>
      <c r="CB203" s="98"/>
      <c r="CC203" s="98"/>
      <c r="CD203" s="98"/>
      <c r="CE203" s="98"/>
      <c r="CF203" s="98"/>
      <c r="CG203" s="98"/>
      <c r="CH203" s="98"/>
      <c r="CI203" s="98"/>
      <c r="CJ203" s="98"/>
      <c r="CK203" s="98"/>
      <c r="CL203" s="98"/>
      <c r="CM203" s="98"/>
      <c r="CN203" s="98"/>
      <c r="CO203" s="98"/>
      <c r="CP203" s="98"/>
      <c r="CQ203" s="98"/>
      <c r="CR203" s="98"/>
      <c r="CS203" s="98"/>
      <c r="CT203" s="98"/>
      <c r="CU203" s="98"/>
      <c r="CV203" s="98"/>
      <c r="CW203" s="98"/>
      <c r="CX203" s="98"/>
      <c r="CY203" s="98"/>
      <c r="CZ203" s="98"/>
      <c r="DA203" s="98"/>
      <c r="DB203" s="98"/>
      <c r="DC203" s="98"/>
      <c r="DD203" s="98"/>
      <c r="DE203" s="98"/>
      <c r="DF203" s="98"/>
      <c r="DG203" s="98"/>
      <c r="DH203" s="98"/>
      <c r="DI203" s="98"/>
      <c r="DJ203" s="98"/>
      <c r="DK203" s="98"/>
      <c r="DL203" s="98"/>
      <c r="DM203" s="98"/>
      <c r="DN203" s="98"/>
      <c r="DO203" s="98"/>
      <c r="DP203" s="98"/>
      <c r="DQ203" s="98"/>
      <c r="DR203" s="98"/>
      <c r="DS203" s="98"/>
      <c r="DT203" s="98"/>
      <c r="DU203" s="98"/>
      <c r="DV203" s="98"/>
      <c r="DW203" s="98"/>
      <c r="DX203" s="98"/>
      <c r="DY203" s="98"/>
      <c r="DZ203" s="98"/>
      <c r="EA203" s="98"/>
      <c r="EB203" s="98"/>
      <c r="EC203" s="98"/>
      <c r="ED203" s="98"/>
      <c r="EE203" s="98"/>
      <c r="EF203" s="98"/>
      <c r="EG203" s="98"/>
      <c r="EH203" s="98"/>
      <c r="EI203" s="98"/>
      <c r="EJ203" s="98"/>
      <c r="EK203" s="98"/>
      <c r="EL203" s="98"/>
      <c r="EM203" s="98"/>
      <c r="EN203" s="98"/>
      <c r="EO203" s="98"/>
      <c r="EP203" s="98"/>
      <c r="EQ203" s="98"/>
      <c r="ER203" s="98"/>
      <c r="ES203" s="98"/>
      <c r="ET203" s="98"/>
      <c r="EU203" s="98"/>
      <c r="EV203" s="98"/>
      <c r="EW203" s="98"/>
      <c r="EX203" s="98"/>
      <c r="EY203" s="98"/>
      <c r="EZ203" s="98"/>
      <c r="FA203" s="98"/>
      <c r="FB203" s="98"/>
      <c r="FC203" s="98"/>
      <c r="FD203" s="98"/>
      <c r="FE203" s="98"/>
      <c r="FF203" s="98"/>
      <c r="FG203" s="98"/>
      <c r="FH203" s="98"/>
      <c r="FI203" s="98"/>
      <c r="FJ203" s="98"/>
      <c r="FK203" s="98"/>
      <c r="FL203" s="98"/>
      <c r="FM203" s="98"/>
      <c r="FN203" s="98"/>
      <c r="FO203" s="98"/>
      <c r="FP203" s="98"/>
      <c r="FQ203" s="98"/>
      <c r="FR203" s="98"/>
      <c r="FS203" s="98"/>
      <c r="FT203" s="98"/>
      <c r="FU203" s="98"/>
      <c r="FV203" s="98"/>
      <c r="FW203" s="98"/>
      <c r="FX203" s="98"/>
      <c r="FY203" s="98"/>
      <c r="FZ203" s="98"/>
      <c r="GA203" s="98"/>
      <c r="GB203" s="98"/>
      <c r="GC203" s="98"/>
      <c r="GD203" s="98"/>
      <c r="GE203" s="98"/>
      <c r="GF203" s="98"/>
      <c r="GG203" s="98"/>
      <c r="GH203" s="98"/>
      <c r="GI203" s="98"/>
      <c r="GJ203" s="98"/>
      <c r="GK203" s="98"/>
      <c r="GL203" s="98"/>
      <c r="GM203" s="98"/>
      <c r="GN203" s="98"/>
      <c r="GO203" s="98"/>
      <c r="GP203" s="98"/>
      <c r="GQ203" s="98"/>
      <c r="GR203" s="98"/>
      <c r="GS203" s="98"/>
      <c r="GT203" s="98"/>
      <c r="GU203" s="98"/>
      <c r="GV203" s="98"/>
      <c r="GW203" s="98"/>
      <c r="GX203" s="98"/>
      <c r="GY203" s="98"/>
      <c r="GZ203" s="98"/>
      <c r="HA203" s="98"/>
      <c r="HB203" s="98"/>
      <c r="HC203" s="98"/>
      <c r="HD203" s="98"/>
      <c r="HE203" s="98"/>
      <c r="HF203" s="98"/>
      <c r="HG203" s="98"/>
      <c r="HH203" s="98"/>
      <c r="HI203" s="98"/>
      <c r="HJ203" s="98"/>
      <c r="HK203" s="98"/>
      <c r="HL203" s="98"/>
      <c r="HM203" s="98"/>
      <c r="HN203" s="98"/>
      <c r="HO203" s="98"/>
      <c r="HP203" s="98"/>
      <c r="HQ203" s="98"/>
      <c r="HR203" s="98"/>
      <c r="HS203" s="98"/>
      <c r="HT203" s="98"/>
      <c r="HU203" s="98"/>
      <c r="HV203" s="98"/>
      <c r="HW203" s="98"/>
      <c r="HX203" s="98"/>
      <c r="HY203" s="98"/>
      <c r="HZ203" s="98"/>
      <c r="IA203" s="98"/>
      <c r="IB203" s="98"/>
      <c r="IC203" s="98"/>
      <c r="ID203" s="98"/>
      <c r="IE203" s="98"/>
      <c r="IF203" s="98"/>
      <c r="IG203" s="98"/>
      <c r="IH203" s="98"/>
      <c r="II203" s="98"/>
      <c r="IJ203" s="98"/>
      <c r="IK203" s="98"/>
      <c r="IL203" s="98"/>
      <c r="IM203" s="98"/>
      <c r="IN203" s="98"/>
      <c r="IO203" s="98"/>
      <c r="IP203" s="98"/>
      <c r="IQ203" s="98"/>
      <c r="IR203" s="98"/>
      <c r="IS203" s="98"/>
      <c r="IT203" s="98"/>
      <c r="IU203" s="98"/>
      <c r="IV203" s="98"/>
      <c r="IW203" s="98"/>
      <c r="IX203" s="98"/>
      <c r="IY203" s="98"/>
      <c r="IZ203" s="98"/>
      <c r="JA203" s="98"/>
      <c r="JB203" s="98"/>
      <c r="JC203" s="98"/>
      <c r="JD203" s="98"/>
      <c r="JE203" s="98"/>
      <c r="JF203" s="98"/>
      <c r="JG203" s="98"/>
      <c r="JH203" s="98"/>
      <c r="JI203" s="98"/>
      <c r="JJ203" s="98"/>
      <c r="JK203" s="98"/>
      <c r="JL203" s="98"/>
      <c r="JM203" s="98"/>
      <c r="JN203" s="98"/>
      <c r="JO203" s="98"/>
      <c r="JP203" s="98"/>
      <c r="JQ203" s="98"/>
      <c r="JR203" s="98"/>
      <c r="JS203" s="98"/>
      <c r="JT203" s="98"/>
      <c r="JU203" s="98"/>
      <c r="JV203" s="98"/>
      <c r="JW203" s="98"/>
      <c r="JX203" s="98"/>
      <c r="JY203" s="98"/>
      <c r="JZ203" s="98"/>
      <c r="KA203" s="98"/>
      <c r="KB203" s="98"/>
      <c r="KC203" s="98"/>
      <c r="KD203" s="98"/>
      <c r="KE203" s="98"/>
      <c r="KF203" s="98"/>
      <c r="KG203" s="98"/>
      <c r="KH203" s="98"/>
      <c r="KI203" s="98"/>
      <c r="KJ203" s="98"/>
      <c r="KK203" s="98"/>
      <c r="KL203" s="98"/>
      <c r="KM203" s="98"/>
      <c r="KN203" s="98"/>
      <c r="KO203" s="98"/>
      <c r="KP203" s="98"/>
      <c r="KQ203" s="98"/>
      <c r="KR203" s="98"/>
      <c r="KS203" s="98"/>
      <c r="KT203" s="98"/>
      <c r="KU203" s="98"/>
      <c r="KV203" s="98"/>
      <c r="KW203" s="98"/>
      <c r="KX203" s="98"/>
      <c r="KY203" s="98"/>
      <c r="KZ203" s="98"/>
      <c r="LA203" s="98"/>
      <c r="LB203" s="98"/>
      <c r="LC203" s="98"/>
      <c r="LD203" s="98"/>
      <c r="LE203" s="98"/>
      <c r="LF203" s="98"/>
      <c r="LG203" s="98"/>
      <c r="LH203" s="98"/>
      <c r="LI203" s="98"/>
      <c r="LJ203" s="98"/>
      <c r="LK203" s="98"/>
      <c r="LL203" s="98"/>
      <c r="LM203" s="98"/>
      <c r="LN203" s="98"/>
      <c r="LO203" s="98"/>
      <c r="LP203" s="98"/>
      <c r="LQ203" s="98"/>
      <c r="LR203" s="98"/>
      <c r="LS203" s="98"/>
      <c r="LT203" s="98"/>
      <c r="LU203" s="98"/>
      <c r="LV203" s="98"/>
      <c r="LW203" s="98"/>
      <c r="LX203" s="98"/>
      <c r="LY203" s="98"/>
      <c r="LZ203" s="98"/>
      <c r="MA203" s="98"/>
      <c r="MB203" s="98"/>
      <c r="MC203" s="98"/>
      <c r="MD203" s="98"/>
      <c r="ME203" s="98"/>
      <c r="MF203" s="98"/>
      <c r="MG203" s="98"/>
      <c r="MH203" s="98"/>
      <c r="MI203" s="98"/>
      <c r="MJ203" s="98"/>
      <c r="MK203" s="98"/>
      <c r="ML203" s="98"/>
      <c r="MM203" s="98"/>
      <c r="MN203" s="98"/>
      <c r="MO203" s="98"/>
      <c r="MP203" s="98"/>
      <c r="MQ203" s="98"/>
      <c r="MR203" s="98"/>
      <c r="MS203" s="98"/>
      <c r="MT203" s="98"/>
      <c r="MU203" s="98"/>
      <c r="MV203" s="98"/>
      <c r="MW203" s="98"/>
      <c r="MX203" s="98"/>
      <c r="MY203" s="98"/>
      <c r="MZ203" s="98"/>
      <c r="NA203" s="98"/>
      <c r="NB203" s="98"/>
      <c r="NC203" s="98"/>
      <c r="ND203" s="98"/>
      <c r="NE203" s="98"/>
      <c r="NF203" s="98"/>
      <c r="NG203" s="98"/>
      <c r="NH203" s="98"/>
      <c r="NI203" s="98"/>
      <c r="NJ203" s="98"/>
      <c r="NK203" s="98"/>
      <c r="NL203" s="98"/>
      <c r="NM203" s="98"/>
      <c r="NN203" s="98"/>
      <c r="NO203" s="98"/>
      <c r="NP203" s="98"/>
      <c r="NQ203" s="98"/>
      <c r="NR203" s="98"/>
      <c r="NS203" s="98"/>
      <c r="NT203" s="98"/>
      <c r="NU203" s="98"/>
      <c r="NV203" s="98"/>
      <c r="NW203" s="98"/>
      <c r="NX203" s="98"/>
      <c r="NY203" s="98"/>
      <c r="NZ203" s="98"/>
      <c r="OA203" s="98"/>
      <c r="OB203" s="98"/>
      <c r="OC203" s="98"/>
      <c r="OD203" s="98"/>
      <c r="OE203" s="98"/>
      <c r="OF203" s="98"/>
      <c r="OG203" s="98"/>
      <c r="OH203" s="98"/>
      <c r="OI203" s="98"/>
      <c r="OJ203" s="98"/>
      <c r="OK203" s="98"/>
      <c r="OL203" s="98"/>
      <c r="OM203" s="98"/>
      <c r="ON203" s="98"/>
      <c r="OO203" s="98"/>
      <c r="OP203" s="98"/>
      <c r="OQ203" s="98"/>
      <c r="OR203" s="98"/>
      <c r="OS203" s="98"/>
      <c r="OT203" s="98"/>
      <c r="OU203" s="98"/>
      <c r="OV203" s="98"/>
      <c r="OW203" s="98"/>
      <c r="OX203" s="98"/>
      <c r="OY203" s="98"/>
      <c r="OZ203" s="98"/>
      <c r="PA203" s="98"/>
      <c r="PB203" s="98"/>
      <c r="PC203" s="98"/>
      <c r="PD203" s="98"/>
      <c r="PE203" s="98"/>
      <c r="PF203" s="98"/>
      <c r="PG203" s="98"/>
      <c r="PH203" s="98"/>
      <c r="PI203" s="98"/>
      <c r="PJ203" s="98"/>
      <c r="PK203" s="98"/>
      <c r="PL203" s="98"/>
      <c r="PM203" s="98"/>
      <c r="PN203" s="98"/>
      <c r="PO203" s="98"/>
      <c r="PP203" s="98"/>
      <c r="PQ203" s="98"/>
      <c r="PR203" s="98"/>
      <c r="PS203" s="98"/>
      <c r="PT203" s="98"/>
      <c r="PU203" s="98"/>
      <c r="PV203" s="98"/>
      <c r="PW203" s="98"/>
      <c r="PX203" s="98"/>
      <c r="PY203" s="98"/>
      <c r="PZ203" s="98"/>
      <c r="QA203" s="98"/>
      <c r="QB203" s="98"/>
      <c r="QC203" s="98"/>
      <c r="QD203" s="98"/>
      <c r="QE203" s="98"/>
      <c r="QF203" s="98"/>
      <c r="QG203" s="98"/>
      <c r="QH203" s="98"/>
      <c r="QI203" s="98"/>
      <c r="QJ203" s="98"/>
      <c r="QK203" s="98"/>
      <c r="QL203" s="98"/>
      <c r="QM203" s="98"/>
      <c r="QN203" s="98"/>
      <c r="QO203" s="98"/>
      <c r="QP203" s="98"/>
      <c r="QQ203" s="98"/>
      <c r="QR203" s="98"/>
      <c r="QS203" s="98"/>
      <c r="QT203" s="98"/>
      <c r="QU203" s="98"/>
      <c r="QV203" s="98"/>
      <c r="QW203" s="98"/>
      <c r="QX203" s="98"/>
      <c r="QY203" s="98"/>
      <c r="QZ203" s="98"/>
      <c r="RA203" s="98"/>
      <c r="RB203" s="98"/>
      <c r="RC203" s="98"/>
      <c r="RD203" s="98"/>
      <c r="RE203" s="98"/>
      <c r="RF203" s="98"/>
      <c r="RG203" s="98"/>
      <c r="RH203" s="98"/>
      <c r="RI203" s="98"/>
      <c r="RJ203" s="98"/>
      <c r="RK203" s="98"/>
      <c r="RL203" s="98"/>
      <c r="RM203" s="98"/>
      <c r="RN203" s="98"/>
      <c r="RO203" s="98"/>
      <c r="RP203" s="98"/>
      <c r="RQ203" s="98"/>
      <c r="RR203" s="98"/>
      <c r="RS203" s="98"/>
      <c r="RT203" s="98"/>
      <c r="RU203" s="98"/>
      <c r="RV203" s="98"/>
      <c r="RW203" s="98"/>
      <c r="RX203" s="98"/>
      <c r="RY203" s="98"/>
      <c r="RZ203" s="98"/>
      <c r="SA203" s="98"/>
      <c r="SB203" s="98"/>
      <c r="SC203" s="98"/>
      <c r="SD203" s="98"/>
      <c r="SE203" s="98"/>
      <c r="SF203" s="98"/>
      <c r="SG203" s="98"/>
      <c r="SH203" s="98"/>
      <c r="SI203" s="98"/>
      <c r="SJ203" s="98"/>
      <c r="SK203" s="98"/>
      <c r="SL203" s="98"/>
      <c r="SM203" s="98"/>
      <c r="SN203" s="98"/>
      <c r="SO203" s="98"/>
      <c r="SP203" s="98"/>
      <c r="SQ203" s="98"/>
      <c r="SR203" s="98"/>
    </row>
    <row r="204" spans="1:512" ht="230.25" outlineLevel="4" thickBot="1" x14ac:dyDescent="0.25">
      <c r="A204" s="43" t="s">
        <v>794</v>
      </c>
      <c r="B204" s="174" t="s">
        <v>795</v>
      </c>
      <c r="C204" s="75" t="s">
        <v>796</v>
      </c>
      <c r="D204" s="147" t="s">
        <v>670</v>
      </c>
      <c r="E204" s="48" t="s">
        <v>67</v>
      </c>
      <c r="F204" s="48" t="s">
        <v>647</v>
      </c>
      <c r="G204" s="48" t="s">
        <v>648</v>
      </c>
      <c r="H204" s="39" t="s">
        <v>439</v>
      </c>
      <c r="I204" s="69">
        <v>2</v>
      </c>
      <c r="J204" s="70" t="s">
        <v>84</v>
      </c>
      <c r="K204" s="93" t="s">
        <v>75</v>
      </c>
      <c r="L204" s="71">
        <v>1</v>
      </c>
      <c r="M204" s="89">
        <v>3</v>
      </c>
      <c r="N204" s="32" t="s">
        <v>39</v>
      </c>
      <c r="O204" s="53" t="s">
        <v>76</v>
      </c>
      <c r="P204" s="71">
        <v>5</v>
      </c>
      <c r="Q204" s="97">
        <f t="shared" si="9"/>
        <v>15</v>
      </c>
      <c r="R204" s="32"/>
      <c r="S204" s="32"/>
      <c r="T204" s="32"/>
      <c r="U204" s="95"/>
      <c r="V204" s="62"/>
      <c r="W204" s="96"/>
      <c r="X204" s="62"/>
      <c r="Y204" s="62"/>
      <c r="Z204" s="33"/>
      <c r="AA204" s="40"/>
      <c r="AB204" s="99"/>
      <c r="AC204" s="98"/>
      <c r="AD204" s="17">
        <f t="shared" si="27"/>
        <v>-1565</v>
      </c>
      <c r="AE204" s="18">
        <f t="shared" si="26"/>
        <v>1565</v>
      </c>
      <c r="AF204" s="98"/>
      <c r="AG204" s="98"/>
      <c r="AH204" s="98"/>
      <c r="AI204" s="98"/>
      <c r="AJ204" s="98"/>
      <c r="AK204" s="98"/>
      <c r="AL204" s="98"/>
      <c r="AM204" s="98"/>
      <c r="AN204" s="98"/>
      <c r="AO204" s="98"/>
      <c r="AP204" s="98"/>
      <c r="AQ204" s="98"/>
      <c r="AR204" s="98"/>
      <c r="AS204" s="98"/>
      <c r="AT204" s="98"/>
      <c r="AU204" s="98"/>
      <c r="AV204" s="98"/>
      <c r="AW204" s="98"/>
      <c r="AX204" s="98"/>
      <c r="AY204" s="98"/>
      <c r="AZ204" s="98"/>
      <c r="BA204" s="98"/>
      <c r="BB204" s="98"/>
      <c r="BC204" s="98"/>
      <c r="BD204" s="98"/>
      <c r="BE204" s="98"/>
      <c r="BF204" s="98"/>
      <c r="BG204" s="98"/>
      <c r="BH204" s="98"/>
      <c r="BI204" s="98"/>
      <c r="BJ204" s="98"/>
      <c r="BK204" s="98"/>
      <c r="BL204" s="98"/>
      <c r="BM204" s="98"/>
      <c r="BN204" s="98"/>
      <c r="BO204" s="98"/>
      <c r="BP204" s="98"/>
      <c r="BQ204" s="98"/>
      <c r="BR204" s="98"/>
      <c r="BS204" s="98"/>
      <c r="BT204" s="98"/>
      <c r="BU204" s="98"/>
      <c r="BV204" s="98"/>
      <c r="BW204" s="98"/>
      <c r="BX204" s="98"/>
      <c r="BY204" s="98"/>
      <c r="BZ204" s="98"/>
      <c r="CA204" s="98"/>
      <c r="CB204" s="98"/>
      <c r="CC204" s="98"/>
      <c r="CD204" s="98"/>
      <c r="CE204" s="98"/>
      <c r="CF204" s="98"/>
      <c r="CG204" s="98"/>
      <c r="CH204" s="98"/>
      <c r="CI204" s="98"/>
      <c r="CJ204" s="98"/>
      <c r="CK204" s="98"/>
      <c r="CL204" s="98"/>
      <c r="CM204" s="98"/>
      <c r="CN204" s="98"/>
      <c r="CO204" s="98"/>
      <c r="CP204" s="98"/>
      <c r="CQ204" s="98"/>
      <c r="CR204" s="98"/>
      <c r="CS204" s="98"/>
      <c r="CT204" s="98"/>
      <c r="CU204" s="98"/>
      <c r="CV204" s="98"/>
      <c r="CW204" s="98"/>
      <c r="CX204" s="98"/>
      <c r="CY204" s="98"/>
      <c r="CZ204" s="98"/>
      <c r="DA204" s="98"/>
      <c r="DB204" s="98"/>
      <c r="DC204" s="98"/>
      <c r="DD204" s="98"/>
      <c r="DE204" s="98"/>
      <c r="DF204" s="98"/>
      <c r="DG204" s="98"/>
      <c r="DH204" s="98"/>
      <c r="DI204" s="98"/>
      <c r="DJ204" s="98"/>
      <c r="DK204" s="98"/>
      <c r="DL204" s="98"/>
      <c r="DM204" s="98"/>
      <c r="DN204" s="98"/>
      <c r="DO204" s="98"/>
      <c r="DP204" s="98"/>
      <c r="DQ204" s="98"/>
      <c r="DR204" s="98"/>
      <c r="DS204" s="98"/>
      <c r="DT204" s="98"/>
      <c r="DU204" s="98"/>
      <c r="DV204" s="98"/>
      <c r="DW204" s="98"/>
      <c r="DX204" s="98"/>
      <c r="DY204" s="98"/>
      <c r="DZ204" s="98"/>
      <c r="EA204" s="98"/>
      <c r="EB204" s="98"/>
      <c r="EC204" s="98"/>
      <c r="ED204" s="98"/>
      <c r="EE204" s="98"/>
      <c r="EF204" s="98"/>
      <c r="EG204" s="98"/>
      <c r="EH204" s="98"/>
      <c r="EI204" s="98"/>
      <c r="EJ204" s="98"/>
      <c r="EK204" s="98"/>
      <c r="EL204" s="98"/>
      <c r="EM204" s="98"/>
      <c r="EN204" s="98"/>
      <c r="EO204" s="98"/>
      <c r="EP204" s="98"/>
      <c r="EQ204" s="98"/>
      <c r="ER204" s="98"/>
      <c r="ES204" s="98"/>
      <c r="ET204" s="98"/>
      <c r="EU204" s="98"/>
      <c r="EV204" s="98"/>
      <c r="EW204" s="98"/>
      <c r="EX204" s="98"/>
      <c r="EY204" s="98"/>
      <c r="EZ204" s="98"/>
      <c r="FA204" s="98"/>
      <c r="FB204" s="98"/>
      <c r="FC204" s="98"/>
      <c r="FD204" s="98"/>
      <c r="FE204" s="98"/>
      <c r="FF204" s="98"/>
      <c r="FG204" s="98"/>
      <c r="FH204" s="98"/>
      <c r="FI204" s="98"/>
      <c r="FJ204" s="98"/>
      <c r="FK204" s="98"/>
      <c r="FL204" s="98"/>
      <c r="FM204" s="98"/>
      <c r="FN204" s="98"/>
      <c r="FO204" s="98"/>
      <c r="FP204" s="98"/>
      <c r="FQ204" s="98"/>
      <c r="FR204" s="98"/>
      <c r="FS204" s="98"/>
      <c r="FT204" s="98"/>
      <c r="FU204" s="98"/>
      <c r="FV204" s="98"/>
      <c r="FW204" s="98"/>
      <c r="FX204" s="98"/>
      <c r="FY204" s="98"/>
      <c r="FZ204" s="98"/>
      <c r="GA204" s="98"/>
      <c r="GB204" s="98"/>
      <c r="GC204" s="98"/>
      <c r="GD204" s="98"/>
      <c r="GE204" s="98"/>
      <c r="GF204" s="98"/>
      <c r="GG204" s="98"/>
      <c r="GH204" s="98"/>
      <c r="GI204" s="98"/>
      <c r="GJ204" s="98"/>
      <c r="GK204" s="98"/>
      <c r="GL204" s="98"/>
      <c r="GM204" s="98"/>
      <c r="GN204" s="98"/>
      <c r="GO204" s="98"/>
      <c r="GP204" s="98"/>
      <c r="GQ204" s="98"/>
      <c r="GR204" s="98"/>
      <c r="GS204" s="98"/>
      <c r="GT204" s="98"/>
      <c r="GU204" s="98"/>
      <c r="GV204" s="98"/>
      <c r="GW204" s="98"/>
      <c r="GX204" s="98"/>
      <c r="GY204" s="98"/>
      <c r="GZ204" s="98"/>
      <c r="HA204" s="98"/>
      <c r="HB204" s="98"/>
      <c r="HC204" s="98"/>
      <c r="HD204" s="98"/>
      <c r="HE204" s="98"/>
      <c r="HF204" s="98"/>
      <c r="HG204" s="98"/>
      <c r="HH204" s="98"/>
      <c r="HI204" s="98"/>
      <c r="HJ204" s="98"/>
      <c r="HK204" s="98"/>
      <c r="HL204" s="98"/>
      <c r="HM204" s="98"/>
      <c r="HN204" s="98"/>
      <c r="HO204" s="98"/>
      <c r="HP204" s="98"/>
      <c r="HQ204" s="98"/>
      <c r="HR204" s="98"/>
      <c r="HS204" s="98"/>
      <c r="HT204" s="98"/>
      <c r="HU204" s="98"/>
      <c r="HV204" s="98"/>
      <c r="HW204" s="98"/>
      <c r="HX204" s="98"/>
      <c r="HY204" s="98"/>
      <c r="HZ204" s="98"/>
      <c r="IA204" s="98"/>
      <c r="IB204" s="98"/>
      <c r="IC204" s="98"/>
      <c r="ID204" s="98"/>
      <c r="IE204" s="98"/>
      <c r="IF204" s="98"/>
      <c r="IG204" s="98"/>
      <c r="IH204" s="98"/>
      <c r="II204" s="98"/>
      <c r="IJ204" s="98"/>
      <c r="IK204" s="98"/>
      <c r="IL204" s="98"/>
      <c r="IM204" s="98"/>
      <c r="IN204" s="98"/>
      <c r="IO204" s="98"/>
      <c r="IP204" s="98"/>
      <c r="IQ204" s="98"/>
      <c r="IR204" s="98"/>
      <c r="IS204" s="98"/>
      <c r="IT204" s="98"/>
      <c r="IU204" s="98"/>
      <c r="IV204" s="98"/>
      <c r="IW204" s="98"/>
      <c r="IX204" s="98"/>
      <c r="IY204" s="98"/>
      <c r="IZ204" s="98"/>
      <c r="JA204" s="98"/>
      <c r="JB204" s="98"/>
      <c r="JC204" s="98"/>
      <c r="JD204" s="98"/>
      <c r="JE204" s="98"/>
      <c r="JF204" s="98"/>
      <c r="JG204" s="98"/>
      <c r="JH204" s="98"/>
      <c r="JI204" s="98"/>
      <c r="JJ204" s="98"/>
      <c r="JK204" s="98"/>
      <c r="JL204" s="98"/>
      <c r="JM204" s="98"/>
      <c r="JN204" s="98"/>
      <c r="JO204" s="98"/>
      <c r="JP204" s="98"/>
      <c r="JQ204" s="98"/>
      <c r="JR204" s="98"/>
      <c r="JS204" s="98"/>
      <c r="JT204" s="98"/>
      <c r="JU204" s="98"/>
      <c r="JV204" s="98"/>
      <c r="JW204" s="98"/>
      <c r="JX204" s="98"/>
      <c r="JY204" s="98"/>
      <c r="JZ204" s="98"/>
      <c r="KA204" s="98"/>
      <c r="KB204" s="98"/>
      <c r="KC204" s="98"/>
      <c r="KD204" s="98"/>
      <c r="KE204" s="98"/>
      <c r="KF204" s="98"/>
      <c r="KG204" s="98"/>
      <c r="KH204" s="98"/>
      <c r="KI204" s="98"/>
      <c r="KJ204" s="98"/>
      <c r="KK204" s="98"/>
      <c r="KL204" s="98"/>
      <c r="KM204" s="98"/>
      <c r="KN204" s="98"/>
      <c r="KO204" s="98"/>
      <c r="KP204" s="98"/>
      <c r="KQ204" s="98"/>
      <c r="KR204" s="98"/>
      <c r="KS204" s="98"/>
      <c r="KT204" s="98"/>
      <c r="KU204" s="98"/>
      <c r="KV204" s="98"/>
      <c r="KW204" s="98"/>
      <c r="KX204" s="98"/>
      <c r="KY204" s="98"/>
      <c r="KZ204" s="98"/>
      <c r="LA204" s="98"/>
      <c r="LB204" s="98"/>
      <c r="LC204" s="98"/>
      <c r="LD204" s="98"/>
      <c r="LE204" s="98"/>
      <c r="LF204" s="98"/>
      <c r="LG204" s="98"/>
      <c r="LH204" s="98"/>
      <c r="LI204" s="98"/>
      <c r="LJ204" s="98"/>
      <c r="LK204" s="98"/>
      <c r="LL204" s="98"/>
      <c r="LM204" s="98"/>
      <c r="LN204" s="98"/>
      <c r="LO204" s="98"/>
      <c r="LP204" s="98"/>
      <c r="LQ204" s="98"/>
      <c r="LR204" s="98"/>
      <c r="LS204" s="98"/>
      <c r="LT204" s="98"/>
      <c r="LU204" s="98"/>
      <c r="LV204" s="98"/>
      <c r="LW204" s="98"/>
      <c r="LX204" s="98"/>
      <c r="LY204" s="98"/>
      <c r="LZ204" s="98"/>
      <c r="MA204" s="98"/>
      <c r="MB204" s="98"/>
      <c r="MC204" s="98"/>
      <c r="MD204" s="98"/>
      <c r="ME204" s="98"/>
      <c r="MF204" s="98"/>
      <c r="MG204" s="98"/>
      <c r="MH204" s="98"/>
      <c r="MI204" s="98"/>
      <c r="MJ204" s="98"/>
      <c r="MK204" s="98"/>
      <c r="ML204" s="98"/>
      <c r="MM204" s="98"/>
      <c r="MN204" s="98"/>
      <c r="MO204" s="98"/>
      <c r="MP204" s="98"/>
      <c r="MQ204" s="98"/>
      <c r="MR204" s="98"/>
      <c r="MS204" s="98"/>
      <c r="MT204" s="98"/>
      <c r="MU204" s="98"/>
      <c r="MV204" s="98"/>
      <c r="MW204" s="98"/>
      <c r="MX204" s="98"/>
      <c r="MY204" s="98"/>
      <c r="MZ204" s="98"/>
      <c r="NA204" s="98"/>
      <c r="NB204" s="98"/>
      <c r="NC204" s="98"/>
      <c r="ND204" s="98"/>
      <c r="NE204" s="98"/>
      <c r="NF204" s="98"/>
      <c r="NG204" s="98"/>
      <c r="NH204" s="98"/>
      <c r="NI204" s="98"/>
      <c r="NJ204" s="98"/>
      <c r="NK204" s="98"/>
      <c r="NL204" s="98"/>
      <c r="NM204" s="98"/>
      <c r="NN204" s="98"/>
      <c r="NO204" s="98"/>
      <c r="NP204" s="98"/>
      <c r="NQ204" s="98"/>
      <c r="NR204" s="98"/>
      <c r="NS204" s="98"/>
      <c r="NT204" s="98"/>
      <c r="NU204" s="98"/>
      <c r="NV204" s="98"/>
      <c r="NW204" s="98"/>
      <c r="NX204" s="98"/>
      <c r="NY204" s="98"/>
      <c r="NZ204" s="98"/>
      <c r="OA204" s="98"/>
      <c r="OB204" s="98"/>
      <c r="OC204" s="98"/>
      <c r="OD204" s="98"/>
      <c r="OE204" s="98"/>
      <c r="OF204" s="98"/>
      <c r="OG204" s="98"/>
      <c r="OH204" s="98"/>
      <c r="OI204" s="98"/>
      <c r="OJ204" s="98"/>
      <c r="OK204" s="98"/>
      <c r="OL204" s="98"/>
      <c r="OM204" s="98"/>
      <c r="ON204" s="98"/>
      <c r="OO204" s="98"/>
      <c r="OP204" s="98"/>
      <c r="OQ204" s="98"/>
      <c r="OR204" s="98"/>
      <c r="OS204" s="98"/>
      <c r="OT204" s="98"/>
      <c r="OU204" s="98"/>
      <c r="OV204" s="98"/>
      <c r="OW204" s="98"/>
      <c r="OX204" s="98"/>
      <c r="OY204" s="98"/>
      <c r="OZ204" s="98"/>
      <c r="PA204" s="98"/>
      <c r="PB204" s="98"/>
      <c r="PC204" s="98"/>
      <c r="PD204" s="98"/>
      <c r="PE204" s="98"/>
      <c r="PF204" s="98"/>
      <c r="PG204" s="98"/>
      <c r="PH204" s="98"/>
      <c r="PI204" s="98"/>
      <c r="PJ204" s="98"/>
      <c r="PK204" s="98"/>
      <c r="PL204" s="98"/>
      <c r="PM204" s="98"/>
      <c r="PN204" s="98"/>
      <c r="PO204" s="98"/>
      <c r="PP204" s="98"/>
      <c r="PQ204" s="98"/>
      <c r="PR204" s="98"/>
      <c r="PS204" s="98"/>
      <c r="PT204" s="98"/>
      <c r="PU204" s="98"/>
      <c r="PV204" s="98"/>
      <c r="PW204" s="98"/>
      <c r="PX204" s="98"/>
      <c r="PY204" s="98"/>
      <c r="PZ204" s="98"/>
      <c r="QA204" s="98"/>
      <c r="QB204" s="98"/>
      <c r="QC204" s="98"/>
      <c r="QD204" s="98"/>
      <c r="QE204" s="98"/>
      <c r="QF204" s="98"/>
      <c r="QG204" s="98"/>
      <c r="QH204" s="98"/>
      <c r="QI204" s="98"/>
      <c r="QJ204" s="98"/>
      <c r="QK204" s="98"/>
      <c r="QL204" s="98"/>
      <c r="QM204" s="98"/>
      <c r="QN204" s="98"/>
      <c r="QO204" s="98"/>
      <c r="QP204" s="98"/>
      <c r="QQ204" s="98"/>
      <c r="QR204" s="98"/>
      <c r="QS204" s="98"/>
      <c r="QT204" s="98"/>
      <c r="QU204" s="98"/>
      <c r="QV204" s="98"/>
      <c r="QW204" s="98"/>
      <c r="QX204" s="98"/>
      <c r="QY204" s="98"/>
      <c r="QZ204" s="98"/>
      <c r="RA204" s="98"/>
      <c r="RB204" s="98"/>
      <c r="RC204" s="98"/>
      <c r="RD204" s="98"/>
      <c r="RE204" s="98"/>
      <c r="RF204" s="98"/>
      <c r="RG204" s="98"/>
      <c r="RH204" s="98"/>
      <c r="RI204" s="98"/>
      <c r="RJ204" s="98"/>
      <c r="RK204" s="98"/>
      <c r="RL204" s="98"/>
      <c r="RM204" s="98"/>
      <c r="RN204" s="98"/>
      <c r="RO204" s="98"/>
      <c r="RP204" s="98"/>
      <c r="RQ204" s="98"/>
      <c r="RR204" s="98"/>
      <c r="RS204" s="98"/>
      <c r="RT204" s="98"/>
      <c r="RU204" s="98"/>
      <c r="RV204" s="98"/>
      <c r="RW204" s="98"/>
      <c r="RX204" s="98"/>
      <c r="RY204" s="98"/>
      <c r="RZ204" s="98"/>
      <c r="SA204" s="98"/>
      <c r="SB204" s="98"/>
      <c r="SC204" s="98"/>
      <c r="SD204" s="98"/>
      <c r="SE204" s="98"/>
      <c r="SF204" s="98"/>
      <c r="SG204" s="98"/>
      <c r="SH204" s="98"/>
      <c r="SI204" s="98"/>
      <c r="SJ204" s="98"/>
      <c r="SK204" s="98"/>
      <c r="SL204" s="98"/>
      <c r="SM204" s="98"/>
      <c r="SN204" s="98"/>
      <c r="SO204" s="98"/>
      <c r="SP204" s="98"/>
      <c r="SQ204" s="98"/>
      <c r="SR204" s="98"/>
    </row>
    <row r="205" spans="1:512" s="100" customFormat="1" ht="230.25" outlineLevel="4" thickBot="1" x14ac:dyDescent="0.25">
      <c r="A205" s="43" t="s">
        <v>797</v>
      </c>
      <c r="B205" s="175"/>
      <c r="C205" s="77"/>
      <c r="D205" s="148"/>
      <c r="E205" s="48" t="s">
        <v>71</v>
      </c>
      <c r="F205" s="48" t="s">
        <v>798</v>
      </c>
      <c r="G205" s="87" t="s">
        <v>615</v>
      </c>
      <c r="H205" s="88" t="s">
        <v>127</v>
      </c>
      <c r="I205" s="69">
        <v>3</v>
      </c>
      <c r="J205" s="70" t="s">
        <v>74</v>
      </c>
      <c r="K205" s="93" t="s">
        <v>75</v>
      </c>
      <c r="L205" s="71">
        <v>1</v>
      </c>
      <c r="M205" s="89">
        <v>3</v>
      </c>
      <c r="N205" s="32" t="s">
        <v>39</v>
      </c>
      <c r="O205" s="33" t="s">
        <v>143</v>
      </c>
      <c r="P205" s="71">
        <v>2</v>
      </c>
      <c r="Q205" s="97">
        <f t="shared" si="9"/>
        <v>6</v>
      </c>
      <c r="R205" s="32"/>
      <c r="S205" s="32"/>
      <c r="T205" s="32"/>
      <c r="U205" s="95"/>
      <c r="V205" s="62"/>
      <c r="W205" s="96"/>
      <c r="X205" s="62"/>
      <c r="Y205" s="62"/>
      <c r="Z205" s="33"/>
      <c r="AA205" s="40"/>
      <c r="AB205" s="99"/>
      <c r="AC205" s="98"/>
      <c r="AD205" s="17">
        <f t="shared" si="27"/>
        <v>-1566</v>
      </c>
      <c r="AE205" s="18">
        <f t="shared" si="26"/>
        <v>1566</v>
      </c>
      <c r="AF205" s="98"/>
      <c r="AG205" s="98"/>
      <c r="AH205" s="98"/>
      <c r="AI205" s="98"/>
      <c r="AJ205" s="98"/>
      <c r="AK205" s="98"/>
      <c r="AL205" s="98"/>
      <c r="AM205" s="98"/>
      <c r="AN205" s="98"/>
      <c r="AO205" s="98"/>
      <c r="AP205" s="98"/>
      <c r="AQ205" s="98"/>
      <c r="AR205" s="98"/>
      <c r="AS205" s="98"/>
      <c r="AT205" s="98"/>
      <c r="AU205" s="98"/>
      <c r="AV205" s="98"/>
      <c r="AW205" s="98"/>
      <c r="AX205" s="98"/>
      <c r="AY205" s="98"/>
      <c r="AZ205" s="98"/>
      <c r="BA205" s="98"/>
      <c r="BB205" s="98"/>
      <c r="BC205" s="98"/>
      <c r="BD205" s="98"/>
      <c r="BE205" s="98"/>
      <c r="BF205" s="98"/>
      <c r="BG205" s="98"/>
      <c r="BH205" s="98"/>
      <c r="BI205" s="98"/>
      <c r="BJ205" s="98"/>
      <c r="BK205" s="98"/>
      <c r="BL205" s="98"/>
      <c r="BM205" s="98"/>
      <c r="BN205" s="98"/>
      <c r="BO205" s="98"/>
      <c r="BP205" s="98"/>
      <c r="BQ205" s="98"/>
      <c r="BR205" s="98"/>
      <c r="BS205" s="98"/>
      <c r="BT205" s="98"/>
      <c r="BU205" s="98"/>
      <c r="BV205" s="98"/>
      <c r="BW205" s="98"/>
      <c r="BX205" s="98"/>
      <c r="BY205" s="98"/>
      <c r="BZ205" s="98"/>
      <c r="CA205" s="98"/>
      <c r="CB205" s="98"/>
      <c r="CC205" s="98"/>
      <c r="CD205" s="98"/>
      <c r="CE205" s="98"/>
      <c r="CF205" s="98"/>
      <c r="CG205" s="98"/>
      <c r="CH205" s="98"/>
      <c r="CI205" s="98"/>
      <c r="CJ205" s="98"/>
      <c r="CK205" s="98"/>
      <c r="CL205" s="98"/>
      <c r="CM205" s="98"/>
      <c r="CN205" s="98"/>
      <c r="CO205" s="98"/>
      <c r="CP205" s="98"/>
      <c r="CQ205" s="98"/>
      <c r="CR205" s="98"/>
      <c r="CS205" s="98"/>
      <c r="CT205" s="98"/>
      <c r="CU205" s="98"/>
      <c r="CV205" s="98"/>
      <c r="CW205" s="98"/>
      <c r="CX205" s="98"/>
      <c r="CY205" s="98"/>
      <c r="CZ205" s="98"/>
      <c r="DA205" s="98"/>
      <c r="DB205" s="98"/>
      <c r="DC205" s="98"/>
      <c r="DD205" s="98"/>
      <c r="DE205" s="98"/>
      <c r="DF205" s="98"/>
      <c r="DG205" s="98"/>
      <c r="DH205" s="98"/>
      <c r="DI205" s="98"/>
      <c r="DJ205" s="98"/>
      <c r="DK205" s="98"/>
      <c r="DL205" s="98"/>
      <c r="DM205" s="98"/>
      <c r="DN205" s="98"/>
      <c r="DO205" s="98"/>
      <c r="DP205" s="98"/>
      <c r="DQ205" s="98"/>
      <c r="DR205" s="98"/>
      <c r="DS205" s="98"/>
      <c r="DT205" s="98"/>
      <c r="DU205" s="98"/>
      <c r="DV205" s="98"/>
      <c r="DW205" s="98"/>
      <c r="DX205" s="98"/>
      <c r="DY205" s="98"/>
      <c r="DZ205" s="98"/>
      <c r="EA205" s="98"/>
      <c r="EB205" s="98"/>
      <c r="EC205" s="98"/>
      <c r="ED205" s="98"/>
      <c r="EE205" s="98"/>
      <c r="EF205" s="98"/>
      <c r="EG205" s="98"/>
      <c r="EH205" s="98"/>
      <c r="EI205" s="98"/>
      <c r="EJ205" s="98"/>
      <c r="EK205" s="98"/>
      <c r="EL205" s="98"/>
      <c r="EM205" s="98"/>
      <c r="EN205" s="98"/>
      <c r="EO205" s="98"/>
      <c r="EP205" s="98"/>
      <c r="EQ205" s="98"/>
      <c r="ER205" s="98"/>
      <c r="ES205" s="98"/>
      <c r="ET205" s="98"/>
      <c r="EU205" s="98"/>
      <c r="EV205" s="98"/>
      <c r="EW205" s="98"/>
      <c r="EX205" s="98"/>
      <c r="EY205" s="98"/>
      <c r="EZ205" s="98"/>
      <c r="FA205" s="98"/>
      <c r="FB205" s="98"/>
      <c r="FC205" s="98"/>
      <c r="FD205" s="98"/>
      <c r="FE205" s="98"/>
      <c r="FF205" s="98"/>
      <c r="FG205" s="98"/>
      <c r="FH205" s="98"/>
      <c r="FI205" s="98"/>
      <c r="FJ205" s="98"/>
      <c r="FK205" s="98"/>
      <c r="FL205" s="98"/>
      <c r="FM205" s="98"/>
      <c r="FN205" s="98"/>
      <c r="FO205" s="98"/>
      <c r="FP205" s="98"/>
      <c r="FQ205" s="98"/>
      <c r="FR205" s="98"/>
      <c r="FS205" s="98"/>
      <c r="FT205" s="98"/>
      <c r="FU205" s="98"/>
      <c r="FV205" s="98"/>
      <c r="FW205" s="98"/>
      <c r="FX205" s="98"/>
      <c r="FY205" s="98"/>
      <c r="FZ205" s="98"/>
      <c r="GA205" s="98"/>
      <c r="GB205" s="98"/>
      <c r="GC205" s="98"/>
      <c r="GD205" s="98"/>
      <c r="GE205" s="98"/>
      <c r="GF205" s="98"/>
      <c r="GG205" s="98"/>
      <c r="GH205" s="98"/>
      <c r="GI205" s="98"/>
      <c r="GJ205" s="98"/>
      <c r="GK205" s="98"/>
      <c r="GL205" s="98"/>
      <c r="GM205" s="98"/>
      <c r="GN205" s="98"/>
      <c r="GO205" s="98"/>
      <c r="GP205" s="98"/>
      <c r="GQ205" s="98"/>
      <c r="GR205" s="98"/>
      <c r="GS205" s="98"/>
      <c r="GT205" s="98"/>
      <c r="GU205" s="98"/>
      <c r="GV205" s="98"/>
      <c r="GW205" s="98"/>
      <c r="GX205" s="98"/>
      <c r="GY205" s="98"/>
      <c r="GZ205" s="98"/>
      <c r="HA205" s="98"/>
      <c r="HB205" s="98"/>
      <c r="HC205" s="98"/>
      <c r="HD205" s="98"/>
      <c r="HE205" s="98"/>
      <c r="HF205" s="98"/>
      <c r="HG205" s="98"/>
      <c r="HH205" s="98"/>
      <c r="HI205" s="98"/>
      <c r="HJ205" s="98"/>
      <c r="HK205" s="98"/>
      <c r="HL205" s="98"/>
      <c r="HM205" s="98"/>
      <c r="HN205" s="98"/>
      <c r="HO205" s="98"/>
      <c r="HP205" s="98"/>
      <c r="HQ205" s="98"/>
      <c r="HR205" s="98"/>
      <c r="HS205" s="98"/>
      <c r="HT205" s="98"/>
      <c r="HU205" s="98"/>
      <c r="HV205" s="98"/>
      <c r="HW205" s="98"/>
      <c r="HX205" s="98"/>
      <c r="HY205" s="98"/>
      <c r="HZ205" s="98"/>
      <c r="IA205" s="98"/>
      <c r="IB205" s="98"/>
      <c r="IC205" s="98"/>
      <c r="ID205" s="98"/>
      <c r="IE205" s="98"/>
      <c r="IF205" s="98"/>
      <c r="IG205" s="98"/>
      <c r="IH205" s="98"/>
      <c r="II205" s="98"/>
      <c r="IJ205" s="98"/>
      <c r="IK205" s="98"/>
      <c r="IL205" s="98"/>
      <c r="IM205" s="98"/>
      <c r="IN205" s="98"/>
      <c r="IO205" s="98"/>
      <c r="IP205" s="98"/>
      <c r="IQ205" s="98"/>
      <c r="IR205" s="98"/>
      <c r="IS205" s="98"/>
      <c r="IT205" s="98"/>
      <c r="IU205" s="98"/>
      <c r="IV205" s="98"/>
      <c r="IW205" s="98"/>
      <c r="IX205" s="98"/>
      <c r="IY205" s="98"/>
      <c r="IZ205" s="98"/>
      <c r="JA205" s="98"/>
      <c r="JB205" s="98"/>
      <c r="JC205" s="98"/>
      <c r="JD205" s="98"/>
      <c r="JE205" s="98"/>
      <c r="JF205" s="98"/>
      <c r="JG205" s="98"/>
      <c r="JH205" s="98"/>
      <c r="JI205" s="98"/>
      <c r="JJ205" s="98"/>
      <c r="JK205" s="98"/>
      <c r="JL205" s="98"/>
      <c r="JM205" s="98"/>
      <c r="JN205" s="98"/>
      <c r="JO205" s="98"/>
      <c r="JP205" s="98"/>
      <c r="JQ205" s="98"/>
      <c r="JR205" s="98"/>
      <c r="JS205" s="98"/>
      <c r="JT205" s="98"/>
      <c r="JU205" s="98"/>
      <c r="JV205" s="98"/>
      <c r="JW205" s="98"/>
      <c r="JX205" s="98"/>
      <c r="JY205" s="98"/>
      <c r="JZ205" s="98"/>
      <c r="KA205" s="98"/>
      <c r="KB205" s="98"/>
      <c r="KC205" s="98"/>
      <c r="KD205" s="98"/>
      <c r="KE205" s="98"/>
      <c r="KF205" s="98"/>
      <c r="KG205" s="98"/>
      <c r="KH205" s="98"/>
      <c r="KI205" s="98"/>
      <c r="KJ205" s="98"/>
      <c r="KK205" s="98"/>
      <c r="KL205" s="98"/>
      <c r="KM205" s="98"/>
      <c r="KN205" s="98"/>
      <c r="KO205" s="98"/>
      <c r="KP205" s="98"/>
      <c r="KQ205" s="98"/>
      <c r="KR205" s="98"/>
      <c r="KS205" s="98"/>
      <c r="KT205" s="98"/>
      <c r="KU205" s="98"/>
      <c r="KV205" s="98"/>
      <c r="KW205" s="98"/>
      <c r="KX205" s="98"/>
      <c r="KY205" s="98"/>
      <c r="KZ205" s="98"/>
      <c r="LA205" s="98"/>
      <c r="LB205" s="98"/>
      <c r="LC205" s="98"/>
      <c r="LD205" s="98"/>
      <c r="LE205" s="98"/>
      <c r="LF205" s="98"/>
      <c r="LG205" s="98"/>
      <c r="LH205" s="98"/>
      <c r="LI205" s="98"/>
      <c r="LJ205" s="98"/>
      <c r="LK205" s="98"/>
      <c r="LL205" s="98"/>
      <c r="LM205" s="98"/>
      <c r="LN205" s="98"/>
      <c r="LO205" s="98"/>
      <c r="LP205" s="98"/>
      <c r="LQ205" s="98"/>
      <c r="LR205" s="98"/>
      <c r="LS205" s="98"/>
      <c r="LT205" s="98"/>
      <c r="LU205" s="98"/>
      <c r="LV205" s="98"/>
      <c r="LW205" s="98"/>
      <c r="LX205" s="98"/>
      <c r="LY205" s="98"/>
      <c r="LZ205" s="98"/>
      <c r="MA205" s="98"/>
      <c r="MB205" s="98"/>
      <c r="MC205" s="98"/>
      <c r="MD205" s="98"/>
      <c r="ME205" s="98"/>
      <c r="MF205" s="98"/>
      <c r="MG205" s="98"/>
      <c r="MH205" s="98"/>
      <c r="MI205" s="98"/>
      <c r="MJ205" s="98"/>
      <c r="MK205" s="98"/>
      <c r="ML205" s="98"/>
      <c r="MM205" s="98"/>
      <c r="MN205" s="98"/>
      <c r="MO205" s="98"/>
      <c r="MP205" s="98"/>
      <c r="MQ205" s="98"/>
      <c r="MR205" s="98"/>
      <c r="MS205" s="98"/>
      <c r="MT205" s="98"/>
      <c r="MU205" s="98"/>
      <c r="MV205" s="98"/>
      <c r="MW205" s="98"/>
      <c r="MX205" s="98"/>
      <c r="MY205" s="98"/>
      <c r="MZ205" s="98"/>
      <c r="NA205" s="98"/>
      <c r="NB205" s="98"/>
      <c r="NC205" s="98"/>
      <c r="ND205" s="98"/>
      <c r="NE205" s="98"/>
      <c r="NF205" s="98"/>
      <c r="NG205" s="98"/>
      <c r="NH205" s="98"/>
      <c r="NI205" s="98"/>
      <c r="NJ205" s="98"/>
      <c r="NK205" s="98"/>
      <c r="NL205" s="98"/>
      <c r="NM205" s="98"/>
      <c r="NN205" s="98"/>
      <c r="NO205" s="98"/>
      <c r="NP205" s="98"/>
      <c r="NQ205" s="98"/>
      <c r="NR205" s="98"/>
      <c r="NS205" s="98"/>
      <c r="NT205" s="98"/>
      <c r="NU205" s="98"/>
      <c r="NV205" s="98"/>
      <c r="NW205" s="98"/>
      <c r="NX205" s="98"/>
      <c r="NY205" s="98"/>
      <c r="NZ205" s="98"/>
      <c r="OA205" s="98"/>
      <c r="OB205" s="98"/>
      <c r="OC205" s="98"/>
      <c r="OD205" s="98"/>
      <c r="OE205" s="98"/>
      <c r="OF205" s="98"/>
      <c r="OG205" s="98"/>
      <c r="OH205" s="98"/>
      <c r="OI205" s="98"/>
      <c r="OJ205" s="98"/>
      <c r="OK205" s="98"/>
      <c r="OL205" s="98"/>
      <c r="OM205" s="98"/>
      <c r="ON205" s="98"/>
      <c r="OO205" s="98"/>
      <c r="OP205" s="98"/>
      <c r="OQ205" s="98"/>
      <c r="OR205" s="98"/>
      <c r="OS205" s="98"/>
      <c r="OT205" s="98"/>
      <c r="OU205" s="98"/>
      <c r="OV205" s="98"/>
      <c r="OW205" s="98"/>
      <c r="OX205" s="98"/>
      <c r="OY205" s="98"/>
      <c r="OZ205" s="98"/>
      <c r="PA205" s="98"/>
      <c r="PB205" s="98"/>
      <c r="PC205" s="98"/>
      <c r="PD205" s="98"/>
      <c r="PE205" s="98"/>
      <c r="PF205" s="98"/>
      <c r="PG205" s="98"/>
      <c r="PH205" s="98"/>
      <c r="PI205" s="98"/>
      <c r="PJ205" s="98"/>
      <c r="PK205" s="98"/>
      <c r="PL205" s="98"/>
      <c r="PM205" s="98"/>
      <c r="PN205" s="98"/>
      <c r="PO205" s="98"/>
      <c r="PP205" s="98"/>
      <c r="PQ205" s="98"/>
      <c r="PR205" s="98"/>
      <c r="PS205" s="98"/>
      <c r="PT205" s="98"/>
      <c r="PU205" s="98"/>
      <c r="PV205" s="98"/>
      <c r="PW205" s="98"/>
      <c r="PX205" s="98"/>
      <c r="PY205" s="98"/>
      <c r="PZ205" s="98"/>
      <c r="QA205" s="98"/>
      <c r="QB205" s="98"/>
      <c r="QC205" s="98"/>
      <c r="QD205" s="98"/>
      <c r="QE205" s="98"/>
      <c r="QF205" s="98"/>
      <c r="QG205" s="98"/>
      <c r="QH205" s="98"/>
      <c r="QI205" s="98"/>
      <c r="QJ205" s="98"/>
      <c r="QK205" s="98"/>
      <c r="QL205" s="98"/>
      <c r="QM205" s="98"/>
      <c r="QN205" s="98"/>
      <c r="QO205" s="98"/>
      <c r="QP205" s="98"/>
      <c r="QQ205" s="98"/>
      <c r="QR205" s="98"/>
      <c r="QS205" s="98"/>
      <c r="QT205" s="98"/>
      <c r="QU205" s="98"/>
      <c r="QV205" s="98"/>
      <c r="QW205" s="98"/>
      <c r="QX205" s="98"/>
      <c r="QY205" s="98"/>
      <c r="QZ205" s="98"/>
      <c r="RA205" s="98"/>
      <c r="RB205" s="98"/>
      <c r="RC205" s="98"/>
      <c r="RD205" s="98"/>
      <c r="RE205" s="98"/>
      <c r="RF205" s="98"/>
      <c r="RG205" s="98"/>
      <c r="RH205" s="98"/>
      <c r="RI205" s="98"/>
      <c r="RJ205" s="98"/>
      <c r="RK205" s="98"/>
      <c r="RL205" s="98"/>
      <c r="RM205" s="98"/>
      <c r="RN205" s="98"/>
      <c r="RO205" s="98"/>
      <c r="RP205" s="98"/>
      <c r="RQ205" s="98"/>
      <c r="RR205" s="98"/>
      <c r="RS205" s="98"/>
      <c r="RT205" s="98"/>
      <c r="RU205" s="98"/>
      <c r="RV205" s="98"/>
      <c r="RW205" s="98"/>
      <c r="RX205" s="98"/>
      <c r="RY205" s="98"/>
      <c r="RZ205" s="98"/>
      <c r="SA205" s="98"/>
      <c r="SB205" s="98"/>
      <c r="SC205" s="98"/>
      <c r="SD205" s="98"/>
      <c r="SE205" s="98"/>
      <c r="SF205" s="98"/>
      <c r="SG205" s="98"/>
      <c r="SH205" s="98"/>
      <c r="SI205" s="98"/>
      <c r="SJ205" s="98"/>
      <c r="SK205" s="98"/>
      <c r="SL205" s="98"/>
      <c r="SM205" s="98"/>
      <c r="SN205" s="98"/>
      <c r="SO205" s="98"/>
      <c r="SP205" s="98"/>
      <c r="SQ205" s="98"/>
      <c r="SR205" s="98"/>
    </row>
    <row r="206" spans="1:512" ht="230.25" outlineLevel="4" thickBot="1" x14ac:dyDescent="0.25">
      <c r="A206" s="43" t="s">
        <v>799</v>
      </c>
      <c r="B206" s="174" t="s">
        <v>800</v>
      </c>
      <c r="C206" s="75" t="s">
        <v>801</v>
      </c>
      <c r="D206" s="147" t="s">
        <v>664</v>
      </c>
      <c r="E206" s="48" t="s">
        <v>256</v>
      </c>
      <c r="F206" s="48" t="s">
        <v>355</v>
      </c>
      <c r="G206" s="48" t="s">
        <v>438</v>
      </c>
      <c r="H206" s="39" t="s">
        <v>439</v>
      </c>
      <c r="I206" s="69">
        <v>1</v>
      </c>
      <c r="J206" s="70" t="s">
        <v>84</v>
      </c>
      <c r="K206" s="93" t="s">
        <v>75</v>
      </c>
      <c r="L206" s="71">
        <v>1</v>
      </c>
      <c r="M206" s="89">
        <v>2</v>
      </c>
      <c r="N206" s="32" t="s">
        <v>39</v>
      </c>
      <c r="O206" s="53" t="s">
        <v>76</v>
      </c>
      <c r="P206" s="71">
        <v>5</v>
      </c>
      <c r="Q206" s="97">
        <f t="shared" si="9"/>
        <v>10</v>
      </c>
      <c r="R206" s="32"/>
      <c r="S206" s="32"/>
      <c r="T206" s="32"/>
      <c r="U206" s="95"/>
      <c r="V206" s="62"/>
      <c r="W206" s="96"/>
      <c r="X206" s="62"/>
      <c r="Y206" s="62"/>
      <c r="Z206" s="33"/>
      <c r="AA206" s="40"/>
      <c r="AB206" s="99"/>
      <c r="AC206" s="98"/>
      <c r="AD206" s="17">
        <f t="shared" si="27"/>
        <v>-1567</v>
      </c>
      <c r="AE206" s="18">
        <f t="shared" si="26"/>
        <v>1567</v>
      </c>
      <c r="AF206" s="98"/>
      <c r="AG206" s="98"/>
      <c r="AH206" s="98"/>
      <c r="AI206" s="98"/>
      <c r="AJ206" s="98"/>
      <c r="AK206" s="98"/>
      <c r="AL206" s="98"/>
      <c r="AM206" s="98"/>
      <c r="AN206" s="98"/>
      <c r="AO206" s="98"/>
      <c r="AP206" s="98"/>
      <c r="AQ206" s="98"/>
      <c r="AR206" s="98"/>
      <c r="AS206" s="98"/>
      <c r="AT206" s="98"/>
      <c r="AU206" s="98"/>
      <c r="AV206" s="98"/>
      <c r="AW206" s="98"/>
      <c r="AX206" s="98"/>
      <c r="AY206" s="98"/>
      <c r="AZ206" s="98"/>
      <c r="BA206" s="98"/>
      <c r="BB206" s="98"/>
      <c r="BC206" s="98"/>
      <c r="BD206" s="98"/>
      <c r="BE206" s="98"/>
      <c r="BF206" s="98"/>
      <c r="BG206" s="98"/>
      <c r="BH206" s="98"/>
      <c r="BI206" s="98"/>
      <c r="BJ206" s="98"/>
      <c r="BK206" s="98"/>
      <c r="BL206" s="98"/>
      <c r="BM206" s="98"/>
      <c r="BN206" s="98"/>
      <c r="BO206" s="98"/>
      <c r="BP206" s="98"/>
      <c r="BQ206" s="98"/>
      <c r="BR206" s="98"/>
      <c r="BS206" s="98"/>
      <c r="BT206" s="98"/>
      <c r="BU206" s="98"/>
      <c r="BV206" s="98"/>
      <c r="BW206" s="98"/>
      <c r="BX206" s="98"/>
      <c r="BY206" s="98"/>
      <c r="BZ206" s="98"/>
      <c r="CA206" s="98"/>
      <c r="CB206" s="98"/>
      <c r="CC206" s="98"/>
      <c r="CD206" s="98"/>
      <c r="CE206" s="98"/>
      <c r="CF206" s="98"/>
      <c r="CG206" s="98"/>
      <c r="CH206" s="98"/>
      <c r="CI206" s="98"/>
      <c r="CJ206" s="98"/>
      <c r="CK206" s="98"/>
      <c r="CL206" s="98"/>
      <c r="CM206" s="98"/>
      <c r="CN206" s="98"/>
      <c r="CO206" s="98"/>
      <c r="CP206" s="98"/>
      <c r="CQ206" s="98"/>
      <c r="CR206" s="98"/>
      <c r="CS206" s="98"/>
      <c r="CT206" s="98"/>
      <c r="CU206" s="98"/>
      <c r="CV206" s="98"/>
      <c r="CW206" s="98"/>
      <c r="CX206" s="98"/>
      <c r="CY206" s="98"/>
      <c r="CZ206" s="98"/>
      <c r="DA206" s="98"/>
      <c r="DB206" s="98"/>
      <c r="DC206" s="98"/>
      <c r="DD206" s="98"/>
      <c r="DE206" s="98"/>
      <c r="DF206" s="98"/>
      <c r="DG206" s="98"/>
      <c r="DH206" s="98"/>
      <c r="DI206" s="98"/>
      <c r="DJ206" s="98"/>
      <c r="DK206" s="98"/>
      <c r="DL206" s="98"/>
      <c r="DM206" s="98"/>
      <c r="DN206" s="98"/>
      <c r="DO206" s="98"/>
      <c r="DP206" s="98"/>
      <c r="DQ206" s="98"/>
      <c r="DR206" s="98"/>
      <c r="DS206" s="98"/>
      <c r="DT206" s="98"/>
      <c r="DU206" s="98"/>
      <c r="DV206" s="98"/>
      <c r="DW206" s="98"/>
      <c r="DX206" s="98"/>
      <c r="DY206" s="98"/>
      <c r="DZ206" s="98"/>
      <c r="EA206" s="98"/>
      <c r="EB206" s="98"/>
      <c r="EC206" s="98"/>
      <c r="ED206" s="98"/>
      <c r="EE206" s="98"/>
      <c r="EF206" s="98"/>
      <c r="EG206" s="98"/>
      <c r="EH206" s="98"/>
      <c r="EI206" s="98"/>
      <c r="EJ206" s="98"/>
      <c r="EK206" s="98"/>
      <c r="EL206" s="98"/>
      <c r="EM206" s="98"/>
      <c r="EN206" s="98"/>
      <c r="EO206" s="98"/>
      <c r="EP206" s="98"/>
      <c r="EQ206" s="98"/>
      <c r="ER206" s="98"/>
      <c r="ES206" s="98"/>
      <c r="ET206" s="98"/>
      <c r="EU206" s="98"/>
      <c r="EV206" s="98"/>
      <c r="EW206" s="98"/>
      <c r="EX206" s="98"/>
      <c r="EY206" s="98"/>
      <c r="EZ206" s="98"/>
      <c r="FA206" s="98"/>
      <c r="FB206" s="98"/>
      <c r="FC206" s="98"/>
      <c r="FD206" s="98"/>
      <c r="FE206" s="98"/>
      <c r="FF206" s="98"/>
      <c r="FG206" s="98"/>
      <c r="FH206" s="98"/>
      <c r="FI206" s="98"/>
      <c r="FJ206" s="98"/>
      <c r="FK206" s="98"/>
      <c r="FL206" s="98"/>
      <c r="FM206" s="98"/>
      <c r="FN206" s="98"/>
      <c r="FO206" s="98"/>
      <c r="FP206" s="98"/>
      <c r="FQ206" s="98"/>
      <c r="FR206" s="98"/>
      <c r="FS206" s="98"/>
      <c r="FT206" s="98"/>
      <c r="FU206" s="98"/>
      <c r="FV206" s="98"/>
      <c r="FW206" s="98"/>
      <c r="FX206" s="98"/>
      <c r="FY206" s="98"/>
      <c r="FZ206" s="98"/>
      <c r="GA206" s="98"/>
      <c r="GB206" s="98"/>
      <c r="GC206" s="98"/>
      <c r="GD206" s="98"/>
      <c r="GE206" s="98"/>
      <c r="GF206" s="98"/>
      <c r="GG206" s="98"/>
      <c r="GH206" s="98"/>
      <c r="GI206" s="98"/>
      <c r="GJ206" s="98"/>
      <c r="GK206" s="98"/>
      <c r="GL206" s="98"/>
      <c r="GM206" s="98"/>
      <c r="GN206" s="98"/>
      <c r="GO206" s="98"/>
      <c r="GP206" s="98"/>
      <c r="GQ206" s="98"/>
      <c r="GR206" s="98"/>
      <c r="GS206" s="98"/>
      <c r="GT206" s="98"/>
      <c r="GU206" s="98"/>
      <c r="GV206" s="98"/>
      <c r="GW206" s="98"/>
      <c r="GX206" s="98"/>
      <c r="GY206" s="98"/>
      <c r="GZ206" s="98"/>
      <c r="HA206" s="98"/>
      <c r="HB206" s="98"/>
      <c r="HC206" s="98"/>
      <c r="HD206" s="98"/>
      <c r="HE206" s="98"/>
      <c r="HF206" s="98"/>
      <c r="HG206" s="98"/>
      <c r="HH206" s="98"/>
      <c r="HI206" s="98"/>
      <c r="HJ206" s="98"/>
      <c r="HK206" s="98"/>
      <c r="HL206" s="98"/>
      <c r="HM206" s="98"/>
      <c r="HN206" s="98"/>
      <c r="HO206" s="98"/>
      <c r="HP206" s="98"/>
      <c r="HQ206" s="98"/>
      <c r="HR206" s="98"/>
      <c r="HS206" s="98"/>
      <c r="HT206" s="98"/>
      <c r="HU206" s="98"/>
      <c r="HV206" s="98"/>
      <c r="HW206" s="98"/>
      <c r="HX206" s="98"/>
      <c r="HY206" s="98"/>
      <c r="HZ206" s="98"/>
      <c r="IA206" s="98"/>
      <c r="IB206" s="98"/>
      <c r="IC206" s="98"/>
      <c r="ID206" s="98"/>
      <c r="IE206" s="98"/>
      <c r="IF206" s="98"/>
      <c r="IG206" s="98"/>
      <c r="IH206" s="98"/>
      <c r="II206" s="98"/>
      <c r="IJ206" s="98"/>
      <c r="IK206" s="98"/>
      <c r="IL206" s="98"/>
      <c r="IM206" s="98"/>
      <c r="IN206" s="98"/>
      <c r="IO206" s="98"/>
      <c r="IP206" s="98"/>
      <c r="IQ206" s="98"/>
      <c r="IR206" s="98"/>
      <c r="IS206" s="98"/>
      <c r="IT206" s="98"/>
      <c r="IU206" s="98"/>
      <c r="IV206" s="98"/>
      <c r="IW206" s="98"/>
      <c r="IX206" s="98"/>
      <c r="IY206" s="98"/>
      <c r="IZ206" s="98"/>
      <c r="JA206" s="98"/>
      <c r="JB206" s="98"/>
      <c r="JC206" s="98"/>
      <c r="JD206" s="98"/>
      <c r="JE206" s="98"/>
      <c r="JF206" s="98"/>
      <c r="JG206" s="98"/>
      <c r="JH206" s="98"/>
      <c r="JI206" s="98"/>
      <c r="JJ206" s="98"/>
      <c r="JK206" s="98"/>
      <c r="JL206" s="98"/>
      <c r="JM206" s="98"/>
      <c r="JN206" s="98"/>
      <c r="JO206" s="98"/>
      <c r="JP206" s="98"/>
      <c r="JQ206" s="98"/>
      <c r="JR206" s="98"/>
      <c r="JS206" s="98"/>
      <c r="JT206" s="98"/>
      <c r="JU206" s="98"/>
      <c r="JV206" s="98"/>
      <c r="JW206" s="98"/>
      <c r="JX206" s="98"/>
      <c r="JY206" s="98"/>
      <c r="JZ206" s="98"/>
      <c r="KA206" s="98"/>
      <c r="KB206" s="98"/>
      <c r="KC206" s="98"/>
      <c r="KD206" s="98"/>
      <c r="KE206" s="98"/>
      <c r="KF206" s="98"/>
      <c r="KG206" s="98"/>
      <c r="KH206" s="98"/>
      <c r="KI206" s="98"/>
      <c r="KJ206" s="98"/>
      <c r="KK206" s="98"/>
      <c r="KL206" s="98"/>
      <c r="KM206" s="98"/>
      <c r="KN206" s="98"/>
      <c r="KO206" s="98"/>
      <c r="KP206" s="98"/>
      <c r="KQ206" s="98"/>
      <c r="KR206" s="98"/>
      <c r="KS206" s="98"/>
      <c r="KT206" s="98"/>
      <c r="KU206" s="98"/>
      <c r="KV206" s="98"/>
      <c r="KW206" s="98"/>
      <c r="KX206" s="98"/>
      <c r="KY206" s="98"/>
      <c r="KZ206" s="98"/>
      <c r="LA206" s="98"/>
      <c r="LB206" s="98"/>
      <c r="LC206" s="98"/>
      <c r="LD206" s="98"/>
      <c r="LE206" s="98"/>
      <c r="LF206" s="98"/>
      <c r="LG206" s="98"/>
      <c r="LH206" s="98"/>
      <c r="LI206" s="98"/>
      <c r="LJ206" s="98"/>
      <c r="LK206" s="98"/>
      <c r="LL206" s="98"/>
      <c r="LM206" s="98"/>
      <c r="LN206" s="98"/>
      <c r="LO206" s="98"/>
      <c r="LP206" s="98"/>
      <c r="LQ206" s="98"/>
      <c r="LR206" s="98"/>
      <c r="LS206" s="98"/>
      <c r="LT206" s="98"/>
      <c r="LU206" s="98"/>
      <c r="LV206" s="98"/>
      <c r="LW206" s="98"/>
      <c r="LX206" s="98"/>
      <c r="LY206" s="98"/>
      <c r="LZ206" s="98"/>
      <c r="MA206" s="98"/>
      <c r="MB206" s="98"/>
      <c r="MC206" s="98"/>
      <c r="MD206" s="98"/>
      <c r="ME206" s="98"/>
      <c r="MF206" s="98"/>
      <c r="MG206" s="98"/>
      <c r="MH206" s="98"/>
      <c r="MI206" s="98"/>
      <c r="MJ206" s="98"/>
      <c r="MK206" s="98"/>
      <c r="ML206" s="98"/>
      <c r="MM206" s="98"/>
      <c r="MN206" s="98"/>
      <c r="MO206" s="98"/>
      <c r="MP206" s="98"/>
      <c r="MQ206" s="98"/>
      <c r="MR206" s="98"/>
      <c r="MS206" s="98"/>
      <c r="MT206" s="98"/>
      <c r="MU206" s="98"/>
      <c r="MV206" s="98"/>
      <c r="MW206" s="98"/>
      <c r="MX206" s="98"/>
      <c r="MY206" s="98"/>
      <c r="MZ206" s="98"/>
      <c r="NA206" s="98"/>
      <c r="NB206" s="98"/>
      <c r="NC206" s="98"/>
      <c r="ND206" s="98"/>
      <c r="NE206" s="98"/>
      <c r="NF206" s="98"/>
      <c r="NG206" s="98"/>
      <c r="NH206" s="98"/>
      <c r="NI206" s="98"/>
      <c r="NJ206" s="98"/>
      <c r="NK206" s="98"/>
      <c r="NL206" s="98"/>
      <c r="NM206" s="98"/>
      <c r="NN206" s="98"/>
      <c r="NO206" s="98"/>
      <c r="NP206" s="98"/>
      <c r="NQ206" s="98"/>
      <c r="NR206" s="98"/>
      <c r="NS206" s="98"/>
      <c r="NT206" s="98"/>
      <c r="NU206" s="98"/>
      <c r="NV206" s="98"/>
      <c r="NW206" s="98"/>
      <c r="NX206" s="98"/>
      <c r="NY206" s="98"/>
      <c r="NZ206" s="98"/>
      <c r="OA206" s="98"/>
      <c r="OB206" s="98"/>
      <c r="OC206" s="98"/>
      <c r="OD206" s="98"/>
      <c r="OE206" s="98"/>
      <c r="OF206" s="98"/>
      <c r="OG206" s="98"/>
      <c r="OH206" s="98"/>
      <c r="OI206" s="98"/>
      <c r="OJ206" s="98"/>
      <c r="OK206" s="98"/>
      <c r="OL206" s="98"/>
      <c r="OM206" s="98"/>
      <c r="ON206" s="98"/>
      <c r="OO206" s="98"/>
      <c r="OP206" s="98"/>
      <c r="OQ206" s="98"/>
      <c r="OR206" s="98"/>
      <c r="OS206" s="98"/>
      <c r="OT206" s="98"/>
      <c r="OU206" s="98"/>
      <c r="OV206" s="98"/>
      <c r="OW206" s="98"/>
      <c r="OX206" s="98"/>
      <c r="OY206" s="98"/>
      <c r="OZ206" s="98"/>
      <c r="PA206" s="98"/>
      <c r="PB206" s="98"/>
      <c r="PC206" s="98"/>
      <c r="PD206" s="98"/>
      <c r="PE206" s="98"/>
      <c r="PF206" s="98"/>
      <c r="PG206" s="98"/>
      <c r="PH206" s="98"/>
      <c r="PI206" s="98"/>
      <c r="PJ206" s="98"/>
      <c r="PK206" s="98"/>
      <c r="PL206" s="98"/>
      <c r="PM206" s="98"/>
      <c r="PN206" s="98"/>
      <c r="PO206" s="98"/>
      <c r="PP206" s="98"/>
      <c r="PQ206" s="98"/>
      <c r="PR206" s="98"/>
      <c r="PS206" s="98"/>
      <c r="PT206" s="98"/>
      <c r="PU206" s="98"/>
      <c r="PV206" s="98"/>
      <c r="PW206" s="98"/>
      <c r="PX206" s="98"/>
      <c r="PY206" s="98"/>
      <c r="PZ206" s="98"/>
      <c r="QA206" s="98"/>
      <c r="QB206" s="98"/>
      <c r="QC206" s="98"/>
      <c r="QD206" s="98"/>
      <c r="QE206" s="98"/>
      <c r="QF206" s="98"/>
      <c r="QG206" s="98"/>
      <c r="QH206" s="98"/>
      <c r="QI206" s="98"/>
      <c r="QJ206" s="98"/>
      <c r="QK206" s="98"/>
      <c r="QL206" s="98"/>
      <c r="QM206" s="98"/>
      <c r="QN206" s="98"/>
      <c r="QO206" s="98"/>
      <c r="QP206" s="98"/>
      <c r="QQ206" s="98"/>
      <c r="QR206" s="98"/>
      <c r="QS206" s="98"/>
      <c r="QT206" s="98"/>
      <c r="QU206" s="98"/>
      <c r="QV206" s="98"/>
      <c r="QW206" s="98"/>
      <c r="QX206" s="98"/>
      <c r="QY206" s="98"/>
      <c r="QZ206" s="98"/>
      <c r="RA206" s="98"/>
      <c r="RB206" s="98"/>
      <c r="RC206" s="98"/>
      <c r="RD206" s="98"/>
      <c r="RE206" s="98"/>
      <c r="RF206" s="98"/>
      <c r="RG206" s="98"/>
      <c r="RH206" s="98"/>
      <c r="RI206" s="98"/>
      <c r="RJ206" s="98"/>
      <c r="RK206" s="98"/>
      <c r="RL206" s="98"/>
      <c r="RM206" s="98"/>
      <c r="RN206" s="98"/>
      <c r="RO206" s="98"/>
      <c r="RP206" s="98"/>
      <c r="RQ206" s="98"/>
      <c r="RR206" s="98"/>
      <c r="RS206" s="98"/>
      <c r="RT206" s="98"/>
      <c r="RU206" s="98"/>
      <c r="RV206" s="98"/>
      <c r="RW206" s="98"/>
      <c r="RX206" s="98"/>
      <c r="RY206" s="98"/>
      <c r="RZ206" s="98"/>
      <c r="SA206" s="98"/>
      <c r="SB206" s="98"/>
      <c r="SC206" s="98"/>
      <c r="SD206" s="98"/>
      <c r="SE206" s="98"/>
      <c r="SF206" s="98"/>
      <c r="SG206" s="98"/>
      <c r="SH206" s="98"/>
      <c r="SI206" s="98"/>
      <c r="SJ206" s="98"/>
      <c r="SK206" s="98"/>
      <c r="SL206" s="98"/>
      <c r="SM206" s="98"/>
      <c r="SN206" s="98"/>
      <c r="SO206" s="98"/>
      <c r="SP206" s="98"/>
      <c r="SQ206" s="98"/>
      <c r="SR206" s="98"/>
    </row>
    <row r="207" spans="1:512" ht="230.25" outlineLevel="4" thickBot="1" x14ac:dyDescent="0.25">
      <c r="A207" s="43" t="s">
        <v>802</v>
      </c>
      <c r="B207" s="175"/>
      <c r="C207" s="77"/>
      <c r="D207" s="148"/>
      <c r="E207" s="48" t="s">
        <v>71</v>
      </c>
      <c r="F207" s="48" t="s">
        <v>803</v>
      </c>
      <c r="G207" s="87" t="s">
        <v>615</v>
      </c>
      <c r="H207" s="88" t="s">
        <v>127</v>
      </c>
      <c r="I207" s="69">
        <v>2</v>
      </c>
      <c r="J207" s="70" t="s">
        <v>74</v>
      </c>
      <c r="K207" s="93" t="s">
        <v>804</v>
      </c>
      <c r="L207" s="71">
        <v>1</v>
      </c>
      <c r="M207" s="89">
        <v>2</v>
      </c>
      <c r="N207" s="32" t="s">
        <v>39</v>
      </c>
      <c r="O207" s="60" t="s">
        <v>143</v>
      </c>
      <c r="P207" s="71">
        <v>2</v>
      </c>
      <c r="Q207" s="97">
        <f t="shared" si="9"/>
        <v>4</v>
      </c>
      <c r="R207" s="72"/>
      <c r="S207" s="72"/>
      <c r="T207" s="72"/>
      <c r="U207" s="50"/>
      <c r="V207" s="51"/>
      <c r="W207" s="52"/>
      <c r="X207" s="51"/>
      <c r="Y207" s="51"/>
      <c r="Z207" s="53"/>
      <c r="AA207" s="40"/>
      <c r="AB207" s="41"/>
      <c r="AC207" s="98"/>
      <c r="AD207" s="17">
        <f t="shared" si="27"/>
        <v>-1568</v>
      </c>
      <c r="AE207" s="18">
        <f t="shared" si="26"/>
        <v>1568</v>
      </c>
      <c r="AF207" s="98"/>
      <c r="AG207" s="98"/>
      <c r="AH207" s="98"/>
      <c r="AI207" s="98"/>
      <c r="AJ207" s="98"/>
      <c r="AK207" s="98"/>
      <c r="AL207" s="98"/>
      <c r="AM207" s="98"/>
      <c r="AN207" s="98"/>
      <c r="AO207" s="98"/>
      <c r="AP207" s="98"/>
      <c r="AQ207" s="98"/>
      <c r="AR207" s="98"/>
      <c r="AS207" s="98"/>
      <c r="AT207" s="98"/>
      <c r="AU207" s="98"/>
      <c r="AV207" s="98"/>
      <c r="AW207" s="98"/>
      <c r="AX207" s="98"/>
      <c r="AY207" s="98"/>
      <c r="AZ207" s="98"/>
      <c r="BA207" s="98"/>
      <c r="BB207" s="98"/>
      <c r="BC207" s="98"/>
      <c r="BD207" s="98"/>
      <c r="BE207" s="98"/>
      <c r="BF207" s="98"/>
      <c r="BG207" s="98"/>
      <c r="BH207" s="98"/>
      <c r="BI207" s="98"/>
      <c r="BJ207" s="98"/>
      <c r="BK207" s="98"/>
      <c r="BL207" s="98"/>
      <c r="BM207" s="98"/>
      <c r="BN207" s="98"/>
      <c r="BO207" s="98"/>
      <c r="BP207" s="98"/>
      <c r="BQ207" s="98"/>
      <c r="BR207" s="98"/>
      <c r="BS207" s="98"/>
      <c r="BT207" s="98"/>
      <c r="BU207" s="98"/>
      <c r="BV207" s="98"/>
      <c r="BW207" s="98"/>
      <c r="BX207" s="98"/>
      <c r="BY207" s="98"/>
      <c r="BZ207" s="98"/>
      <c r="CA207" s="98"/>
      <c r="CB207" s="98"/>
      <c r="CC207" s="98"/>
      <c r="CD207" s="98"/>
      <c r="CE207" s="98"/>
      <c r="CF207" s="98"/>
      <c r="CG207" s="98"/>
      <c r="CH207" s="98"/>
      <c r="CI207" s="98"/>
      <c r="CJ207" s="98"/>
      <c r="CK207" s="98"/>
      <c r="CL207" s="98"/>
      <c r="CM207" s="98"/>
      <c r="CN207" s="98"/>
      <c r="CO207" s="98"/>
      <c r="CP207" s="98"/>
      <c r="CQ207" s="98"/>
      <c r="CR207" s="98"/>
      <c r="CS207" s="98"/>
      <c r="CT207" s="98"/>
      <c r="CU207" s="98"/>
      <c r="CV207" s="98"/>
      <c r="CW207" s="98"/>
      <c r="CX207" s="98"/>
      <c r="CY207" s="98"/>
      <c r="CZ207" s="98"/>
      <c r="DA207" s="98"/>
      <c r="DB207" s="98"/>
      <c r="DC207" s="98"/>
      <c r="DD207" s="98"/>
      <c r="DE207" s="98"/>
      <c r="DF207" s="98"/>
      <c r="DG207" s="98"/>
      <c r="DH207" s="98"/>
      <c r="DI207" s="98"/>
      <c r="DJ207" s="98"/>
      <c r="DK207" s="98"/>
      <c r="DL207" s="98"/>
      <c r="DM207" s="98"/>
      <c r="DN207" s="98"/>
      <c r="DO207" s="98"/>
      <c r="DP207" s="98"/>
      <c r="DQ207" s="98"/>
      <c r="DR207" s="98"/>
      <c r="DS207" s="98"/>
      <c r="DT207" s="98"/>
      <c r="DU207" s="98"/>
      <c r="DV207" s="98"/>
      <c r="DW207" s="98"/>
      <c r="DX207" s="98"/>
      <c r="DY207" s="98"/>
      <c r="DZ207" s="98"/>
      <c r="EA207" s="98"/>
      <c r="EB207" s="98"/>
      <c r="EC207" s="98"/>
      <c r="ED207" s="98"/>
      <c r="EE207" s="98"/>
      <c r="EF207" s="98"/>
      <c r="EG207" s="98"/>
      <c r="EH207" s="98"/>
      <c r="EI207" s="98"/>
      <c r="EJ207" s="98"/>
      <c r="EK207" s="98"/>
      <c r="EL207" s="98"/>
      <c r="EM207" s="98"/>
      <c r="EN207" s="98"/>
      <c r="EO207" s="98"/>
      <c r="EP207" s="98"/>
      <c r="EQ207" s="98"/>
      <c r="ER207" s="98"/>
      <c r="ES207" s="98"/>
      <c r="ET207" s="98"/>
      <c r="EU207" s="98"/>
      <c r="EV207" s="98"/>
      <c r="EW207" s="98"/>
      <c r="EX207" s="98"/>
      <c r="EY207" s="98"/>
      <c r="EZ207" s="98"/>
      <c r="FA207" s="98"/>
      <c r="FB207" s="98"/>
      <c r="FC207" s="98"/>
      <c r="FD207" s="98"/>
      <c r="FE207" s="98"/>
      <c r="FF207" s="98"/>
      <c r="FG207" s="98"/>
      <c r="FH207" s="98"/>
      <c r="FI207" s="98"/>
      <c r="FJ207" s="98"/>
      <c r="FK207" s="98"/>
      <c r="FL207" s="98"/>
      <c r="FM207" s="98"/>
      <c r="FN207" s="98"/>
      <c r="FO207" s="98"/>
      <c r="FP207" s="98"/>
      <c r="FQ207" s="98"/>
      <c r="FR207" s="98"/>
      <c r="FS207" s="98"/>
      <c r="FT207" s="98"/>
      <c r="FU207" s="98"/>
      <c r="FV207" s="98"/>
      <c r="FW207" s="98"/>
      <c r="FX207" s="98"/>
      <c r="FY207" s="98"/>
      <c r="FZ207" s="98"/>
      <c r="GA207" s="98"/>
      <c r="GB207" s="98"/>
      <c r="GC207" s="98"/>
      <c r="GD207" s="98"/>
      <c r="GE207" s="98"/>
      <c r="GF207" s="98"/>
      <c r="GG207" s="98"/>
      <c r="GH207" s="98"/>
      <c r="GI207" s="98"/>
      <c r="GJ207" s="98"/>
      <c r="GK207" s="98"/>
      <c r="GL207" s="98"/>
      <c r="GM207" s="98"/>
      <c r="GN207" s="98"/>
      <c r="GO207" s="98"/>
      <c r="GP207" s="98"/>
      <c r="GQ207" s="98"/>
      <c r="GR207" s="98"/>
      <c r="GS207" s="98"/>
      <c r="GT207" s="98"/>
      <c r="GU207" s="98"/>
      <c r="GV207" s="98"/>
      <c r="GW207" s="98"/>
      <c r="GX207" s="98"/>
      <c r="GY207" s="98"/>
      <c r="GZ207" s="98"/>
      <c r="HA207" s="98"/>
      <c r="HB207" s="98"/>
      <c r="HC207" s="98"/>
      <c r="HD207" s="98"/>
      <c r="HE207" s="98"/>
      <c r="HF207" s="98"/>
      <c r="HG207" s="98"/>
      <c r="HH207" s="98"/>
      <c r="HI207" s="98"/>
      <c r="HJ207" s="98"/>
      <c r="HK207" s="98"/>
      <c r="HL207" s="98"/>
      <c r="HM207" s="98"/>
      <c r="HN207" s="98"/>
      <c r="HO207" s="98"/>
      <c r="HP207" s="98"/>
      <c r="HQ207" s="98"/>
      <c r="HR207" s="98"/>
      <c r="HS207" s="98"/>
      <c r="HT207" s="98"/>
      <c r="HU207" s="98"/>
      <c r="HV207" s="98"/>
      <c r="HW207" s="98"/>
      <c r="HX207" s="98"/>
      <c r="HY207" s="98"/>
      <c r="HZ207" s="98"/>
      <c r="IA207" s="98"/>
      <c r="IB207" s="98"/>
      <c r="IC207" s="98"/>
      <c r="ID207" s="98"/>
      <c r="IE207" s="98"/>
      <c r="IF207" s="98"/>
      <c r="IG207" s="98"/>
      <c r="IH207" s="98"/>
      <c r="II207" s="98"/>
      <c r="IJ207" s="98"/>
      <c r="IK207" s="98"/>
      <c r="IL207" s="98"/>
      <c r="IM207" s="98"/>
      <c r="IN207" s="98"/>
      <c r="IO207" s="98"/>
      <c r="IP207" s="98"/>
      <c r="IQ207" s="98"/>
      <c r="IR207" s="98"/>
      <c r="IS207" s="98"/>
      <c r="IT207" s="98"/>
      <c r="IU207" s="98"/>
      <c r="IV207" s="98"/>
      <c r="IW207" s="98"/>
      <c r="IX207" s="98"/>
      <c r="IY207" s="98"/>
      <c r="IZ207" s="98"/>
      <c r="JA207" s="98"/>
      <c r="JB207" s="98"/>
      <c r="JC207" s="98"/>
      <c r="JD207" s="98"/>
      <c r="JE207" s="98"/>
      <c r="JF207" s="98"/>
      <c r="JG207" s="98"/>
      <c r="JH207" s="98"/>
      <c r="JI207" s="98"/>
      <c r="JJ207" s="98"/>
      <c r="JK207" s="98"/>
      <c r="JL207" s="98"/>
      <c r="JM207" s="98"/>
      <c r="JN207" s="98"/>
      <c r="JO207" s="98"/>
      <c r="JP207" s="98"/>
      <c r="JQ207" s="98"/>
      <c r="JR207" s="98"/>
      <c r="JS207" s="98"/>
      <c r="JT207" s="98"/>
      <c r="JU207" s="98"/>
      <c r="JV207" s="98"/>
      <c r="JW207" s="98"/>
      <c r="JX207" s="98"/>
      <c r="JY207" s="98"/>
      <c r="JZ207" s="98"/>
      <c r="KA207" s="98"/>
      <c r="KB207" s="98"/>
      <c r="KC207" s="98"/>
      <c r="KD207" s="98"/>
      <c r="KE207" s="98"/>
      <c r="KF207" s="98"/>
      <c r="KG207" s="98"/>
      <c r="KH207" s="98"/>
      <c r="KI207" s="98"/>
      <c r="KJ207" s="98"/>
      <c r="KK207" s="98"/>
      <c r="KL207" s="98"/>
      <c r="KM207" s="98"/>
      <c r="KN207" s="98"/>
      <c r="KO207" s="98"/>
      <c r="KP207" s="98"/>
      <c r="KQ207" s="98"/>
      <c r="KR207" s="98"/>
      <c r="KS207" s="98"/>
      <c r="KT207" s="98"/>
      <c r="KU207" s="98"/>
      <c r="KV207" s="98"/>
      <c r="KW207" s="98"/>
      <c r="KX207" s="98"/>
      <c r="KY207" s="98"/>
      <c r="KZ207" s="98"/>
      <c r="LA207" s="98"/>
      <c r="LB207" s="98"/>
      <c r="LC207" s="98"/>
      <c r="LD207" s="98"/>
      <c r="LE207" s="98"/>
      <c r="LF207" s="98"/>
      <c r="LG207" s="98"/>
      <c r="LH207" s="98"/>
      <c r="LI207" s="98"/>
      <c r="LJ207" s="98"/>
      <c r="LK207" s="98"/>
      <c r="LL207" s="98"/>
      <c r="LM207" s="98"/>
      <c r="LN207" s="98"/>
      <c r="LO207" s="98"/>
      <c r="LP207" s="98"/>
      <c r="LQ207" s="98"/>
      <c r="LR207" s="98"/>
      <c r="LS207" s="98"/>
      <c r="LT207" s="98"/>
      <c r="LU207" s="98"/>
      <c r="LV207" s="98"/>
      <c r="LW207" s="98"/>
      <c r="LX207" s="98"/>
      <c r="LY207" s="98"/>
      <c r="LZ207" s="98"/>
      <c r="MA207" s="98"/>
      <c r="MB207" s="98"/>
      <c r="MC207" s="98"/>
      <c r="MD207" s="98"/>
      <c r="ME207" s="98"/>
      <c r="MF207" s="98"/>
      <c r="MG207" s="98"/>
      <c r="MH207" s="98"/>
      <c r="MI207" s="98"/>
      <c r="MJ207" s="98"/>
      <c r="MK207" s="98"/>
      <c r="ML207" s="98"/>
      <c r="MM207" s="98"/>
      <c r="MN207" s="98"/>
      <c r="MO207" s="98"/>
      <c r="MP207" s="98"/>
      <c r="MQ207" s="98"/>
      <c r="MR207" s="98"/>
      <c r="MS207" s="98"/>
      <c r="MT207" s="98"/>
      <c r="MU207" s="98"/>
      <c r="MV207" s="98"/>
      <c r="MW207" s="98"/>
      <c r="MX207" s="98"/>
      <c r="MY207" s="98"/>
      <c r="MZ207" s="98"/>
      <c r="NA207" s="98"/>
      <c r="NB207" s="98"/>
      <c r="NC207" s="98"/>
      <c r="ND207" s="98"/>
      <c r="NE207" s="98"/>
      <c r="NF207" s="98"/>
      <c r="NG207" s="98"/>
      <c r="NH207" s="98"/>
      <c r="NI207" s="98"/>
      <c r="NJ207" s="98"/>
      <c r="NK207" s="98"/>
      <c r="NL207" s="98"/>
      <c r="NM207" s="98"/>
      <c r="NN207" s="98"/>
      <c r="NO207" s="98"/>
      <c r="NP207" s="98"/>
      <c r="NQ207" s="98"/>
      <c r="NR207" s="98"/>
      <c r="NS207" s="98"/>
      <c r="NT207" s="98"/>
      <c r="NU207" s="98"/>
      <c r="NV207" s="98"/>
      <c r="NW207" s="98"/>
      <c r="NX207" s="98"/>
      <c r="NY207" s="98"/>
      <c r="NZ207" s="98"/>
      <c r="OA207" s="98"/>
      <c r="OB207" s="98"/>
      <c r="OC207" s="98"/>
      <c r="OD207" s="98"/>
      <c r="OE207" s="98"/>
      <c r="OF207" s="98"/>
      <c r="OG207" s="98"/>
      <c r="OH207" s="98"/>
      <c r="OI207" s="98"/>
      <c r="OJ207" s="98"/>
      <c r="OK207" s="98"/>
      <c r="OL207" s="98"/>
      <c r="OM207" s="98"/>
      <c r="ON207" s="98"/>
      <c r="OO207" s="98"/>
      <c r="OP207" s="98"/>
      <c r="OQ207" s="98"/>
      <c r="OR207" s="98"/>
      <c r="OS207" s="98"/>
      <c r="OT207" s="98"/>
      <c r="OU207" s="98"/>
      <c r="OV207" s="98"/>
      <c r="OW207" s="98"/>
      <c r="OX207" s="98"/>
      <c r="OY207" s="98"/>
      <c r="OZ207" s="98"/>
      <c r="PA207" s="98"/>
      <c r="PB207" s="98"/>
      <c r="PC207" s="98"/>
      <c r="PD207" s="98"/>
      <c r="PE207" s="98"/>
      <c r="PF207" s="98"/>
      <c r="PG207" s="98"/>
      <c r="PH207" s="98"/>
      <c r="PI207" s="98"/>
      <c r="PJ207" s="98"/>
      <c r="PK207" s="98"/>
      <c r="PL207" s="98"/>
      <c r="PM207" s="98"/>
      <c r="PN207" s="98"/>
      <c r="PO207" s="98"/>
      <c r="PP207" s="98"/>
      <c r="PQ207" s="98"/>
      <c r="PR207" s="98"/>
      <c r="PS207" s="98"/>
      <c r="PT207" s="98"/>
      <c r="PU207" s="98"/>
      <c r="PV207" s="98"/>
      <c r="PW207" s="98"/>
      <c r="PX207" s="98"/>
      <c r="PY207" s="98"/>
      <c r="PZ207" s="98"/>
      <c r="QA207" s="98"/>
      <c r="QB207" s="98"/>
      <c r="QC207" s="98"/>
      <c r="QD207" s="98"/>
      <c r="QE207" s="98"/>
      <c r="QF207" s="98"/>
      <c r="QG207" s="98"/>
      <c r="QH207" s="98"/>
      <c r="QI207" s="98"/>
      <c r="QJ207" s="98"/>
      <c r="QK207" s="98"/>
      <c r="QL207" s="98"/>
      <c r="QM207" s="98"/>
      <c r="QN207" s="98"/>
      <c r="QO207" s="98"/>
      <c r="QP207" s="98"/>
      <c r="QQ207" s="98"/>
      <c r="QR207" s="98"/>
      <c r="QS207" s="98"/>
      <c r="QT207" s="98"/>
      <c r="QU207" s="98"/>
      <c r="QV207" s="98"/>
      <c r="QW207" s="98"/>
      <c r="QX207" s="98"/>
      <c r="QY207" s="98"/>
      <c r="QZ207" s="98"/>
      <c r="RA207" s="98"/>
      <c r="RB207" s="98"/>
      <c r="RC207" s="98"/>
      <c r="RD207" s="98"/>
      <c r="RE207" s="98"/>
      <c r="RF207" s="98"/>
      <c r="RG207" s="98"/>
      <c r="RH207" s="98"/>
      <c r="RI207" s="98"/>
      <c r="RJ207" s="98"/>
      <c r="RK207" s="98"/>
      <c r="RL207" s="98"/>
      <c r="RM207" s="98"/>
      <c r="RN207" s="98"/>
      <c r="RO207" s="98"/>
      <c r="RP207" s="98"/>
      <c r="RQ207" s="98"/>
      <c r="RR207" s="98"/>
      <c r="RS207" s="98"/>
      <c r="RT207" s="98"/>
      <c r="RU207" s="98"/>
      <c r="RV207" s="98"/>
      <c r="RW207" s="98"/>
      <c r="RX207" s="98"/>
      <c r="RY207" s="98"/>
      <c r="RZ207" s="98"/>
      <c r="SA207" s="98"/>
      <c r="SB207" s="98"/>
      <c r="SC207" s="98"/>
      <c r="SD207" s="98"/>
      <c r="SE207" s="98"/>
      <c r="SF207" s="98"/>
      <c r="SG207" s="98"/>
      <c r="SH207" s="98"/>
      <c r="SI207" s="98"/>
      <c r="SJ207" s="98"/>
      <c r="SK207" s="98"/>
      <c r="SL207" s="98"/>
      <c r="SM207" s="98"/>
      <c r="SN207" s="98"/>
      <c r="SO207" s="98"/>
      <c r="SP207" s="98"/>
      <c r="SQ207" s="98"/>
      <c r="SR207" s="98"/>
    </row>
    <row r="208" spans="1:512" ht="230.25" outlineLevel="4" thickBot="1" x14ac:dyDescent="0.25">
      <c r="A208" s="43" t="s">
        <v>805</v>
      </c>
      <c r="B208" s="174" t="s">
        <v>806</v>
      </c>
      <c r="C208" s="171" t="s">
        <v>807</v>
      </c>
      <c r="D208" s="147" t="s">
        <v>670</v>
      </c>
      <c r="E208" s="48" t="s">
        <v>67</v>
      </c>
      <c r="F208" s="48" t="s">
        <v>647</v>
      </c>
      <c r="G208" s="48" t="s">
        <v>648</v>
      </c>
      <c r="H208" s="39" t="s">
        <v>439</v>
      </c>
      <c r="I208" s="69">
        <v>1</v>
      </c>
      <c r="J208" s="70" t="s">
        <v>84</v>
      </c>
      <c r="K208" s="93" t="s">
        <v>75</v>
      </c>
      <c r="L208" s="71">
        <v>1</v>
      </c>
      <c r="M208" s="89">
        <v>2</v>
      </c>
      <c r="N208" s="32" t="s">
        <v>39</v>
      </c>
      <c r="O208" s="53" t="s">
        <v>76</v>
      </c>
      <c r="P208" s="71">
        <v>5</v>
      </c>
      <c r="Q208" s="97">
        <f t="shared" si="9"/>
        <v>10</v>
      </c>
      <c r="R208" s="72"/>
      <c r="S208" s="72"/>
      <c r="T208" s="72"/>
      <c r="U208" s="50"/>
      <c r="V208" s="51"/>
      <c r="W208" s="52"/>
      <c r="X208" s="51"/>
      <c r="Y208" s="51"/>
      <c r="Z208" s="53"/>
      <c r="AA208" s="40"/>
      <c r="AB208" s="41"/>
      <c r="AC208" s="98"/>
      <c r="AD208" s="17">
        <f t="shared" si="27"/>
        <v>-1569</v>
      </c>
      <c r="AE208" s="18">
        <f t="shared" si="26"/>
        <v>1569</v>
      </c>
      <c r="AF208" s="98"/>
      <c r="AG208" s="98"/>
      <c r="AH208" s="98"/>
      <c r="AI208" s="98"/>
      <c r="AJ208" s="98"/>
      <c r="AK208" s="98"/>
      <c r="AL208" s="98"/>
      <c r="AM208" s="98"/>
      <c r="AN208" s="98"/>
      <c r="AO208" s="98"/>
      <c r="AP208" s="98"/>
      <c r="AQ208" s="98"/>
      <c r="AR208" s="98"/>
      <c r="AS208" s="98"/>
      <c r="AT208" s="98"/>
      <c r="AU208" s="98"/>
      <c r="AV208" s="98"/>
      <c r="AW208" s="98"/>
      <c r="AX208" s="98"/>
      <c r="AY208" s="98"/>
      <c r="AZ208" s="98"/>
      <c r="BA208" s="98"/>
      <c r="BB208" s="98"/>
      <c r="BC208" s="98"/>
      <c r="BD208" s="98"/>
      <c r="BE208" s="98"/>
      <c r="BF208" s="98"/>
      <c r="BG208" s="98"/>
      <c r="BH208" s="98"/>
      <c r="BI208" s="98"/>
      <c r="BJ208" s="98"/>
      <c r="BK208" s="98"/>
      <c r="BL208" s="98"/>
      <c r="BM208" s="98"/>
      <c r="BN208" s="98"/>
      <c r="BO208" s="98"/>
      <c r="BP208" s="98"/>
      <c r="BQ208" s="98"/>
      <c r="BR208" s="98"/>
      <c r="BS208" s="98"/>
      <c r="BT208" s="98"/>
      <c r="BU208" s="98"/>
      <c r="BV208" s="98"/>
      <c r="BW208" s="98"/>
      <c r="BX208" s="98"/>
      <c r="BY208" s="98"/>
      <c r="BZ208" s="98"/>
      <c r="CA208" s="98"/>
      <c r="CB208" s="98"/>
      <c r="CC208" s="98"/>
      <c r="CD208" s="98"/>
      <c r="CE208" s="98"/>
      <c r="CF208" s="98"/>
      <c r="CG208" s="98"/>
      <c r="CH208" s="98"/>
      <c r="CI208" s="98"/>
      <c r="CJ208" s="98"/>
      <c r="CK208" s="98"/>
      <c r="CL208" s="98"/>
      <c r="CM208" s="98"/>
      <c r="CN208" s="98"/>
      <c r="CO208" s="98"/>
      <c r="CP208" s="98"/>
      <c r="CQ208" s="98"/>
      <c r="CR208" s="98"/>
      <c r="CS208" s="98"/>
      <c r="CT208" s="98"/>
      <c r="CU208" s="98"/>
      <c r="CV208" s="98"/>
      <c r="CW208" s="98"/>
      <c r="CX208" s="98"/>
      <c r="CY208" s="98"/>
      <c r="CZ208" s="98"/>
      <c r="DA208" s="98"/>
      <c r="DB208" s="98"/>
      <c r="DC208" s="98"/>
      <c r="DD208" s="98"/>
      <c r="DE208" s="98"/>
      <c r="DF208" s="98"/>
      <c r="DG208" s="98"/>
      <c r="DH208" s="98"/>
      <c r="DI208" s="98"/>
      <c r="DJ208" s="98"/>
      <c r="DK208" s="98"/>
      <c r="DL208" s="98"/>
      <c r="DM208" s="98"/>
      <c r="DN208" s="98"/>
      <c r="DO208" s="98"/>
      <c r="DP208" s="98"/>
      <c r="DQ208" s="98"/>
      <c r="DR208" s="98"/>
      <c r="DS208" s="98"/>
      <c r="DT208" s="98"/>
      <c r="DU208" s="98"/>
      <c r="DV208" s="98"/>
      <c r="DW208" s="98"/>
      <c r="DX208" s="98"/>
      <c r="DY208" s="98"/>
      <c r="DZ208" s="98"/>
      <c r="EA208" s="98"/>
      <c r="EB208" s="98"/>
      <c r="EC208" s="98"/>
      <c r="ED208" s="98"/>
      <c r="EE208" s="98"/>
      <c r="EF208" s="98"/>
      <c r="EG208" s="98"/>
      <c r="EH208" s="98"/>
      <c r="EI208" s="98"/>
      <c r="EJ208" s="98"/>
      <c r="EK208" s="98"/>
      <c r="EL208" s="98"/>
      <c r="EM208" s="98"/>
      <c r="EN208" s="98"/>
      <c r="EO208" s="98"/>
      <c r="EP208" s="98"/>
      <c r="EQ208" s="98"/>
      <c r="ER208" s="98"/>
      <c r="ES208" s="98"/>
      <c r="ET208" s="98"/>
      <c r="EU208" s="98"/>
      <c r="EV208" s="98"/>
      <c r="EW208" s="98"/>
      <c r="EX208" s="98"/>
      <c r="EY208" s="98"/>
      <c r="EZ208" s="98"/>
      <c r="FA208" s="98"/>
      <c r="FB208" s="98"/>
      <c r="FC208" s="98"/>
      <c r="FD208" s="98"/>
      <c r="FE208" s="98"/>
      <c r="FF208" s="98"/>
      <c r="FG208" s="98"/>
      <c r="FH208" s="98"/>
      <c r="FI208" s="98"/>
      <c r="FJ208" s="98"/>
      <c r="FK208" s="98"/>
      <c r="FL208" s="98"/>
      <c r="FM208" s="98"/>
      <c r="FN208" s="98"/>
      <c r="FO208" s="98"/>
      <c r="FP208" s="98"/>
      <c r="FQ208" s="98"/>
      <c r="FR208" s="98"/>
      <c r="FS208" s="98"/>
      <c r="FT208" s="98"/>
      <c r="FU208" s="98"/>
      <c r="FV208" s="98"/>
      <c r="FW208" s="98"/>
      <c r="FX208" s="98"/>
      <c r="FY208" s="98"/>
      <c r="FZ208" s="98"/>
      <c r="GA208" s="98"/>
      <c r="GB208" s="98"/>
      <c r="GC208" s="98"/>
      <c r="GD208" s="98"/>
      <c r="GE208" s="98"/>
      <c r="GF208" s="98"/>
      <c r="GG208" s="98"/>
      <c r="GH208" s="98"/>
      <c r="GI208" s="98"/>
      <c r="GJ208" s="98"/>
      <c r="GK208" s="98"/>
      <c r="GL208" s="98"/>
      <c r="GM208" s="98"/>
      <c r="GN208" s="98"/>
      <c r="GO208" s="98"/>
      <c r="GP208" s="98"/>
      <c r="GQ208" s="98"/>
      <c r="GR208" s="98"/>
      <c r="GS208" s="98"/>
      <c r="GT208" s="98"/>
      <c r="GU208" s="98"/>
      <c r="GV208" s="98"/>
      <c r="GW208" s="98"/>
      <c r="GX208" s="98"/>
      <c r="GY208" s="98"/>
      <c r="GZ208" s="98"/>
      <c r="HA208" s="98"/>
      <c r="HB208" s="98"/>
      <c r="HC208" s="98"/>
      <c r="HD208" s="98"/>
      <c r="HE208" s="98"/>
      <c r="HF208" s="98"/>
      <c r="HG208" s="98"/>
      <c r="HH208" s="98"/>
      <c r="HI208" s="98"/>
      <c r="HJ208" s="98"/>
      <c r="HK208" s="98"/>
      <c r="HL208" s="98"/>
      <c r="HM208" s="98"/>
      <c r="HN208" s="98"/>
      <c r="HO208" s="98"/>
      <c r="HP208" s="98"/>
      <c r="HQ208" s="98"/>
      <c r="HR208" s="98"/>
      <c r="HS208" s="98"/>
      <c r="HT208" s="98"/>
      <c r="HU208" s="98"/>
      <c r="HV208" s="98"/>
      <c r="HW208" s="98"/>
      <c r="HX208" s="98"/>
      <c r="HY208" s="98"/>
      <c r="HZ208" s="98"/>
      <c r="IA208" s="98"/>
      <c r="IB208" s="98"/>
      <c r="IC208" s="98"/>
      <c r="ID208" s="98"/>
      <c r="IE208" s="98"/>
      <c r="IF208" s="98"/>
      <c r="IG208" s="98"/>
      <c r="IH208" s="98"/>
      <c r="II208" s="98"/>
      <c r="IJ208" s="98"/>
      <c r="IK208" s="98"/>
      <c r="IL208" s="98"/>
      <c r="IM208" s="98"/>
      <c r="IN208" s="98"/>
      <c r="IO208" s="98"/>
      <c r="IP208" s="98"/>
      <c r="IQ208" s="98"/>
      <c r="IR208" s="98"/>
      <c r="IS208" s="98"/>
      <c r="IT208" s="98"/>
      <c r="IU208" s="98"/>
      <c r="IV208" s="98"/>
      <c r="IW208" s="98"/>
      <c r="IX208" s="98"/>
      <c r="IY208" s="98"/>
      <c r="IZ208" s="98"/>
      <c r="JA208" s="98"/>
      <c r="JB208" s="98"/>
      <c r="JC208" s="98"/>
      <c r="JD208" s="98"/>
      <c r="JE208" s="98"/>
      <c r="JF208" s="98"/>
      <c r="JG208" s="98"/>
      <c r="JH208" s="98"/>
      <c r="JI208" s="98"/>
      <c r="JJ208" s="98"/>
      <c r="JK208" s="98"/>
      <c r="JL208" s="98"/>
      <c r="JM208" s="98"/>
      <c r="JN208" s="98"/>
      <c r="JO208" s="98"/>
      <c r="JP208" s="98"/>
      <c r="JQ208" s="98"/>
      <c r="JR208" s="98"/>
      <c r="JS208" s="98"/>
      <c r="JT208" s="98"/>
      <c r="JU208" s="98"/>
      <c r="JV208" s="98"/>
      <c r="JW208" s="98"/>
      <c r="JX208" s="98"/>
      <c r="JY208" s="98"/>
      <c r="JZ208" s="98"/>
      <c r="KA208" s="98"/>
      <c r="KB208" s="98"/>
      <c r="KC208" s="98"/>
      <c r="KD208" s="98"/>
      <c r="KE208" s="98"/>
      <c r="KF208" s="98"/>
      <c r="KG208" s="98"/>
      <c r="KH208" s="98"/>
      <c r="KI208" s="98"/>
      <c r="KJ208" s="98"/>
      <c r="KK208" s="98"/>
      <c r="KL208" s="98"/>
      <c r="KM208" s="98"/>
      <c r="KN208" s="98"/>
      <c r="KO208" s="98"/>
      <c r="KP208" s="98"/>
      <c r="KQ208" s="98"/>
      <c r="KR208" s="98"/>
      <c r="KS208" s="98"/>
      <c r="KT208" s="98"/>
      <c r="KU208" s="98"/>
      <c r="KV208" s="98"/>
      <c r="KW208" s="98"/>
      <c r="KX208" s="98"/>
      <c r="KY208" s="98"/>
      <c r="KZ208" s="98"/>
      <c r="LA208" s="98"/>
      <c r="LB208" s="98"/>
      <c r="LC208" s="98"/>
      <c r="LD208" s="98"/>
      <c r="LE208" s="98"/>
      <c r="LF208" s="98"/>
      <c r="LG208" s="98"/>
      <c r="LH208" s="98"/>
      <c r="LI208" s="98"/>
      <c r="LJ208" s="98"/>
      <c r="LK208" s="98"/>
      <c r="LL208" s="98"/>
      <c r="LM208" s="98"/>
      <c r="LN208" s="98"/>
      <c r="LO208" s="98"/>
      <c r="LP208" s="98"/>
      <c r="LQ208" s="98"/>
      <c r="LR208" s="98"/>
      <c r="LS208" s="98"/>
      <c r="LT208" s="98"/>
      <c r="LU208" s="98"/>
      <c r="LV208" s="98"/>
      <c r="LW208" s="98"/>
      <c r="LX208" s="98"/>
      <c r="LY208" s="98"/>
      <c r="LZ208" s="98"/>
      <c r="MA208" s="98"/>
      <c r="MB208" s="98"/>
      <c r="MC208" s="98"/>
      <c r="MD208" s="98"/>
      <c r="ME208" s="98"/>
      <c r="MF208" s="98"/>
      <c r="MG208" s="98"/>
      <c r="MH208" s="98"/>
      <c r="MI208" s="98"/>
      <c r="MJ208" s="98"/>
      <c r="MK208" s="98"/>
      <c r="ML208" s="98"/>
      <c r="MM208" s="98"/>
      <c r="MN208" s="98"/>
      <c r="MO208" s="98"/>
      <c r="MP208" s="98"/>
      <c r="MQ208" s="98"/>
      <c r="MR208" s="98"/>
      <c r="MS208" s="98"/>
      <c r="MT208" s="98"/>
      <c r="MU208" s="98"/>
      <c r="MV208" s="98"/>
      <c r="MW208" s="98"/>
      <c r="MX208" s="98"/>
      <c r="MY208" s="98"/>
      <c r="MZ208" s="98"/>
      <c r="NA208" s="98"/>
      <c r="NB208" s="98"/>
      <c r="NC208" s="98"/>
      <c r="ND208" s="98"/>
      <c r="NE208" s="98"/>
      <c r="NF208" s="98"/>
      <c r="NG208" s="98"/>
      <c r="NH208" s="98"/>
      <c r="NI208" s="98"/>
      <c r="NJ208" s="98"/>
      <c r="NK208" s="98"/>
      <c r="NL208" s="98"/>
      <c r="NM208" s="98"/>
      <c r="NN208" s="98"/>
      <c r="NO208" s="98"/>
      <c r="NP208" s="98"/>
      <c r="NQ208" s="98"/>
      <c r="NR208" s="98"/>
      <c r="NS208" s="98"/>
      <c r="NT208" s="98"/>
      <c r="NU208" s="98"/>
      <c r="NV208" s="98"/>
      <c r="NW208" s="98"/>
      <c r="NX208" s="98"/>
      <c r="NY208" s="98"/>
      <c r="NZ208" s="98"/>
      <c r="OA208" s="98"/>
      <c r="OB208" s="98"/>
      <c r="OC208" s="98"/>
      <c r="OD208" s="98"/>
      <c r="OE208" s="98"/>
      <c r="OF208" s="98"/>
      <c r="OG208" s="98"/>
      <c r="OH208" s="98"/>
      <c r="OI208" s="98"/>
      <c r="OJ208" s="98"/>
      <c r="OK208" s="98"/>
      <c r="OL208" s="98"/>
      <c r="OM208" s="98"/>
      <c r="ON208" s="98"/>
      <c r="OO208" s="98"/>
      <c r="OP208" s="98"/>
      <c r="OQ208" s="98"/>
      <c r="OR208" s="98"/>
      <c r="OS208" s="98"/>
      <c r="OT208" s="98"/>
      <c r="OU208" s="98"/>
      <c r="OV208" s="98"/>
      <c r="OW208" s="98"/>
      <c r="OX208" s="98"/>
      <c r="OY208" s="98"/>
      <c r="OZ208" s="98"/>
      <c r="PA208" s="98"/>
      <c r="PB208" s="98"/>
      <c r="PC208" s="98"/>
      <c r="PD208" s="98"/>
      <c r="PE208" s="98"/>
      <c r="PF208" s="98"/>
      <c r="PG208" s="98"/>
      <c r="PH208" s="98"/>
      <c r="PI208" s="98"/>
      <c r="PJ208" s="98"/>
      <c r="PK208" s="98"/>
      <c r="PL208" s="98"/>
      <c r="PM208" s="98"/>
      <c r="PN208" s="98"/>
      <c r="PO208" s="98"/>
      <c r="PP208" s="98"/>
      <c r="PQ208" s="98"/>
      <c r="PR208" s="98"/>
      <c r="PS208" s="98"/>
      <c r="PT208" s="98"/>
      <c r="PU208" s="98"/>
      <c r="PV208" s="98"/>
      <c r="PW208" s="98"/>
      <c r="PX208" s="98"/>
      <c r="PY208" s="98"/>
      <c r="PZ208" s="98"/>
      <c r="QA208" s="98"/>
      <c r="QB208" s="98"/>
      <c r="QC208" s="98"/>
      <c r="QD208" s="98"/>
      <c r="QE208" s="98"/>
      <c r="QF208" s="98"/>
      <c r="QG208" s="98"/>
      <c r="QH208" s="98"/>
      <c r="QI208" s="98"/>
      <c r="QJ208" s="98"/>
      <c r="QK208" s="98"/>
      <c r="QL208" s="98"/>
      <c r="QM208" s="98"/>
      <c r="QN208" s="98"/>
      <c r="QO208" s="98"/>
      <c r="QP208" s="98"/>
      <c r="QQ208" s="98"/>
      <c r="QR208" s="98"/>
      <c r="QS208" s="98"/>
      <c r="QT208" s="98"/>
      <c r="QU208" s="98"/>
      <c r="QV208" s="98"/>
      <c r="QW208" s="98"/>
      <c r="QX208" s="98"/>
      <c r="QY208" s="98"/>
      <c r="QZ208" s="98"/>
      <c r="RA208" s="98"/>
      <c r="RB208" s="98"/>
      <c r="RC208" s="98"/>
      <c r="RD208" s="98"/>
      <c r="RE208" s="98"/>
      <c r="RF208" s="98"/>
      <c r="RG208" s="98"/>
      <c r="RH208" s="98"/>
      <c r="RI208" s="98"/>
      <c r="RJ208" s="98"/>
      <c r="RK208" s="98"/>
      <c r="RL208" s="98"/>
      <c r="RM208" s="98"/>
      <c r="RN208" s="98"/>
      <c r="RO208" s="98"/>
      <c r="RP208" s="98"/>
      <c r="RQ208" s="98"/>
      <c r="RR208" s="98"/>
      <c r="RS208" s="98"/>
      <c r="RT208" s="98"/>
      <c r="RU208" s="98"/>
      <c r="RV208" s="98"/>
      <c r="RW208" s="98"/>
      <c r="RX208" s="98"/>
      <c r="RY208" s="98"/>
      <c r="RZ208" s="98"/>
      <c r="SA208" s="98"/>
      <c r="SB208" s="98"/>
      <c r="SC208" s="98"/>
      <c r="SD208" s="98"/>
      <c r="SE208" s="98"/>
      <c r="SF208" s="98"/>
      <c r="SG208" s="98"/>
      <c r="SH208" s="98"/>
      <c r="SI208" s="98"/>
      <c r="SJ208" s="98"/>
      <c r="SK208" s="98"/>
      <c r="SL208" s="98"/>
      <c r="SM208" s="98"/>
      <c r="SN208" s="98"/>
      <c r="SO208" s="98"/>
      <c r="SP208" s="98"/>
      <c r="SQ208" s="98"/>
      <c r="SR208" s="98"/>
    </row>
    <row r="209" spans="1:512" ht="230.25" outlineLevel="4" thickBot="1" x14ac:dyDescent="0.25">
      <c r="A209" s="43" t="s">
        <v>808</v>
      </c>
      <c r="B209" s="175"/>
      <c r="C209" s="179"/>
      <c r="D209" s="148"/>
      <c r="E209" s="48" t="s">
        <v>71</v>
      </c>
      <c r="F209" s="48" t="s">
        <v>809</v>
      </c>
      <c r="G209" s="48" t="s">
        <v>648</v>
      </c>
      <c r="H209" s="39" t="s">
        <v>439</v>
      </c>
      <c r="I209" s="69">
        <v>2</v>
      </c>
      <c r="J209" s="70" t="s">
        <v>74</v>
      </c>
      <c r="K209" s="93" t="s">
        <v>62</v>
      </c>
      <c r="L209" s="71">
        <v>1</v>
      </c>
      <c r="M209" s="89">
        <v>2</v>
      </c>
      <c r="N209" s="32" t="s">
        <v>39</v>
      </c>
      <c r="O209" s="53" t="s">
        <v>76</v>
      </c>
      <c r="P209" s="71">
        <v>5</v>
      </c>
      <c r="Q209" s="97">
        <f t="shared" si="9"/>
        <v>10</v>
      </c>
      <c r="R209" s="72"/>
      <c r="S209" s="72"/>
      <c r="T209" s="72"/>
      <c r="U209" s="50"/>
      <c r="V209" s="51"/>
      <c r="W209" s="52"/>
      <c r="X209" s="51"/>
      <c r="Y209" s="51"/>
      <c r="Z209" s="53"/>
      <c r="AA209" s="40"/>
      <c r="AB209" s="41"/>
      <c r="AC209" s="98"/>
      <c r="AD209" s="17">
        <f t="shared" si="27"/>
        <v>-1570</v>
      </c>
      <c r="AE209" s="18">
        <f t="shared" si="26"/>
        <v>1570</v>
      </c>
      <c r="AF209" s="98"/>
      <c r="AG209" s="98"/>
      <c r="AH209" s="98"/>
      <c r="AI209" s="98"/>
      <c r="AJ209" s="98"/>
      <c r="AK209" s="98"/>
      <c r="AL209" s="98"/>
      <c r="AM209" s="98"/>
      <c r="AN209" s="98"/>
      <c r="AO209" s="98"/>
      <c r="AP209" s="98"/>
      <c r="AQ209" s="98"/>
      <c r="AR209" s="98"/>
      <c r="AS209" s="98"/>
      <c r="AT209" s="98"/>
      <c r="AU209" s="98"/>
      <c r="AV209" s="98"/>
      <c r="AW209" s="98"/>
      <c r="AX209" s="98"/>
      <c r="AY209" s="98"/>
      <c r="AZ209" s="98"/>
      <c r="BA209" s="98"/>
      <c r="BB209" s="98"/>
      <c r="BC209" s="98"/>
      <c r="BD209" s="98"/>
      <c r="BE209" s="98"/>
      <c r="BF209" s="98"/>
      <c r="BG209" s="98"/>
      <c r="BH209" s="98"/>
      <c r="BI209" s="98"/>
      <c r="BJ209" s="98"/>
      <c r="BK209" s="98"/>
      <c r="BL209" s="98"/>
      <c r="BM209" s="98"/>
      <c r="BN209" s="98"/>
      <c r="BO209" s="98"/>
      <c r="BP209" s="98"/>
      <c r="BQ209" s="98"/>
      <c r="BR209" s="98"/>
      <c r="BS209" s="98"/>
      <c r="BT209" s="98"/>
      <c r="BU209" s="98"/>
      <c r="BV209" s="98"/>
      <c r="BW209" s="98"/>
      <c r="BX209" s="98"/>
      <c r="BY209" s="98"/>
      <c r="BZ209" s="98"/>
      <c r="CA209" s="98"/>
      <c r="CB209" s="98"/>
      <c r="CC209" s="98"/>
      <c r="CD209" s="98"/>
      <c r="CE209" s="98"/>
      <c r="CF209" s="98"/>
      <c r="CG209" s="98"/>
      <c r="CH209" s="98"/>
      <c r="CI209" s="98"/>
      <c r="CJ209" s="98"/>
      <c r="CK209" s="98"/>
      <c r="CL209" s="98"/>
      <c r="CM209" s="98"/>
      <c r="CN209" s="98"/>
      <c r="CO209" s="98"/>
      <c r="CP209" s="98"/>
      <c r="CQ209" s="98"/>
      <c r="CR209" s="98"/>
      <c r="CS209" s="98"/>
      <c r="CT209" s="98"/>
      <c r="CU209" s="98"/>
      <c r="CV209" s="98"/>
      <c r="CW209" s="98"/>
      <c r="CX209" s="98"/>
      <c r="CY209" s="98"/>
      <c r="CZ209" s="98"/>
      <c r="DA209" s="98"/>
      <c r="DB209" s="98"/>
      <c r="DC209" s="98"/>
      <c r="DD209" s="98"/>
      <c r="DE209" s="98"/>
      <c r="DF209" s="98"/>
      <c r="DG209" s="98"/>
      <c r="DH209" s="98"/>
      <c r="DI209" s="98"/>
      <c r="DJ209" s="98"/>
      <c r="DK209" s="98"/>
      <c r="DL209" s="98"/>
      <c r="DM209" s="98"/>
      <c r="DN209" s="98"/>
      <c r="DO209" s="98"/>
      <c r="DP209" s="98"/>
      <c r="DQ209" s="98"/>
      <c r="DR209" s="98"/>
      <c r="DS209" s="98"/>
      <c r="DT209" s="98"/>
      <c r="DU209" s="98"/>
      <c r="DV209" s="98"/>
      <c r="DW209" s="98"/>
      <c r="DX209" s="98"/>
      <c r="DY209" s="98"/>
      <c r="DZ209" s="98"/>
      <c r="EA209" s="98"/>
      <c r="EB209" s="98"/>
      <c r="EC209" s="98"/>
      <c r="ED209" s="98"/>
      <c r="EE209" s="98"/>
      <c r="EF209" s="98"/>
      <c r="EG209" s="98"/>
      <c r="EH209" s="98"/>
      <c r="EI209" s="98"/>
      <c r="EJ209" s="98"/>
      <c r="EK209" s="98"/>
      <c r="EL209" s="98"/>
      <c r="EM209" s="98"/>
      <c r="EN209" s="98"/>
      <c r="EO209" s="98"/>
      <c r="EP209" s="98"/>
      <c r="EQ209" s="98"/>
      <c r="ER209" s="98"/>
      <c r="ES209" s="98"/>
      <c r="ET209" s="98"/>
      <c r="EU209" s="98"/>
      <c r="EV209" s="98"/>
      <c r="EW209" s="98"/>
      <c r="EX209" s="98"/>
      <c r="EY209" s="98"/>
      <c r="EZ209" s="98"/>
      <c r="FA209" s="98"/>
      <c r="FB209" s="98"/>
      <c r="FC209" s="98"/>
      <c r="FD209" s="98"/>
      <c r="FE209" s="98"/>
      <c r="FF209" s="98"/>
      <c r="FG209" s="98"/>
      <c r="FH209" s="98"/>
      <c r="FI209" s="98"/>
      <c r="FJ209" s="98"/>
      <c r="FK209" s="98"/>
      <c r="FL209" s="98"/>
      <c r="FM209" s="98"/>
      <c r="FN209" s="98"/>
      <c r="FO209" s="98"/>
      <c r="FP209" s="98"/>
      <c r="FQ209" s="98"/>
      <c r="FR209" s="98"/>
      <c r="FS209" s="98"/>
      <c r="FT209" s="98"/>
      <c r="FU209" s="98"/>
      <c r="FV209" s="98"/>
      <c r="FW209" s="98"/>
      <c r="FX209" s="98"/>
      <c r="FY209" s="98"/>
      <c r="FZ209" s="98"/>
      <c r="GA209" s="98"/>
      <c r="GB209" s="98"/>
      <c r="GC209" s="98"/>
      <c r="GD209" s="98"/>
      <c r="GE209" s="98"/>
      <c r="GF209" s="98"/>
      <c r="GG209" s="98"/>
      <c r="GH209" s="98"/>
      <c r="GI209" s="98"/>
      <c r="GJ209" s="98"/>
      <c r="GK209" s="98"/>
      <c r="GL209" s="98"/>
      <c r="GM209" s="98"/>
      <c r="GN209" s="98"/>
      <c r="GO209" s="98"/>
      <c r="GP209" s="98"/>
      <c r="GQ209" s="98"/>
      <c r="GR209" s="98"/>
      <c r="GS209" s="98"/>
      <c r="GT209" s="98"/>
      <c r="GU209" s="98"/>
      <c r="GV209" s="98"/>
      <c r="GW209" s="98"/>
      <c r="GX209" s="98"/>
      <c r="GY209" s="98"/>
      <c r="GZ209" s="98"/>
      <c r="HA209" s="98"/>
      <c r="HB209" s="98"/>
      <c r="HC209" s="98"/>
      <c r="HD209" s="98"/>
      <c r="HE209" s="98"/>
      <c r="HF209" s="98"/>
      <c r="HG209" s="98"/>
      <c r="HH209" s="98"/>
      <c r="HI209" s="98"/>
      <c r="HJ209" s="98"/>
      <c r="HK209" s="98"/>
      <c r="HL209" s="98"/>
      <c r="HM209" s="98"/>
      <c r="HN209" s="98"/>
      <c r="HO209" s="98"/>
      <c r="HP209" s="98"/>
      <c r="HQ209" s="98"/>
      <c r="HR209" s="98"/>
      <c r="HS209" s="98"/>
      <c r="HT209" s="98"/>
      <c r="HU209" s="98"/>
      <c r="HV209" s="98"/>
      <c r="HW209" s="98"/>
      <c r="HX209" s="98"/>
      <c r="HY209" s="98"/>
      <c r="HZ209" s="98"/>
      <c r="IA209" s="98"/>
      <c r="IB209" s="98"/>
      <c r="IC209" s="98"/>
      <c r="ID209" s="98"/>
      <c r="IE209" s="98"/>
      <c r="IF209" s="98"/>
      <c r="IG209" s="98"/>
      <c r="IH209" s="98"/>
      <c r="II209" s="98"/>
      <c r="IJ209" s="98"/>
      <c r="IK209" s="98"/>
      <c r="IL209" s="98"/>
      <c r="IM209" s="98"/>
      <c r="IN209" s="98"/>
      <c r="IO209" s="98"/>
      <c r="IP209" s="98"/>
      <c r="IQ209" s="98"/>
      <c r="IR209" s="98"/>
      <c r="IS209" s="98"/>
      <c r="IT209" s="98"/>
      <c r="IU209" s="98"/>
      <c r="IV209" s="98"/>
      <c r="IW209" s="98"/>
      <c r="IX209" s="98"/>
      <c r="IY209" s="98"/>
      <c r="IZ209" s="98"/>
      <c r="JA209" s="98"/>
      <c r="JB209" s="98"/>
      <c r="JC209" s="98"/>
      <c r="JD209" s="98"/>
      <c r="JE209" s="98"/>
      <c r="JF209" s="98"/>
      <c r="JG209" s="98"/>
      <c r="JH209" s="98"/>
      <c r="JI209" s="98"/>
      <c r="JJ209" s="98"/>
      <c r="JK209" s="98"/>
      <c r="JL209" s="98"/>
      <c r="JM209" s="98"/>
      <c r="JN209" s="98"/>
      <c r="JO209" s="98"/>
      <c r="JP209" s="98"/>
      <c r="JQ209" s="98"/>
      <c r="JR209" s="98"/>
      <c r="JS209" s="98"/>
      <c r="JT209" s="98"/>
      <c r="JU209" s="98"/>
      <c r="JV209" s="98"/>
      <c r="JW209" s="98"/>
      <c r="JX209" s="98"/>
      <c r="JY209" s="98"/>
      <c r="JZ209" s="98"/>
      <c r="KA209" s="98"/>
      <c r="KB209" s="98"/>
      <c r="KC209" s="98"/>
      <c r="KD209" s="98"/>
      <c r="KE209" s="98"/>
      <c r="KF209" s="98"/>
      <c r="KG209" s="98"/>
      <c r="KH209" s="98"/>
      <c r="KI209" s="98"/>
      <c r="KJ209" s="98"/>
      <c r="KK209" s="98"/>
      <c r="KL209" s="98"/>
      <c r="KM209" s="98"/>
      <c r="KN209" s="98"/>
      <c r="KO209" s="98"/>
      <c r="KP209" s="98"/>
      <c r="KQ209" s="98"/>
      <c r="KR209" s="98"/>
      <c r="KS209" s="98"/>
      <c r="KT209" s="98"/>
      <c r="KU209" s="98"/>
      <c r="KV209" s="98"/>
      <c r="KW209" s="98"/>
      <c r="KX209" s="98"/>
      <c r="KY209" s="98"/>
      <c r="KZ209" s="98"/>
      <c r="LA209" s="98"/>
      <c r="LB209" s="98"/>
      <c r="LC209" s="98"/>
      <c r="LD209" s="98"/>
      <c r="LE209" s="98"/>
      <c r="LF209" s="98"/>
      <c r="LG209" s="98"/>
      <c r="LH209" s="98"/>
      <c r="LI209" s="98"/>
      <c r="LJ209" s="98"/>
      <c r="LK209" s="98"/>
      <c r="LL209" s="98"/>
      <c r="LM209" s="98"/>
      <c r="LN209" s="98"/>
      <c r="LO209" s="98"/>
      <c r="LP209" s="98"/>
      <c r="LQ209" s="98"/>
      <c r="LR209" s="98"/>
      <c r="LS209" s="98"/>
      <c r="LT209" s="98"/>
      <c r="LU209" s="98"/>
      <c r="LV209" s="98"/>
      <c r="LW209" s="98"/>
      <c r="LX209" s="98"/>
      <c r="LY209" s="98"/>
      <c r="LZ209" s="98"/>
      <c r="MA209" s="98"/>
      <c r="MB209" s="98"/>
      <c r="MC209" s="98"/>
      <c r="MD209" s="98"/>
      <c r="ME209" s="98"/>
      <c r="MF209" s="98"/>
      <c r="MG209" s="98"/>
      <c r="MH209" s="98"/>
      <c r="MI209" s="98"/>
      <c r="MJ209" s="98"/>
      <c r="MK209" s="98"/>
      <c r="ML209" s="98"/>
      <c r="MM209" s="98"/>
      <c r="MN209" s="98"/>
      <c r="MO209" s="98"/>
      <c r="MP209" s="98"/>
      <c r="MQ209" s="98"/>
      <c r="MR209" s="98"/>
      <c r="MS209" s="98"/>
      <c r="MT209" s="98"/>
      <c r="MU209" s="98"/>
      <c r="MV209" s="98"/>
      <c r="MW209" s="98"/>
      <c r="MX209" s="98"/>
      <c r="MY209" s="98"/>
      <c r="MZ209" s="98"/>
      <c r="NA209" s="98"/>
      <c r="NB209" s="98"/>
      <c r="NC209" s="98"/>
      <c r="ND209" s="98"/>
      <c r="NE209" s="98"/>
      <c r="NF209" s="98"/>
      <c r="NG209" s="98"/>
      <c r="NH209" s="98"/>
      <c r="NI209" s="98"/>
      <c r="NJ209" s="98"/>
      <c r="NK209" s="98"/>
      <c r="NL209" s="98"/>
      <c r="NM209" s="98"/>
      <c r="NN209" s="98"/>
      <c r="NO209" s="98"/>
      <c r="NP209" s="98"/>
      <c r="NQ209" s="98"/>
      <c r="NR209" s="98"/>
      <c r="NS209" s="98"/>
      <c r="NT209" s="98"/>
      <c r="NU209" s="98"/>
      <c r="NV209" s="98"/>
      <c r="NW209" s="98"/>
      <c r="NX209" s="98"/>
      <c r="NY209" s="98"/>
      <c r="NZ209" s="98"/>
      <c r="OA209" s="98"/>
      <c r="OB209" s="98"/>
      <c r="OC209" s="98"/>
      <c r="OD209" s="98"/>
      <c r="OE209" s="98"/>
      <c r="OF209" s="98"/>
      <c r="OG209" s="98"/>
      <c r="OH209" s="98"/>
      <c r="OI209" s="98"/>
      <c r="OJ209" s="98"/>
      <c r="OK209" s="98"/>
      <c r="OL209" s="98"/>
      <c r="OM209" s="98"/>
      <c r="ON209" s="98"/>
      <c r="OO209" s="98"/>
      <c r="OP209" s="98"/>
      <c r="OQ209" s="98"/>
      <c r="OR209" s="98"/>
      <c r="OS209" s="98"/>
      <c r="OT209" s="98"/>
      <c r="OU209" s="98"/>
      <c r="OV209" s="98"/>
      <c r="OW209" s="98"/>
      <c r="OX209" s="98"/>
      <c r="OY209" s="98"/>
      <c r="OZ209" s="98"/>
      <c r="PA209" s="98"/>
      <c r="PB209" s="98"/>
      <c r="PC209" s="98"/>
      <c r="PD209" s="98"/>
      <c r="PE209" s="98"/>
      <c r="PF209" s="98"/>
      <c r="PG209" s="98"/>
      <c r="PH209" s="98"/>
      <c r="PI209" s="98"/>
      <c r="PJ209" s="98"/>
      <c r="PK209" s="98"/>
      <c r="PL209" s="98"/>
      <c r="PM209" s="98"/>
      <c r="PN209" s="98"/>
      <c r="PO209" s="98"/>
      <c r="PP209" s="98"/>
      <c r="PQ209" s="98"/>
      <c r="PR209" s="98"/>
      <c r="PS209" s="98"/>
      <c r="PT209" s="98"/>
      <c r="PU209" s="98"/>
      <c r="PV209" s="98"/>
      <c r="PW209" s="98"/>
      <c r="PX209" s="98"/>
      <c r="PY209" s="98"/>
      <c r="PZ209" s="98"/>
      <c r="QA209" s="98"/>
      <c r="QB209" s="98"/>
      <c r="QC209" s="98"/>
      <c r="QD209" s="98"/>
      <c r="QE209" s="98"/>
      <c r="QF209" s="98"/>
      <c r="QG209" s="98"/>
      <c r="QH209" s="98"/>
      <c r="QI209" s="98"/>
      <c r="QJ209" s="98"/>
      <c r="QK209" s="98"/>
      <c r="QL209" s="98"/>
      <c r="QM209" s="98"/>
      <c r="QN209" s="98"/>
      <c r="QO209" s="98"/>
      <c r="QP209" s="98"/>
      <c r="QQ209" s="98"/>
      <c r="QR209" s="98"/>
      <c r="QS209" s="98"/>
      <c r="QT209" s="98"/>
      <c r="QU209" s="98"/>
      <c r="QV209" s="98"/>
      <c r="QW209" s="98"/>
      <c r="QX209" s="98"/>
      <c r="QY209" s="98"/>
      <c r="QZ209" s="98"/>
      <c r="RA209" s="98"/>
      <c r="RB209" s="98"/>
      <c r="RC209" s="98"/>
      <c r="RD209" s="98"/>
      <c r="RE209" s="98"/>
      <c r="RF209" s="98"/>
      <c r="RG209" s="98"/>
      <c r="RH209" s="98"/>
      <c r="RI209" s="98"/>
      <c r="RJ209" s="98"/>
      <c r="RK209" s="98"/>
      <c r="RL209" s="98"/>
      <c r="RM209" s="98"/>
      <c r="RN209" s="98"/>
      <c r="RO209" s="98"/>
      <c r="RP209" s="98"/>
      <c r="RQ209" s="98"/>
      <c r="RR209" s="98"/>
      <c r="RS209" s="98"/>
      <c r="RT209" s="98"/>
      <c r="RU209" s="98"/>
      <c r="RV209" s="98"/>
      <c r="RW209" s="98"/>
      <c r="RX209" s="98"/>
      <c r="RY209" s="98"/>
      <c r="RZ209" s="98"/>
      <c r="SA209" s="98"/>
      <c r="SB209" s="98"/>
      <c r="SC209" s="98"/>
      <c r="SD209" s="98"/>
      <c r="SE209" s="98"/>
      <c r="SF209" s="98"/>
      <c r="SG209" s="98"/>
      <c r="SH209" s="98"/>
      <c r="SI209" s="98"/>
      <c r="SJ209" s="98"/>
      <c r="SK209" s="98"/>
      <c r="SL209" s="98"/>
      <c r="SM209" s="98"/>
      <c r="SN209" s="98"/>
      <c r="SO209" s="98"/>
      <c r="SP209" s="98"/>
      <c r="SQ209" s="98"/>
      <c r="SR209" s="98"/>
    </row>
    <row r="210" spans="1:512" ht="230.25" outlineLevel="4" thickBot="1" x14ac:dyDescent="0.25">
      <c r="A210" s="43" t="s">
        <v>810</v>
      </c>
      <c r="B210" s="177" t="s">
        <v>811</v>
      </c>
      <c r="C210" s="138" t="s">
        <v>812</v>
      </c>
      <c r="D210" s="149" t="s">
        <v>813</v>
      </c>
      <c r="E210" s="87" t="s">
        <v>33</v>
      </c>
      <c r="F210" s="62" t="s">
        <v>814</v>
      </c>
      <c r="G210" s="66" t="s">
        <v>457</v>
      </c>
      <c r="H210" s="26" t="s">
        <v>127</v>
      </c>
      <c r="I210" s="27">
        <v>3</v>
      </c>
      <c r="J210" s="70" t="s">
        <v>463</v>
      </c>
      <c r="K210" s="29" t="s">
        <v>487</v>
      </c>
      <c r="L210" s="30">
        <v>2</v>
      </c>
      <c r="M210" s="89">
        <f t="shared" ref="M210:M236" si="28">I210*L210</f>
        <v>6</v>
      </c>
      <c r="N210" s="32" t="s">
        <v>39</v>
      </c>
      <c r="O210" s="60" t="s">
        <v>123</v>
      </c>
      <c r="P210" s="90">
        <v>2</v>
      </c>
      <c r="Q210" s="97">
        <f t="shared" si="9"/>
        <v>12</v>
      </c>
      <c r="R210" s="72"/>
      <c r="S210" s="72"/>
      <c r="T210" s="72"/>
      <c r="U210" s="50"/>
      <c r="V210" s="51"/>
      <c r="W210" s="52"/>
      <c r="X210" s="51"/>
      <c r="Y210" s="51"/>
      <c r="Z210" s="53"/>
      <c r="AA210" s="40"/>
      <c r="AB210" s="41"/>
      <c r="AD210" s="17">
        <f t="shared" si="27"/>
        <v>6004</v>
      </c>
      <c r="AE210" s="18">
        <f t="shared" si="26"/>
        <v>6004</v>
      </c>
    </row>
    <row r="211" spans="1:512" ht="230.25" outlineLevel="4" thickBot="1" x14ac:dyDescent="0.25">
      <c r="A211" s="43" t="s">
        <v>815</v>
      </c>
      <c r="B211" s="177"/>
      <c r="C211" s="138"/>
      <c r="D211" s="149"/>
      <c r="E211" s="87" t="s">
        <v>43</v>
      </c>
      <c r="F211" s="62" t="s">
        <v>816</v>
      </c>
      <c r="G211" s="74" t="s">
        <v>648</v>
      </c>
      <c r="H211" s="26" t="s">
        <v>107</v>
      </c>
      <c r="I211" s="27">
        <v>1</v>
      </c>
      <c r="J211" s="70" t="s">
        <v>463</v>
      </c>
      <c r="K211" s="29" t="s">
        <v>487</v>
      </c>
      <c r="L211" s="30">
        <v>2</v>
      </c>
      <c r="M211" s="89">
        <f t="shared" si="28"/>
        <v>2</v>
      </c>
      <c r="N211" s="32" t="s">
        <v>39</v>
      </c>
      <c r="O211" s="53" t="s">
        <v>76</v>
      </c>
      <c r="P211" s="90">
        <v>5</v>
      </c>
      <c r="Q211" s="97">
        <f t="shared" si="9"/>
        <v>10</v>
      </c>
      <c r="R211" s="72"/>
      <c r="S211" s="72"/>
      <c r="T211" s="72"/>
      <c r="U211" s="50"/>
      <c r="V211" s="51"/>
      <c r="W211" s="52"/>
      <c r="X211" s="51"/>
      <c r="Y211" s="51"/>
      <c r="Z211" s="53"/>
      <c r="AA211" s="40"/>
      <c r="AB211" s="41"/>
      <c r="AD211" s="17">
        <f t="shared" si="27"/>
        <v>6005</v>
      </c>
      <c r="AE211" s="18">
        <f t="shared" si="26"/>
        <v>6005</v>
      </c>
    </row>
    <row r="212" spans="1:512" ht="230.25" outlineLevel="4" thickBot="1" x14ac:dyDescent="0.25">
      <c r="A212" s="43" t="s">
        <v>817</v>
      </c>
      <c r="B212" s="177"/>
      <c r="C212" s="138"/>
      <c r="D212" s="149"/>
      <c r="E212" s="87" t="s">
        <v>466</v>
      </c>
      <c r="F212" s="51" t="s">
        <v>818</v>
      </c>
      <c r="G212" s="37" t="s">
        <v>457</v>
      </c>
      <c r="H212" s="26" t="s">
        <v>819</v>
      </c>
      <c r="I212" s="27">
        <v>3</v>
      </c>
      <c r="J212" s="70" t="s">
        <v>468</v>
      </c>
      <c r="K212" s="93" t="s">
        <v>469</v>
      </c>
      <c r="L212" s="71">
        <v>2</v>
      </c>
      <c r="M212" s="89">
        <f t="shared" si="28"/>
        <v>6</v>
      </c>
      <c r="N212" s="32" t="s">
        <v>39</v>
      </c>
      <c r="O212" s="60" t="s">
        <v>123</v>
      </c>
      <c r="P212" s="90">
        <v>2</v>
      </c>
      <c r="Q212" s="97">
        <f>M212*P212</f>
        <v>12</v>
      </c>
      <c r="R212" s="72"/>
      <c r="S212" s="72"/>
      <c r="T212" s="72"/>
      <c r="U212" s="50"/>
      <c r="V212" s="51"/>
      <c r="W212" s="52"/>
      <c r="X212" s="51"/>
      <c r="Y212" s="51"/>
      <c r="Z212" s="53"/>
      <c r="AA212" s="40"/>
      <c r="AB212" s="41"/>
      <c r="AD212" s="17">
        <f t="shared" si="27"/>
        <v>16643</v>
      </c>
      <c r="AE212" s="18"/>
    </row>
    <row r="213" spans="1:512" ht="230.25" outlineLevel="4" thickBot="1" x14ac:dyDescent="0.25">
      <c r="A213" s="43" t="s">
        <v>820</v>
      </c>
      <c r="B213" s="177" t="s">
        <v>811</v>
      </c>
      <c r="C213" s="138" t="s">
        <v>821</v>
      </c>
      <c r="D213" s="149" t="s">
        <v>822</v>
      </c>
      <c r="E213" s="87" t="s">
        <v>33</v>
      </c>
      <c r="F213" s="51" t="s">
        <v>823</v>
      </c>
      <c r="G213" s="66" t="s">
        <v>457</v>
      </c>
      <c r="H213" s="26" t="s">
        <v>127</v>
      </c>
      <c r="I213" s="27">
        <v>3</v>
      </c>
      <c r="J213" s="70" t="s">
        <v>463</v>
      </c>
      <c r="K213" s="93" t="s">
        <v>616</v>
      </c>
      <c r="L213" s="30">
        <v>2</v>
      </c>
      <c r="M213" s="89">
        <f t="shared" si="28"/>
        <v>6</v>
      </c>
      <c r="N213" s="32" t="s">
        <v>39</v>
      </c>
      <c r="O213" s="60" t="s">
        <v>143</v>
      </c>
      <c r="P213" s="90">
        <v>2</v>
      </c>
      <c r="Q213" s="97">
        <f t="shared" ref="Q213:Q221" si="29">M213*P213</f>
        <v>12</v>
      </c>
      <c r="R213" s="72"/>
      <c r="S213" s="72"/>
      <c r="T213" s="72"/>
      <c r="U213" s="50"/>
      <c r="V213" s="51"/>
      <c r="W213" s="52"/>
      <c r="X213" s="51"/>
      <c r="Y213" s="51"/>
      <c r="Z213" s="53"/>
      <c r="AA213" s="40"/>
      <c r="AB213" s="41"/>
      <c r="AD213" s="17">
        <f t="shared" si="27"/>
        <v>16644</v>
      </c>
      <c r="AE213" s="18"/>
    </row>
    <row r="214" spans="1:512" ht="230.25" outlineLevel="4" thickBot="1" x14ac:dyDescent="0.25">
      <c r="A214" s="43" t="s">
        <v>824</v>
      </c>
      <c r="B214" s="177"/>
      <c r="C214" s="138"/>
      <c r="D214" s="149"/>
      <c r="E214" s="87" t="s">
        <v>43</v>
      </c>
      <c r="F214" s="51" t="s">
        <v>825</v>
      </c>
      <c r="G214" s="66" t="s">
        <v>689</v>
      </c>
      <c r="H214" s="26" t="s">
        <v>690</v>
      </c>
      <c r="I214" s="27">
        <v>2</v>
      </c>
      <c r="J214" s="70" t="s">
        <v>463</v>
      </c>
      <c r="K214" s="29" t="s">
        <v>487</v>
      </c>
      <c r="L214" s="30">
        <v>1</v>
      </c>
      <c r="M214" s="89">
        <f>I214*L214</f>
        <v>2</v>
      </c>
      <c r="N214" s="32" t="s">
        <v>39</v>
      </c>
      <c r="O214" s="60" t="s">
        <v>395</v>
      </c>
      <c r="P214" s="90">
        <v>2</v>
      </c>
      <c r="Q214" s="97">
        <f t="shared" si="29"/>
        <v>4</v>
      </c>
      <c r="R214" s="72"/>
      <c r="S214" s="72"/>
      <c r="T214" s="72"/>
      <c r="U214" s="50"/>
      <c r="V214" s="51"/>
      <c r="W214" s="52"/>
      <c r="X214" s="51"/>
      <c r="Y214" s="51"/>
      <c r="Z214" s="53"/>
      <c r="AA214" s="40"/>
      <c r="AB214" s="41"/>
      <c r="AD214" s="17">
        <f t="shared" si="27"/>
        <v>16645</v>
      </c>
      <c r="AE214" s="18"/>
    </row>
    <row r="215" spans="1:512" ht="230.25" outlineLevel="4" thickBot="1" x14ac:dyDescent="0.25">
      <c r="A215" s="43" t="s">
        <v>826</v>
      </c>
      <c r="B215" s="177"/>
      <c r="C215" s="138"/>
      <c r="D215" s="149"/>
      <c r="E215" s="87" t="s">
        <v>466</v>
      </c>
      <c r="F215" s="51" t="s">
        <v>827</v>
      </c>
      <c r="G215" s="37" t="s">
        <v>457</v>
      </c>
      <c r="H215" s="26" t="s">
        <v>127</v>
      </c>
      <c r="I215" s="27">
        <v>3</v>
      </c>
      <c r="J215" s="70" t="s">
        <v>468</v>
      </c>
      <c r="K215" s="93" t="s">
        <v>469</v>
      </c>
      <c r="L215" s="71">
        <v>2</v>
      </c>
      <c r="M215" s="89">
        <f t="shared" si="28"/>
        <v>6</v>
      </c>
      <c r="N215" s="32" t="s">
        <v>39</v>
      </c>
      <c r="O215" s="53" t="s">
        <v>143</v>
      </c>
      <c r="P215" s="90">
        <v>2</v>
      </c>
      <c r="Q215" s="97">
        <f t="shared" si="29"/>
        <v>12</v>
      </c>
      <c r="R215" s="72"/>
      <c r="S215" s="72"/>
      <c r="T215" s="72"/>
      <c r="U215" s="50"/>
      <c r="V215" s="51"/>
      <c r="W215" s="52"/>
      <c r="X215" s="51"/>
      <c r="Y215" s="51"/>
      <c r="Z215" s="53"/>
      <c r="AA215" s="40"/>
      <c r="AB215" s="41"/>
      <c r="AD215" s="17">
        <f t="shared" si="27"/>
        <v>16646</v>
      </c>
      <c r="AE215" s="18"/>
    </row>
    <row r="216" spans="1:512" ht="230.25" outlineLevel="4" thickBot="1" x14ac:dyDescent="0.25">
      <c r="A216" s="43" t="s">
        <v>828</v>
      </c>
      <c r="B216" s="177" t="s">
        <v>811</v>
      </c>
      <c r="C216" s="138" t="s">
        <v>829</v>
      </c>
      <c r="D216" s="149" t="s">
        <v>830</v>
      </c>
      <c r="E216" s="87" t="s">
        <v>33</v>
      </c>
      <c r="F216" s="51" t="s">
        <v>831</v>
      </c>
      <c r="G216" s="66" t="s">
        <v>832</v>
      </c>
      <c r="H216" s="26" t="s">
        <v>127</v>
      </c>
      <c r="I216" s="27">
        <v>3</v>
      </c>
      <c r="J216" s="70" t="s">
        <v>463</v>
      </c>
      <c r="K216" s="29" t="s">
        <v>496</v>
      </c>
      <c r="L216" s="71">
        <v>1</v>
      </c>
      <c r="M216" s="89">
        <f t="shared" si="28"/>
        <v>3</v>
      </c>
      <c r="N216" s="32" t="s">
        <v>39</v>
      </c>
      <c r="O216" s="53" t="s">
        <v>76</v>
      </c>
      <c r="P216" s="90">
        <v>5</v>
      </c>
      <c r="Q216" s="97">
        <f t="shared" si="29"/>
        <v>15</v>
      </c>
      <c r="R216" s="72"/>
      <c r="S216" s="72"/>
      <c r="T216" s="72"/>
      <c r="U216" s="50"/>
      <c r="V216" s="51"/>
      <c r="W216" s="52"/>
      <c r="X216" s="51"/>
      <c r="Y216" s="51"/>
      <c r="Z216" s="53"/>
      <c r="AA216" s="40"/>
      <c r="AB216" s="41"/>
      <c r="AD216" s="17">
        <f t="shared" si="27"/>
        <v>16647</v>
      </c>
      <c r="AE216" s="18"/>
    </row>
    <row r="217" spans="1:512" ht="230.25" outlineLevel="4" thickBot="1" x14ac:dyDescent="0.25">
      <c r="A217" s="43" t="s">
        <v>833</v>
      </c>
      <c r="B217" s="177"/>
      <c r="C217" s="138"/>
      <c r="D217" s="149"/>
      <c r="E217" s="87" t="s">
        <v>43</v>
      </c>
      <c r="F217" s="51" t="s">
        <v>834</v>
      </c>
      <c r="G217" s="37" t="s">
        <v>457</v>
      </c>
      <c r="H217" s="88" t="s">
        <v>127</v>
      </c>
      <c r="I217" s="92">
        <v>3</v>
      </c>
      <c r="J217" s="70" t="s">
        <v>463</v>
      </c>
      <c r="K217" s="29" t="s">
        <v>487</v>
      </c>
      <c r="L217" s="30">
        <v>1</v>
      </c>
      <c r="M217" s="89">
        <f t="shared" si="28"/>
        <v>3</v>
      </c>
      <c r="N217" s="32" t="s">
        <v>39</v>
      </c>
      <c r="O217" s="60" t="s">
        <v>123</v>
      </c>
      <c r="P217" s="90">
        <v>2</v>
      </c>
      <c r="Q217" s="97">
        <f t="shared" si="29"/>
        <v>6</v>
      </c>
      <c r="R217" s="72"/>
      <c r="S217" s="72"/>
      <c r="T217" s="72"/>
      <c r="U217" s="50"/>
      <c r="V217" s="51"/>
      <c r="W217" s="52"/>
      <c r="X217" s="51"/>
      <c r="Y217" s="51"/>
      <c r="Z217" s="53"/>
      <c r="AA217" s="40"/>
      <c r="AB217" s="41"/>
      <c r="AD217" s="17">
        <f t="shared" si="27"/>
        <v>16648</v>
      </c>
      <c r="AE217" s="18"/>
    </row>
    <row r="218" spans="1:512" ht="230.25" outlineLevel="4" thickBot="1" x14ac:dyDescent="0.25">
      <c r="A218" s="43" t="s">
        <v>835</v>
      </c>
      <c r="B218" s="177"/>
      <c r="C218" s="138"/>
      <c r="D218" s="149"/>
      <c r="E218" s="87" t="s">
        <v>466</v>
      </c>
      <c r="F218" s="51" t="s">
        <v>836</v>
      </c>
      <c r="G218" s="37" t="s">
        <v>457</v>
      </c>
      <c r="H218" s="88" t="s">
        <v>127</v>
      </c>
      <c r="I218" s="92">
        <v>3</v>
      </c>
      <c r="J218" s="70" t="s">
        <v>468</v>
      </c>
      <c r="K218" s="93" t="s">
        <v>469</v>
      </c>
      <c r="L218" s="71">
        <v>2</v>
      </c>
      <c r="M218" s="89">
        <f t="shared" si="28"/>
        <v>6</v>
      </c>
      <c r="N218" s="32" t="s">
        <v>39</v>
      </c>
      <c r="O218" s="60" t="s">
        <v>123</v>
      </c>
      <c r="P218" s="90">
        <v>2</v>
      </c>
      <c r="Q218" s="97">
        <f t="shared" si="29"/>
        <v>12</v>
      </c>
      <c r="R218" s="72"/>
      <c r="S218" s="72"/>
      <c r="T218" s="72"/>
      <c r="U218" s="50"/>
      <c r="V218" s="51"/>
      <c r="W218" s="52"/>
      <c r="X218" s="51"/>
      <c r="Y218" s="51"/>
      <c r="Z218" s="53"/>
      <c r="AA218" s="40"/>
      <c r="AB218" s="41"/>
      <c r="AD218" s="17">
        <f t="shared" si="27"/>
        <v>16649</v>
      </c>
      <c r="AE218" s="18"/>
    </row>
    <row r="219" spans="1:512" ht="230.25" outlineLevel="4" thickBot="1" x14ac:dyDescent="0.25">
      <c r="A219" s="43" t="s">
        <v>837</v>
      </c>
      <c r="B219" s="177" t="s">
        <v>811</v>
      </c>
      <c r="C219" s="138" t="s">
        <v>838</v>
      </c>
      <c r="D219" s="149" t="s">
        <v>839</v>
      </c>
      <c r="E219" s="87" t="s">
        <v>33</v>
      </c>
      <c r="F219" s="62" t="s">
        <v>840</v>
      </c>
      <c r="G219" s="66" t="s">
        <v>832</v>
      </c>
      <c r="H219" s="26" t="s">
        <v>127</v>
      </c>
      <c r="I219" s="27">
        <v>3</v>
      </c>
      <c r="J219" s="70" t="s">
        <v>463</v>
      </c>
      <c r="K219" s="29" t="s">
        <v>487</v>
      </c>
      <c r="L219" s="30">
        <v>2</v>
      </c>
      <c r="M219" s="89">
        <f t="shared" si="28"/>
        <v>6</v>
      </c>
      <c r="N219" s="32" t="s">
        <v>39</v>
      </c>
      <c r="O219" s="53" t="s">
        <v>76</v>
      </c>
      <c r="P219" s="90">
        <v>5</v>
      </c>
      <c r="Q219" s="97">
        <f t="shared" si="29"/>
        <v>30</v>
      </c>
      <c r="R219" s="72"/>
      <c r="S219" s="72"/>
      <c r="T219" s="72"/>
      <c r="U219" s="50"/>
      <c r="V219" s="51"/>
      <c r="W219" s="52"/>
      <c r="X219" s="51"/>
      <c r="Y219" s="51"/>
      <c r="Z219" s="53"/>
      <c r="AA219" s="40"/>
      <c r="AB219" s="41"/>
      <c r="AD219" s="17">
        <f t="shared" si="27"/>
        <v>16650</v>
      </c>
      <c r="AE219" s="18"/>
    </row>
    <row r="220" spans="1:512" ht="230.25" outlineLevel="4" thickBot="1" x14ac:dyDescent="0.25">
      <c r="A220" s="43" t="s">
        <v>841</v>
      </c>
      <c r="B220" s="177"/>
      <c r="C220" s="138"/>
      <c r="D220" s="149"/>
      <c r="E220" s="87" t="s">
        <v>43</v>
      </c>
      <c r="F220" s="62" t="s">
        <v>834</v>
      </c>
      <c r="G220" s="66" t="s">
        <v>457</v>
      </c>
      <c r="H220" s="26" t="s">
        <v>127</v>
      </c>
      <c r="I220" s="27">
        <v>3</v>
      </c>
      <c r="J220" s="70" t="s">
        <v>463</v>
      </c>
      <c r="K220" s="29" t="s">
        <v>487</v>
      </c>
      <c r="L220" s="30">
        <v>2</v>
      </c>
      <c r="M220" s="89">
        <f t="shared" si="28"/>
        <v>6</v>
      </c>
      <c r="N220" s="32" t="s">
        <v>39</v>
      </c>
      <c r="O220" s="60" t="s">
        <v>123</v>
      </c>
      <c r="P220" s="90">
        <v>2</v>
      </c>
      <c r="Q220" s="97">
        <f t="shared" si="29"/>
        <v>12</v>
      </c>
      <c r="R220" s="72"/>
      <c r="S220" s="72"/>
      <c r="T220" s="72"/>
      <c r="U220" s="50"/>
      <c r="V220" s="51"/>
      <c r="W220" s="52"/>
      <c r="X220" s="51"/>
      <c r="Y220" s="51"/>
      <c r="Z220" s="53"/>
      <c r="AA220" s="40"/>
      <c r="AB220" s="41"/>
      <c r="AD220" s="17">
        <f t="shared" si="27"/>
        <v>16651</v>
      </c>
      <c r="AE220" s="18"/>
    </row>
    <row r="221" spans="1:512" ht="230.25" outlineLevel="4" thickBot="1" x14ac:dyDescent="0.25">
      <c r="A221" s="43" t="s">
        <v>842</v>
      </c>
      <c r="B221" s="177"/>
      <c r="C221" s="138"/>
      <c r="D221" s="149"/>
      <c r="E221" s="87" t="s">
        <v>466</v>
      </c>
      <c r="F221" s="51" t="s">
        <v>836</v>
      </c>
      <c r="G221" s="37" t="s">
        <v>457</v>
      </c>
      <c r="H221" s="26" t="s">
        <v>127</v>
      </c>
      <c r="I221" s="27">
        <v>3</v>
      </c>
      <c r="J221" s="70" t="s">
        <v>468</v>
      </c>
      <c r="K221" s="93" t="s">
        <v>469</v>
      </c>
      <c r="L221" s="71">
        <v>2</v>
      </c>
      <c r="M221" s="89">
        <f t="shared" si="28"/>
        <v>6</v>
      </c>
      <c r="N221" s="32" t="s">
        <v>39</v>
      </c>
      <c r="O221" s="60" t="s">
        <v>123</v>
      </c>
      <c r="P221" s="90">
        <v>2</v>
      </c>
      <c r="Q221" s="97">
        <f t="shared" si="29"/>
        <v>12</v>
      </c>
      <c r="R221" s="72"/>
      <c r="S221" s="72"/>
      <c r="T221" s="72"/>
      <c r="U221" s="50"/>
      <c r="V221" s="51"/>
      <c r="W221" s="52"/>
      <c r="X221" s="51"/>
      <c r="Y221" s="51"/>
      <c r="Z221" s="53"/>
      <c r="AA221" s="40"/>
      <c r="AB221" s="41"/>
      <c r="AD221" s="17">
        <f t="shared" si="27"/>
        <v>16652</v>
      </c>
      <c r="AE221" s="18"/>
    </row>
    <row r="222" spans="1:512" ht="230.25" outlineLevel="4" thickBot="1" x14ac:dyDescent="0.25">
      <c r="A222" s="43" t="s">
        <v>843</v>
      </c>
      <c r="B222" s="174" t="s">
        <v>844</v>
      </c>
      <c r="C222" s="171" t="s">
        <v>845</v>
      </c>
      <c r="D222" s="147" t="s">
        <v>846</v>
      </c>
      <c r="E222" s="48" t="s">
        <v>847</v>
      </c>
      <c r="F222" s="48" t="s">
        <v>848</v>
      </c>
      <c r="G222" s="48" t="s">
        <v>438</v>
      </c>
      <c r="H222" s="39" t="s">
        <v>439</v>
      </c>
      <c r="I222" s="69">
        <v>1</v>
      </c>
      <c r="J222" s="70" t="s">
        <v>84</v>
      </c>
      <c r="K222" s="93" t="s">
        <v>849</v>
      </c>
      <c r="L222" s="71">
        <v>1</v>
      </c>
      <c r="M222" s="89">
        <f t="shared" si="28"/>
        <v>1</v>
      </c>
      <c r="N222" s="32" t="s">
        <v>39</v>
      </c>
      <c r="O222" s="53" t="s">
        <v>76</v>
      </c>
      <c r="P222" s="71">
        <v>5</v>
      </c>
      <c r="Q222" s="97">
        <f t="shared" si="9"/>
        <v>5</v>
      </c>
      <c r="R222" s="72"/>
      <c r="S222" s="72"/>
      <c r="T222" s="72"/>
      <c r="U222" s="50"/>
      <c r="V222" s="51"/>
      <c r="W222" s="52"/>
      <c r="X222" s="51"/>
      <c r="Y222" s="51"/>
      <c r="Z222" s="53"/>
      <c r="AA222" s="40"/>
      <c r="AB222" s="41"/>
      <c r="AD222" s="17">
        <f t="shared" si="27"/>
        <v>6006</v>
      </c>
      <c r="AE222" s="18">
        <f t="shared" si="26"/>
        <v>6006</v>
      </c>
    </row>
    <row r="223" spans="1:512" ht="230.25" outlineLevel="4" thickBot="1" x14ac:dyDescent="0.25">
      <c r="A223" s="43" t="s">
        <v>850</v>
      </c>
      <c r="B223" s="175"/>
      <c r="C223" s="172"/>
      <c r="D223" s="148"/>
      <c r="E223" s="48" t="s">
        <v>851</v>
      </c>
      <c r="F223" s="48" t="s">
        <v>852</v>
      </c>
      <c r="G223" s="48" t="s">
        <v>191</v>
      </c>
      <c r="H223" s="88" t="s">
        <v>127</v>
      </c>
      <c r="I223" s="69">
        <v>3</v>
      </c>
      <c r="J223" s="70" t="s">
        <v>74</v>
      </c>
      <c r="K223" s="93" t="s">
        <v>616</v>
      </c>
      <c r="L223" s="71">
        <v>1</v>
      </c>
      <c r="M223" s="89">
        <f t="shared" si="28"/>
        <v>3</v>
      </c>
      <c r="N223" s="32" t="s">
        <v>39</v>
      </c>
      <c r="O223" s="60" t="s">
        <v>123</v>
      </c>
      <c r="P223" s="71">
        <v>3</v>
      </c>
      <c r="Q223" s="97">
        <f t="shared" si="9"/>
        <v>9</v>
      </c>
      <c r="R223" s="72"/>
      <c r="S223" s="72"/>
      <c r="T223" s="72"/>
      <c r="U223" s="50"/>
      <c r="V223" s="51"/>
      <c r="W223" s="52"/>
      <c r="X223" s="51"/>
      <c r="Y223" s="51"/>
      <c r="Z223" s="53"/>
      <c r="AA223" s="40"/>
      <c r="AB223" s="41"/>
      <c r="AD223" s="17">
        <f t="shared" si="27"/>
        <v>6007</v>
      </c>
      <c r="AE223" s="18">
        <f t="shared" si="26"/>
        <v>6007</v>
      </c>
    </row>
    <row r="224" spans="1:512" ht="230.25" outlineLevel="4" thickBot="1" x14ac:dyDescent="0.25">
      <c r="A224" s="43" t="s">
        <v>853</v>
      </c>
      <c r="B224" s="150" t="s">
        <v>854</v>
      </c>
      <c r="C224" s="171" t="s">
        <v>855</v>
      </c>
      <c r="D224" s="147" t="s">
        <v>856</v>
      </c>
      <c r="E224" s="48" t="s">
        <v>198</v>
      </c>
      <c r="F224" s="48" t="s">
        <v>857</v>
      </c>
      <c r="G224" s="48" t="s">
        <v>563</v>
      </c>
      <c r="H224" s="39" t="s">
        <v>61</v>
      </c>
      <c r="I224" s="69">
        <v>1</v>
      </c>
      <c r="J224" s="70" t="s">
        <v>186</v>
      </c>
      <c r="K224" s="93" t="s">
        <v>75</v>
      </c>
      <c r="L224" s="71">
        <v>2</v>
      </c>
      <c r="M224" s="89">
        <f t="shared" si="28"/>
        <v>2</v>
      </c>
      <c r="N224" s="32" t="s">
        <v>39</v>
      </c>
      <c r="O224" s="53" t="s">
        <v>76</v>
      </c>
      <c r="P224" s="71">
        <v>5</v>
      </c>
      <c r="Q224" s="97">
        <f t="shared" si="9"/>
        <v>10</v>
      </c>
      <c r="R224" s="72"/>
      <c r="S224" s="72"/>
      <c r="T224" s="72"/>
      <c r="U224" s="50"/>
      <c r="V224" s="51"/>
      <c r="W224" s="52"/>
      <c r="X224" s="51"/>
      <c r="Y224" s="51"/>
      <c r="Z224" s="53"/>
      <c r="AA224" s="40"/>
      <c r="AB224" s="41"/>
      <c r="AD224" s="17">
        <f t="shared" si="27"/>
        <v>10549</v>
      </c>
      <c r="AE224" s="18"/>
    </row>
    <row r="225" spans="1:31" ht="230.25" outlineLevel="4" thickBot="1" x14ac:dyDescent="0.25">
      <c r="A225" s="43" t="s">
        <v>858</v>
      </c>
      <c r="B225" s="173"/>
      <c r="C225" s="179"/>
      <c r="D225" s="176"/>
      <c r="E225" s="48" t="s">
        <v>565</v>
      </c>
      <c r="F225" s="48" t="s">
        <v>859</v>
      </c>
      <c r="G225" s="37" t="s">
        <v>860</v>
      </c>
      <c r="H225" s="88" t="s">
        <v>127</v>
      </c>
      <c r="I225" s="69">
        <v>3</v>
      </c>
      <c r="J225" s="70" t="s">
        <v>192</v>
      </c>
      <c r="K225" s="93" t="s">
        <v>75</v>
      </c>
      <c r="L225" s="71">
        <v>2</v>
      </c>
      <c r="M225" s="89">
        <f t="shared" si="28"/>
        <v>6</v>
      </c>
      <c r="N225" s="32" t="s">
        <v>39</v>
      </c>
      <c r="O225" s="33" t="s">
        <v>143</v>
      </c>
      <c r="P225" s="71">
        <v>1</v>
      </c>
      <c r="Q225" s="97">
        <f t="shared" si="9"/>
        <v>6</v>
      </c>
      <c r="R225" s="72"/>
      <c r="S225" s="72"/>
      <c r="T225" s="72"/>
      <c r="U225" s="50"/>
      <c r="V225" s="51"/>
      <c r="W225" s="52"/>
      <c r="X225" s="51"/>
      <c r="Y225" s="51"/>
      <c r="Z225" s="53"/>
      <c r="AA225" s="40"/>
      <c r="AB225" s="41"/>
      <c r="AD225" s="17">
        <f t="shared" si="27"/>
        <v>10550</v>
      </c>
      <c r="AE225" s="18"/>
    </row>
    <row r="226" spans="1:31" ht="230.25" outlineLevel="4" thickBot="1" x14ac:dyDescent="0.25">
      <c r="A226" s="43" t="s">
        <v>861</v>
      </c>
      <c r="B226" s="151"/>
      <c r="C226" s="172"/>
      <c r="D226" s="148"/>
      <c r="E226" s="48" t="s">
        <v>570</v>
      </c>
      <c r="F226" s="48" t="s">
        <v>859</v>
      </c>
      <c r="G226" s="37" t="s">
        <v>598</v>
      </c>
      <c r="H226" s="88" t="s">
        <v>127</v>
      </c>
      <c r="I226" s="69">
        <v>3</v>
      </c>
      <c r="J226" s="70" t="s">
        <v>192</v>
      </c>
      <c r="K226" s="93" t="s">
        <v>75</v>
      </c>
      <c r="L226" s="71">
        <v>2</v>
      </c>
      <c r="M226" s="89">
        <f t="shared" si="28"/>
        <v>6</v>
      </c>
      <c r="N226" s="32" t="s">
        <v>39</v>
      </c>
      <c r="O226" s="33" t="s">
        <v>143</v>
      </c>
      <c r="P226" s="71">
        <v>2</v>
      </c>
      <c r="Q226" s="91">
        <f t="shared" si="9"/>
        <v>12</v>
      </c>
      <c r="R226" s="72"/>
      <c r="S226" s="72"/>
      <c r="T226" s="72"/>
      <c r="U226" s="50"/>
      <c r="V226" s="51"/>
      <c r="W226" s="52"/>
      <c r="X226" s="51"/>
      <c r="Y226" s="51"/>
      <c r="Z226" s="53"/>
      <c r="AA226" s="40"/>
      <c r="AB226" s="41"/>
      <c r="AD226" s="17">
        <f t="shared" si="27"/>
        <v>10551</v>
      </c>
      <c r="AE226" s="18"/>
    </row>
    <row r="227" spans="1:31" ht="230.25" outlineLevel="4" thickBot="1" x14ac:dyDescent="0.25">
      <c r="A227" s="43" t="s">
        <v>862</v>
      </c>
      <c r="B227" s="150" t="s">
        <v>863</v>
      </c>
      <c r="C227" s="171" t="s">
        <v>864</v>
      </c>
      <c r="D227" s="147" t="s">
        <v>865</v>
      </c>
      <c r="E227" s="48" t="s">
        <v>198</v>
      </c>
      <c r="F227" s="48" t="s">
        <v>857</v>
      </c>
      <c r="G227" s="48" t="s">
        <v>563</v>
      </c>
      <c r="H227" s="39" t="s">
        <v>61</v>
      </c>
      <c r="I227" s="69">
        <v>1</v>
      </c>
      <c r="J227" s="70" t="s">
        <v>186</v>
      </c>
      <c r="K227" s="93" t="s">
        <v>75</v>
      </c>
      <c r="L227" s="71">
        <v>2</v>
      </c>
      <c r="M227" s="89">
        <f t="shared" si="28"/>
        <v>2</v>
      </c>
      <c r="N227" s="32" t="s">
        <v>39</v>
      </c>
      <c r="O227" s="53" t="s">
        <v>76</v>
      </c>
      <c r="P227" s="71">
        <v>5</v>
      </c>
      <c r="Q227" s="97">
        <f t="shared" si="9"/>
        <v>10</v>
      </c>
      <c r="R227" s="72"/>
      <c r="S227" s="72"/>
      <c r="T227" s="72"/>
      <c r="U227" s="50"/>
      <c r="V227" s="51"/>
      <c r="W227" s="52"/>
      <c r="X227" s="51"/>
      <c r="Y227" s="51"/>
      <c r="Z227" s="53"/>
      <c r="AA227" s="40"/>
      <c r="AB227" s="41"/>
      <c r="AD227" s="17">
        <f t="shared" si="27"/>
        <v>6008</v>
      </c>
      <c r="AE227" s="18">
        <f t="shared" ref="AE227:AE231" si="30">VALUE(RIGHT((IF(A227="",0,A227)),4))</f>
        <v>6008</v>
      </c>
    </row>
    <row r="228" spans="1:31" ht="230.25" outlineLevel="4" thickBot="1" x14ac:dyDescent="0.25">
      <c r="A228" s="43" t="s">
        <v>866</v>
      </c>
      <c r="B228" s="173"/>
      <c r="C228" s="179"/>
      <c r="D228" s="176"/>
      <c r="E228" s="48" t="s">
        <v>565</v>
      </c>
      <c r="F228" s="48" t="s">
        <v>867</v>
      </c>
      <c r="G228" s="48" t="s">
        <v>868</v>
      </c>
      <c r="H228" s="39" t="s">
        <v>869</v>
      </c>
      <c r="I228" s="69">
        <v>2</v>
      </c>
      <c r="J228" s="70" t="s">
        <v>192</v>
      </c>
      <c r="K228" s="93" t="s">
        <v>75</v>
      </c>
      <c r="L228" s="71">
        <v>2</v>
      </c>
      <c r="M228" s="89">
        <f t="shared" si="28"/>
        <v>4</v>
      </c>
      <c r="N228" s="32" t="s">
        <v>39</v>
      </c>
      <c r="O228" s="53" t="s">
        <v>76</v>
      </c>
      <c r="P228" s="71">
        <v>5</v>
      </c>
      <c r="Q228" s="97">
        <f t="shared" si="9"/>
        <v>20</v>
      </c>
      <c r="R228" s="72"/>
      <c r="S228" s="72"/>
      <c r="T228" s="72"/>
      <c r="U228" s="50"/>
      <c r="V228" s="51"/>
      <c r="W228" s="52"/>
      <c r="X228" s="51"/>
      <c r="Y228" s="51"/>
      <c r="Z228" s="53"/>
      <c r="AA228" s="40"/>
      <c r="AB228" s="41"/>
      <c r="AD228" s="17">
        <f t="shared" si="27"/>
        <v>6009</v>
      </c>
      <c r="AE228" s="18">
        <f t="shared" si="30"/>
        <v>6009</v>
      </c>
    </row>
    <row r="229" spans="1:31" ht="332.25" outlineLevel="4" thickBot="1" x14ac:dyDescent="0.25">
      <c r="A229" s="43" t="s">
        <v>870</v>
      </c>
      <c r="B229" s="151"/>
      <c r="C229" s="172"/>
      <c r="D229" s="148"/>
      <c r="E229" s="48" t="s">
        <v>570</v>
      </c>
      <c r="F229" s="48" t="s">
        <v>867</v>
      </c>
      <c r="G229" s="48" t="s">
        <v>868</v>
      </c>
      <c r="H229" s="39" t="s">
        <v>869</v>
      </c>
      <c r="I229" s="69">
        <v>2</v>
      </c>
      <c r="J229" s="70" t="s">
        <v>192</v>
      </c>
      <c r="K229" s="93" t="s">
        <v>871</v>
      </c>
      <c r="L229" s="71">
        <v>2</v>
      </c>
      <c r="M229" s="89">
        <f t="shared" si="28"/>
        <v>4</v>
      </c>
      <c r="N229" s="32" t="s">
        <v>39</v>
      </c>
      <c r="O229" s="33" t="s">
        <v>166</v>
      </c>
      <c r="P229" s="71">
        <v>2</v>
      </c>
      <c r="Q229" s="91">
        <f t="shared" si="9"/>
        <v>8</v>
      </c>
      <c r="R229" s="72"/>
      <c r="S229" s="72"/>
      <c r="T229" s="72"/>
      <c r="U229" s="50"/>
      <c r="V229" s="51"/>
      <c r="W229" s="52"/>
      <c r="X229" s="51"/>
      <c r="Y229" s="51"/>
      <c r="Z229" s="53"/>
      <c r="AA229" s="40"/>
      <c r="AB229" s="41"/>
      <c r="AD229" s="17">
        <f t="shared" si="27"/>
        <v>-9809</v>
      </c>
      <c r="AE229" s="18">
        <f t="shared" si="30"/>
        <v>9809</v>
      </c>
    </row>
    <row r="230" spans="1:31" ht="230.25" outlineLevel="4" thickBot="1" x14ac:dyDescent="0.25">
      <c r="A230" s="43" t="s">
        <v>872</v>
      </c>
      <c r="B230" s="150" t="s">
        <v>873</v>
      </c>
      <c r="C230" s="171" t="s">
        <v>874</v>
      </c>
      <c r="D230" s="147" t="s">
        <v>362</v>
      </c>
      <c r="E230" s="48" t="s">
        <v>875</v>
      </c>
      <c r="F230" s="87" t="s">
        <v>876</v>
      </c>
      <c r="G230" s="87" t="s">
        <v>877</v>
      </c>
      <c r="H230" s="88" t="s">
        <v>107</v>
      </c>
      <c r="I230" s="92">
        <v>1</v>
      </c>
      <c r="J230" s="70" t="s">
        <v>174</v>
      </c>
      <c r="K230" s="93" t="s">
        <v>878</v>
      </c>
      <c r="L230" s="71">
        <v>1</v>
      </c>
      <c r="M230" s="89">
        <f t="shared" si="28"/>
        <v>1</v>
      </c>
      <c r="N230" s="32" t="s">
        <v>39</v>
      </c>
      <c r="O230" s="101" t="s">
        <v>76</v>
      </c>
      <c r="P230" s="71">
        <v>5</v>
      </c>
      <c r="Q230" s="91">
        <f t="shared" si="9"/>
        <v>5</v>
      </c>
      <c r="R230" s="72"/>
      <c r="S230" s="72"/>
      <c r="T230" s="72"/>
      <c r="U230" s="50"/>
      <c r="V230" s="51"/>
      <c r="W230" s="52"/>
      <c r="X230" s="51"/>
      <c r="Y230" s="51"/>
      <c r="Z230" s="53"/>
      <c r="AA230" s="40"/>
      <c r="AB230" s="41"/>
      <c r="AD230" s="17">
        <f t="shared" si="27"/>
        <v>-9810</v>
      </c>
      <c r="AE230" s="18">
        <f t="shared" si="30"/>
        <v>9810</v>
      </c>
    </row>
    <row r="231" spans="1:31" ht="230.25" outlineLevel="4" thickBot="1" x14ac:dyDescent="0.25">
      <c r="A231" s="43" t="s">
        <v>879</v>
      </c>
      <c r="B231" s="173"/>
      <c r="C231" s="172"/>
      <c r="D231" s="148"/>
      <c r="E231" s="48" t="s">
        <v>880</v>
      </c>
      <c r="F231" s="87" t="s">
        <v>881</v>
      </c>
      <c r="G231" s="87" t="s">
        <v>860</v>
      </c>
      <c r="H231" s="88" t="s">
        <v>127</v>
      </c>
      <c r="I231" s="92">
        <v>3</v>
      </c>
      <c r="J231" s="70" t="s">
        <v>882</v>
      </c>
      <c r="K231" s="93" t="s">
        <v>883</v>
      </c>
      <c r="L231" s="71">
        <v>1</v>
      </c>
      <c r="M231" s="89">
        <f t="shared" si="28"/>
        <v>3</v>
      </c>
      <c r="N231" s="32" t="s">
        <v>39</v>
      </c>
      <c r="O231" s="60" t="s">
        <v>884</v>
      </c>
      <c r="P231" s="71">
        <v>1</v>
      </c>
      <c r="Q231" s="91">
        <f t="shared" si="9"/>
        <v>3</v>
      </c>
      <c r="R231" s="72"/>
      <c r="S231" s="72"/>
      <c r="T231" s="72"/>
      <c r="U231" s="50"/>
      <c r="V231" s="51"/>
      <c r="W231" s="52"/>
      <c r="X231" s="51"/>
      <c r="Y231" s="51"/>
      <c r="Z231" s="53"/>
      <c r="AA231" s="40"/>
      <c r="AB231" s="41"/>
      <c r="AD231" s="17">
        <f t="shared" si="27"/>
        <v>-9811</v>
      </c>
      <c r="AE231" s="18">
        <f t="shared" si="30"/>
        <v>9811</v>
      </c>
    </row>
    <row r="232" spans="1:31" ht="230.25" outlineLevel="4" thickBot="1" x14ac:dyDescent="0.25">
      <c r="A232" s="10" t="s">
        <v>885</v>
      </c>
      <c r="B232" s="150" t="s">
        <v>886</v>
      </c>
      <c r="C232" s="171" t="s">
        <v>887</v>
      </c>
      <c r="D232" s="147" t="s">
        <v>888</v>
      </c>
      <c r="E232" s="48" t="s">
        <v>889</v>
      </c>
      <c r="F232" s="48" t="s">
        <v>890</v>
      </c>
      <c r="G232" s="87" t="s">
        <v>860</v>
      </c>
      <c r="H232" s="88" t="s">
        <v>127</v>
      </c>
      <c r="I232" s="102">
        <v>2</v>
      </c>
      <c r="J232" s="48" t="s">
        <v>463</v>
      </c>
      <c r="K232" s="48" t="s">
        <v>891</v>
      </c>
      <c r="L232" s="51">
        <v>1</v>
      </c>
      <c r="M232" s="103">
        <f t="shared" si="28"/>
        <v>2</v>
      </c>
      <c r="N232" s="32" t="s">
        <v>39</v>
      </c>
      <c r="O232" s="33" t="s">
        <v>143</v>
      </c>
      <c r="P232" s="51">
        <v>2</v>
      </c>
      <c r="Q232" s="91">
        <f>M232*P232</f>
        <v>4</v>
      </c>
      <c r="R232" s="72"/>
      <c r="S232" s="72"/>
      <c r="T232" s="72"/>
      <c r="U232" s="50"/>
      <c r="V232" s="51"/>
      <c r="W232" s="52"/>
      <c r="X232" s="51"/>
      <c r="Y232" s="51"/>
      <c r="Z232" s="53"/>
      <c r="AA232" s="40"/>
      <c r="AB232" s="41"/>
      <c r="AD232" s="17">
        <f t="shared" si="27"/>
        <v>-9812</v>
      </c>
      <c r="AE232" s="18"/>
    </row>
    <row r="233" spans="1:31" ht="230.25" outlineLevel="4" thickBot="1" x14ac:dyDescent="0.25">
      <c r="A233" s="10" t="s">
        <v>892</v>
      </c>
      <c r="B233" s="150"/>
      <c r="C233" s="179"/>
      <c r="D233" s="147"/>
      <c r="E233" s="48" t="s">
        <v>893</v>
      </c>
      <c r="F233" s="48" t="s">
        <v>894</v>
      </c>
      <c r="G233" s="48" t="s">
        <v>648</v>
      </c>
      <c r="H233" s="48" t="s">
        <v>107</v>
      </c>
      <c r="I233" s="102">
        <v>1</v>
      </c>
      <c r="J233" s="48" t="s">
        <v>463</v>
      </c>
      <c r="K233" s="48" t="s">
        <v>464</v>
      </c>
      <c r="L233" s="51">
        <v>1</v>
      </c>
      <c r="M233" s="103">
        <f t="shared" si="28"/>
        <v>1</v>
      </c>
      <c r="N233" s="32" t="s">
        <v>39</v>
      </c>
      <c r="O233" s="51" t="s">
        <v>76</v>
      </c>
      <c r="P233" s="71">
        <v>5</v>
      </c>
      <c r="Q233" s="91">
        <f>M233*P233</f>
        <v>5</v>
      </c>
      <c r="R233" s="72"/>
      <c r="S233" s="72"/>
      <c r="T233" s="72"/>
      <c r="U233" s="50"/>
      <c r="V233" s="51"/>
      <c r="W233" s="52"/>
      <c r="X233" s="51"/>
      <c r="Y233" s="51"/>
      <c r="Z233" s="53"/>
      <c r="AA233" s="40"/>
      <c r="AB233" s="41"/>
      <c r="AD233" s="17">
        <f t="shared" si="27"/>
        <v>-9813</v>
      </c>
      <c r="AE233" s="18"/>
    </row>
    <row r="234" spans="1:31" ht="230.25" outlineLevel="4" thickBot="1" x14ac:dyDescent="0.25">
      <c r="A234" s="43" t="s">
        <v>895</v>
      </c>
      <c r="B234" s="38"/>
      <c r="C234" s="172"/>
      <c r="D234" s="37"/>
      <c r="E234" s="48" t="s">
        <v>893</v>
      </c>
      <c r="F234" s="48" t="s">
        <v>894</v>
      </c>
      <c r="G234" s="48" t="s">
        <v>648</v>
      </c>
      <c r="H234" s="48" t="s">
        <v>107</v>
      </c>
      <c r="I234" s="102">
        <v>1</v>
      </c>
      <c r="J234" s="48" t="s">
        <v>463</v>
      </c>
      <c r="K234" s="48" t="s">
        <v>464</v>
      </c>
      <c r="L234" s="51">
        <v>1</v>
      </c>
      <c r="M234" s="103">
        <f t="shared" si="28"/>
        <v>1</v>
      </c>
      <c r="N234" s="32" t="s">
        <v>39</v>
      </c>
      <c r="O234" s="51" t="s">
        <v>76</v>
      </c>
      <c r="P234" s="71">
        <v>5</v>
      </c>
      <c r="Q234" s="91">
        <f t="shared" ref="Q234:Q236" si="31">M234*P234</f>
        <v>5</v>
      </c>
      <c r="R234" s="72"/>
      <c r="S234" s="72"/>
      <c r="T234" s="72"/>
      <c r="U234" s="50"/>
      <c r="V234" s="51"/>
      <c r="W234" s="52"/>
      <c r="X234" s="51"/>
      <c r="Y234" s="51"/>
      <c r="Z234" s="53"/>
      <c r="AA234" s="40"/>
      <c r="AB234" s="41"/>
      <c r="AD234" s="17">
        <f t="shared" si="27"/>
        <v>-9815</v>
      </c>
      <c r="AE234" s="18">
        <f t="shared" ref="AE234:AE237" si="32">VALUE(RIGHT((IF(A234="",0,A234)),4))</f>
        <v>9815</v>
      </c>
    </row>
    <row r="235" spans="1:31" ht="230.25" outlineLevel="4" thickBot="1" x14ac:dyDescent="0.25">
      <c r="A235" s="10" t="s">
        <v>896</v>
      </c>
      <c r="B235" s="149" t="s">
        <v>897</v>
      </c>
      <c r="C235" s="171" t="s">
        <v>898</v>
      </c>
      <c r="D235" s="147" t="s">
        <v>899</v>
      </c>
      <c r="E235" s="104" t="s">
        <v>900</v>
      </c>
      <c r="F235" s="48" t="s">
        <v>901</v>
      </c>
      <c r="G235" s="48" t="s">
        <v>648</v>
      </c>
      <c r="H235" s="48" t="s">
        <v>107</v>
      </c>
      <c r="I235" s="102">
        <v>1</v>
      </c>
      <c r="J235" s="48" t="s">
        <v>463</v>
      </c>
      <c r="K235" s="48" t="s">
        <v>464</v>
      </c>
      <c r="L235" s="51">
        <v>1</v>
      </c>
      <c r="M235" s="103">
        <f t="shared" si="28"/>
        <v>1</v>
      </c>
      <c r="N235" s="32" t="s">
        <v>39</v>
      </c>
      <c r="O235" s="51" t="s">
        <v>76</v>
      </c>
      <c r="P235" s="71">
        <v>5</v>
      </c>
      <c r="Q235" s="91">
        <f t="shared" si="31"/>
        <v>5</v>
      </c>
      <c r="R235" s="72"/>
      <c r="S235" s="72"/>
      <c r="T235" s="72"/>
      <c r="U235" s="50"/>
      <c r="V235" s="51"/>
      <c r="W235" s="52"/>
      <c r="X235" s="51"/>
      <c r="Y235" s="51"/>
      <c r="Z235" s="53"/>
      <c r="AA235" s="40"/>
      <c r="AB235" s="41"/>
      <c r="AD235" s="17">
        <f t="shared" si="27"/>
        <v>-9816</v>
      </c>
      <c r="AE235" s="18">
        <f t="shared" si="32"/>
        <v>9816</v>
      </c>
    </row>
    <row r="236" spans="1:31" ht="230.25" outlineLevel="4" thickBot="1" x14ac:dyDescent="0.25">
      <c r="A236" s="10" t="s">
        <v>902</v>
      </c>
      <c r="B236" s="149"/>
      <c r="C236" s="172"/>
      <c r="D236" s="148"/>
      <c r="E236" s="104" t="s">
        <v>903</v>
      </c>
      <c r="F236" s="48" t="s">
        <v>904</v>
      </c>
      <c r="G236" s="48" t="s">
        <v>905</v>
      </c>
      <c r="H236" s="48" t="s">
        <v>869</v>
      </c>
      <c r="I236" s="102">
        <v>2</v>
      </c>
      <c r="J236" s="48" t="s">
        <v>463</v>
      </c>
      <c r="K236" s="48" t="s">
        <v>906</v>
      </c>
      <c r="L236" s="51">
        <v>1</v>
      </c>
      <c r="M236" s="103">
        <f t="shared" si="28"/>
        <v>2</v>
      </c>
      <c r="N236" s="32" t="s">
        <v>39</v>
      </c>
      <c r="O236" s="51" t="s">
        <v>76</v>
      </c>
      <c r="P236" s="71">
        <v>5</v>
      </c>
      <c r="Q236" s="91">
        <f t="shared" si="31"/>
        <v>10</v>
      </c>
      <c r="R236" s="72"/>
      <c r="S236" s="72"/>
      <c r="T236" s="72"/>
      <c r="U236" s="50"/>
      <c r="V236" s="51"/>
      <c r="W236" s="52"/>
      <c r="X236" s="51"/>
      <c r="Y236" s="51"/>
      <c r="Z236" s="53"/>
      <c r="AA236" s="40"/>
      <c r="AB236" s="41"/>
      <c r="AD236" s="17">
        <f t="shared" si="27"/>
        <v>-9817</v>
      </c>
      <c r="AE236" s="18">
        <f t="shared" si="32"/>
        <v>9817</v>
      </c>
    </row>
    <row r="237" spans="1:31" ht="21" outlineLevel="1" thickBot="1" x14ac:dyDescent="0.25">
      <c r="A237" s="19"/>
      <c r="B237" s="84" t="s">
        <v>907</v>
      </c>
      <c r="C237" s="85"/>
      <c r="D237" s="86"/>
      <c r="E237" s="22"/>
      <c r="F237" s="22"/>
      <c r="G237" s="22"/>
      <c r="H237" s="22"/>
      <c r="I237" s="22"/>
      <c r="J237" s="22"/>
      <c r="K237" s="22"/>
      <c r="L237" s="22"/>
      <c r="M237" s="22"/>
      <c r="N237" s="22"/>
      <c r="O237" s="22"/>
      <c r="P237" s="22"/>
      <c r="Q237" s="22"/>
      <c r="R237" s="22"/>
      <c r="S237" s="22"/>
      <c r="T237" s="22"/>
      <c r="U237" s="23"/>
      <c r="V237" s="22"/>
      <c r="W237" s="22"/>
      <c r="X237" s="22"/>
      <c r="Y237" s="22"/>
      <c r="Z237" s="22"/>
      <c r="AA237" s="22"/>
      <c r="AB237" s="24"/>
      <c r="AD237" s="17">
        <f t="shared" si="27"/>
        <v>0</v>
      </c>
      <c r="AE237" s="18">
        <f t="shared" si="32"/>
        <v>0</v>
      </c>
    </row>
    <row r="238" spans="1:31" ht="230.25" outlineLevel="4" thickBot="1" x14ac:dyDescent="0.25">
      <c r="A238" s="43" t="s">
        <v>908</v>
      </c>
      <c r="B238" s="150" t="s">
        <v>453</v>
      </c>
      <c r="C238" s="171" t="s">
        <v>909</v>
      </c>
      <c r="D238" s="147" t="s">
        <v>910</v>
      </c>
      <c r="E238" s="87" t="s">
        <v>911</v>
      </c>
      <c r="F238" s="51" t="s">
        <v>456</v>
      </c>
      <c r="G238" s="37" t="s">
        <v>457</v>
      </c>
      <c r="H238" s="88" t="s">
        <v>127</v>
      </c>
      <c r="I238" s="27">
        <v>3</v>
      </c>
      <c r="J238" s="70" t="s">
        <v>458</v>
      </c>
      <c r="K238" s="29" t="s">
        <v>459</v>
      </c>
      <c r="L238" s="71">
        <v>1</v>
      </c>
      <c r="M238" s="89">
        <f>I238*L238</f>
        <v>3</v>
      </c>
      <c r="N238" s="32" t="s">
        <v>39</v>
      </c>
      <c r="O238" s="53" t="s">
        <v>460</v>
      </c>
      <c r="P238" s="90">
        <v>2</v>
      </c>
      <c r="Q238" s="91">
        <f t="shared" ref="Q238:Q384" si="33">M238*P238</f>
        <v>6</v>
      </c>
      <c r="R238" s="72"/>
      <c r="S238" s="72"/>
      <c r="T238" s="72"/>
      <c r="U238" s="50"/>
      <c r="V238" s="51"/>
      <c r="W238" s="52"/>
      <c r="X238" s="51"/>
      <c r="Y238" s="51"/>
      <c r="Z238" s="53"/>
      <c r="AA238" s="40"/>
      <c r="AB238" s="41"/>
      <c r="AD238" s="17">
        <f t="shared" si="27"/>
        <v>10552</v>
      </c>
      <c r="AE238" s="18"/>
    </row>
    <row r="239" spans="1:31" ht="230.25" outlineLevel="4" thickBot="1" x14ac:dyDescent="0.25">
      <c r="A239" s="43" t="s">
        <v>912</v>
      </c>
      <c r="B239" s="173"/>
      <c r="C239" s="179"/>
      <c r="D239" s="176"/>
      <c r="E239" s="87" t="s">
        <v>911</v>
      </c>
      <c r="F239" s="51" t="s">
        <v>462</v>
      </c>
      <c r="G239" s="37" t="s">
        <v>457</v>
      </c>
      <c r="H239" s="88" t="s">
        <v>127</v>
      </c>
      <c r="I239" s="27">
        <v>3</v>
      </c>
      <c r="J239" s="70" t="s">
        <v>463</v>
      </c>
      <c r="K239" s="29" t="s">
        <v>464</v>
      </c>
      <c r="L239" s="30">
        <v>1</v>
      </c>
      <c r="M239" s="89">
        <f>I239*L239</f>
        <v>3</v>
      </c>
      <c r="N239" s="32" t="s">
        <v>39</v>
      </c>
      <c r="O239" s="53" t="s">
        <v>460</v>
      </c>
      <c r="P239" s="90">
        <v>2</v>
      </c>
      <c r="Q239" s="91">
        <f t="shared" si="33"/>
        <v>6</v>
      </c>
      <c r="R239" s="72"/>
      <c r="S239" s="72"/>
      <c r="T239" s="72"/>
      <c r="U239" s="50"/>
      <c r="V239" s="51"/>
      <c r="W239" s="52"/>
      <c r="X239" s="51"/>
      <c r="Y239" s="51"/>
      <c r="Z239" s="53"/>
      <c r="AA239" s="40"/>
      <c r="AB239" s="41"/>
      <c r="AD239" s="17">
        <f t="shared" si="27"/>
        <v>10553</v>
      </c>
      <c r="AE239" s="18"/>
    </row>
    <row r="240" spans="1:31" ht="230.25" outlineLevel="4" thickBot="1" x14ac:dyDescent="0.25">
      <c r="A240" s="43" t="s">
        <v>913</v>
      </c>
      <c r="B240" s="151"/>
      <c r="C240" s="172"/>
      <c r="D240" s="148"/>
      <c r="E240" s="87" t="s">
        <v>911</v>
      </c>
      <c r="F240" s="51" t="s">
        <v>467</v>
      </c>
      <c r="G240" s="37" t="s">
        <v>457</v>
      </c>
      <c r="H240" s="88" t="s">
        <v>127</v>
      </c>
      <c r="I240" s="92">
        <v>3</v>
      </c>
      <c r="J240" s="70" t="s">
        <v>914</v>
      </c>
      <c r="K240" s="93" t="s">
        <v>469</v>
      </c>
      <c r="L240" s="71">
        <v>2</v>
      </c>
      <c r="M240" s="89">
        <f t="shared" ref="M240" si="34">I240*L240</f>
        <v>6</v>
      </c>
      <c r="N240" s="32" t="s">
        <v>39</v>
      </c>
      <c r="O240" s="53" t="s">
        <v>460</v>
      </c>
      <c r="P240" s="94">
        <v>2</v>
      </c>
      <c r="Q240" s="91">
        <f>M240*P240</f>
        <v>12</v>
      </c>
      <c r="R240" s="72"/>
      <c r="S240" s="72"/>
      <c r="T240" s="72"/>
      <c r="U240" s="50"/>
      <c r="V240" s="51"/>
      <c r="W240" s="52"/>
      <c r="X240" s="51"/>
      <c r="Y240" s="51"/>
      <c r="Z240" s="53"/>
      <c r="AA240" s="40"/>
      <c r="AB240" s="41"/>
      <c r="AD240" s="17">
        <f t="shared" si="27"/>
        <v>16653</v>
      </c>
      <c r="AE240" s="18"/>
    </row>
    <row r="241" spans="1:31" ht="230.25" outlineLevel="4" thickBot="1" x14ac:dyDescent="0.25">
      <c r="A241" s="43" t="s">
        <v>915</v>
      </c>
      <c r="B241" s="150" t="s">
        <v>453</v>
      </c>
      <c r="C241" s="171" t="s">
        <v>916</v>
      </c>
      <c r="D241" s="147" t="s">
        <v>917</v>
      </c>
      <c r="E241" s="87" t="s">
        <v>911</v>
      </c>
      <c r="F241" s="51" t="s">
        <v>473</v>
      </c>
      <c r="G241" s="37" t="s">
        <v>457</v>
      </c>
      <c r="H241" s="88" t="s">
        <v>127</v>
      </c>
      <c r="I241" s="92">
        <v>3</v>
      </c>
      <c r="J241" s="70" t="s">
        <v>463</v>
      </c>
      <c r="K241" s="93" t="s">
        <v>459</v>
      </c>
      <c r="L241" s="71">
        <v>1</v>
      </c>
      <c r="M241" s="89">
        <f>I241*L241</f>
        <v>3</v>
      </c>
      <c r="N241" s="32" t="s">
        <v>39</v>
      </c>
      <c r="O241" s="53" t="s">
        <v>460</v>
      </c>
      <c r="P241" s="94">
        <v>2</v>
      </c>
      <c r="Q241" s="91">
        <f t="shared" si="33"/>
        <v>6</v>
      </c>
      <c r="R241" s="72"/>
      <c r="S241" s="72"/>
      <c r="T241" s="72"/>
      <c r="U241" s="50"/>
      <c r="V241" s="51"/>
      <c r="W241" s="52"/>
      <c r="X241" s="51"/>
      <c r="Y241" s="51"/>
      <c r="Z241" s="53"/>
      <c r="AA241" s="40"/>
      <c r="AB241" s="41"/>
      <c r="AD241" s="17">
        <f t="shared" si="27"/>
        <v>10554</v>
      </c>
      <c r="AE241" s="18"/>
    </row>
    <row r="242" spans="1:31" ht="230.25" outlineLevel="4" thickBot="1" x14ac:dyDescent="0.25">
      <c r="A242" s="43" t="s">
        <v>918</v>
      </c>
      <c r="B242" s="173"/>
      <c r="C242" s="179"/>
      <c r="D242" s="176"/>
      <c r="E242" s="87" t="s">
        <v>911</v>
      </c>
      <c r="F242" s="51" t="s">
        <v>475</v>
      </c>
      <c r="G242" s="37" t="s">
        <v>457</v>
      </c>
      <c r="H242" s="88" t="s">
        <v>127</v>
      </c>
      <c r="I242" s="92">
        <v>3</v>
      </c>
      <c r="J242" s="70" t="s">
        <v>463</v>
      </c>
      <c r="K242" s="93" t="s">
        <v>464</v>
      </c>
      <c r="L242" s="71">
        <v>1</v>
      </c>
      <c r="M242" s="89">
        <f>I242*L242</f>
        <v>3</v>
      </c>
      <c r="N242" s="32" t="s">
        <v>39</v>
      </c>
      <c r="O242" s="53" t="s">
        <v>460</v>
      </c>
      <c r="P242" s="94">
        <v>2</v>
      </c>
      <c r="Q242" s="91">
        <f t="shared" si="33"/>
        <v>6</v>
      </c>
      <c r="R242" s="72"/>
      <c r="S242" s="72"/>
      <c r="T242" s="72"/>
      <c r="U242" s="50"/>
      <c r="V242" s="51"/>
      <c r="W242" s="52"/>
      <c r="X242" s="51"/>
      <c r="Y242" s="51"/>
      <c r="Z242" s="53"/>
      <c r="AA242" s="40"/>
      <c r="AB242" s="41"/>
      <c r="AD242" s="17">
        <f t="shared" si="27"/>
        <v>10555</v>
      </c>
      <c r="AE242" s="18"/>
    </row>
    <row r="243" spans="1:31" ht="230.25" outlineLevel="4" thickBot="1" x14ac:dyDescent="0.25">
      <c r="A243" s="43" t="s">
        <v>919</v>
      </c>
      <c r="B243" s="151"/>
      <c r="C243" s="172"/>
      <c r="D243" s="148"/>
      <c r="E243" s="87" t="s">
        <v>911</v>
      </c>
      <c r="F243" s="51" t="s">
        <v>467</v>
      </c>
      <c r="G243" s="37" t="s">
        <v>457</v>
      </c>
      <c r="H243" s="88" t="s">
        <v>127</v>
      </c>
      <c r="I243" s="92">
        <v>3</v>
      </c>
      <c r="J243" s="70" t="s">
        <v>914</v>
      </c>
      <c r="K243" s="93" t="s">
        <v>469</v>
      </c>
      <c r="L243" s="71">
        <v>2</v>
      </c>
      <c r="M243" s="89">
        <f t="shared" ref="M243" si="35">I243*L243</f>
        <v>6</v>
      </c>
      <c r="N243" s="32" t="s">
        <v>39</v>
      </c>
      <c r="O243" s="53" t="s">
        <v>460</v>
      </c>
      <c r="P243" s="94">
        <v>2</v>
      </c>
      <c r="Q243" s="91">
        <f>P243*M243</f>
        <v>12</v>
      </c>
      <c r="R243" s="72"/>
      <c r="S243" s="72"/>
      <c r="T243" s="72"/>
      <c r="U243" s="50"/>
      <c r="V243" s="51"/>
      <c r="W243" s="52"/>
      <c r="X243" s="51"/>
      <c r="Y243" s="51"/>
      <c r="Z243" s="53"/>
      <c r="AA243" s="40"/>
      <c r="AB243" s="41"/>
      <c r="AD243" s="17">
        <f t="shared" si="27"/>
        <v>16654</v>
      </c>
      <c r="AE243" s="18"/>
    </row>
    <row r="244" spans="1:31" ht="268.5" outlineLevel="4" thickBot="1" x14ac:dyDescent="0.25">
      <c r="A244" s="43" t="s">
        <v>920</v>
      </c>
      <c r="B244" s="173" t="s">
        <v>921</v>
      </c>
      <c r="C244" s="179" t="s">
        <v>922</v>
      </c>
      <c r="D244" s="176" t="s">
        <v>923</v>
      </c>
      <c r="E244" s="87" t="s">
        <v>911</v>
      </c>
      <c r="F244" s="51" t="s">
        <v>480</v>
      </c>
      <c r="G244" s="37" t="s">
        <v>481</v>
      </c>
      <c r="H244" s="88" t="s">
        <v>482</v>
      </c>
      <c r="I244" s="92">
        <v>3</v>
      </c>
      <c r="J244" s="70" t="s">
        <v>463</v>
      </c>
      <c r="K244" s="93" t="s">
        <v>459</v>
      </c>
      <c r="L244" s="71">
        <v>1</v>
      </c>
      <c r="M244" s="89">
        <f>I244*L244</f>
        <v>3</v>
      </c>
      <c r="N244" s="32" t="s">
        <v>39</v>
      </c>
      <c r="O244" s="53" t="s">
        <v>483</v>
      </c>
      <c r="P244" s="94">
        <v>3</v>
      </c>
      <c r="Q244" s="91">
        <f t="shared" si="33"/>
        <v>9</v>
      </c>
      <c r="R244" s="72"/>
      <c r="S244" s="72"/>
      <c r="T244" s="72"/>
      <c r="U244" s="50"/>
      <c r="V244" s="51"/>
      <c r="W244" s="52"/>
      <c r="X244" s="51"/>
      <c r="Y244" s="51"/>
      <c r="Z244" s="53"/>
      <c r="AA244" s="40"/>
      <c r="AB244" s="41"/>
      <c r="AD244" s="17">
        <f t="shared" si="27"/>
        <v>-9793</v>
      </c>
      <c r="AE244" s="18"/>
    </row>
    <row r="245" spans="1:31" ht="230.25" outlineLevel="4" thickBot="1" x14ac:dyDescent="0.25">
      <c r="A245" s="43" t="s">
        <v>924</v>
      </c>
      <c r="B245" s="173"/>
      <c r="C245" s="179"/>
      <c r="D245" s="176"/>
      <c r="E245" s="87" t="s">
        <v>911</v>
      </c>
      <c r="F245" s="51" t="s">
        <v>485</v>
      </c>
      <c r="G245" s="37" t="s">
        <v>486</v>
      </c>
      <c r="H245" s="88" t="s">
        <v>127</v>
      </c>
      <c r="I245" s="92">
        <v>3</v>
      </c>
      <c r="J245" s="70" t="s">
        <v>463</v>
      </c>
      <c r="K245" s="93" t="s">
        <v>487</v>
      </c>
      <c r="L245" s="71">
        <v>1</v>
      </c>
      <c r="M245" s="89">
        <f>I245*L245</f>
        <v>3</v>
      </c>
      <c r="N245" s="32" t="s">
        <v>39</v>
      </c>
      <c r="O245" s="53" t="s">
        <v>488</v>
      </c>
      <c r="P245" s="94">
        <v>2</v>
      </c>
      <c r="Q245" s="91">
        <f t="shared" si="33"/>
        <v>6</v>
      </c>
      <c r="R245" s="72"/>
      <c r="S245" s="72"/>
      <c r="T245" s="72"/>
      <c r="U245" s="50"/>
      <c r="V245" s="51"/>
      <c r="W245" s="52"/>
      <c r="X245" s="51"/>
      <c r="Y245" s="51"/>
      <c r="Z245" s="53"/>
      <c r="AA245" s="40"/>
      <c r="AB245" s="41"/>
      <c r="AD245" s="17">
        <f t="shared" si="27"/>
        <v>-9794</v>
      </c>
      <c r="AE245" s="18"/>
    </row>
    <row r="246" spans="1:31" ht="230.25" outlineLevel="4" thickBot="1" x14ac:dyDescent="0.25">
      <c r="A246" s="43" t="s">
        <v>925</v>
      </c>
      <c r="B246" s="151"/>
      <c r="C246" s="172"/>
      <c r="D246" s="148"/>
      <c r="E246" s="87" t="s">
        <v>911</v>
      </c>
      <c r="F246" s="51" t="s">
        <v>490</v>
      </c>
      <c r="G246" s="37" t="s">
        <v>457</v>
      </c>
      <c r="H246" s="88" t="s">
        <v>127</v>
      </c>
      <c r="I246" s="92">
        <v>3</v>
      </c>
      <c r="J246" s="70" t="s">
        <v>914</v>
      </c>
      <c r="K246" s="93" t="s">
        <v>469</v>
      </c>
      <c r="L246" s="71">
        <v>2</v>
      </c>
      <c r="M246" s="89">
        <f t="shared" ref="M246:M251" si="36">I246*L246</f>
        <v>6</v>
      </c>
      <c r="N246" s="32" t="s">
        <v>39</v>
      </c>
      <c r="O246" s="53" t="s">
        <v>491</v>
      </c>
      <c r="P246" s="94">
        <v>2</v>
      </c>
      <c r="Q246" s="91">
        <f>P246*M246</f>
        <v>12</v>
      </c>
      <c r="R246" s="72"/>
      <c r="S246" s="72"/>
      <c r="T246" s="72"/>
      <c r="U246" s="50"/>
      <c r="V246" s="51"/>
      <c r="W246" s="52"/>
      <c r="X246" s="51"/>
      <c r="Y246" s="51"/>
      <c r="Z246" s="53"/>
      <c r="AA246" s="40"/>
      <c r="AB246" s="41"/>
      <c r="AD246" s="17">
        <f t="shared" si="27"/>
        <v>16655</v>
      </c>
      <c r="AE246" s="18"/>
    </row>
    <row r="247" spans="1:31" ht="230.25" outlineLevel="4" thickBot="1" x14ac:dyDescent="0.25">
      <c r="A247" s="43" t="s">
        <v>502</v>
      </c>
      <c r="B247" s="174" t="s">
        <v>926</v>
      </c>
      <c r="C247" s="75" t="s">
        <v>504</v>
      </c>
      <c r="D247" s="147" t="s">
        <v>505</v>
      </c>
      <c r="E247" s="48" t="s">
        <v>506</v>
      </c>
      <c r="F247" s="48" t="s">
        <v>507</v>
      </c>
      <c r="G247" s="37" t="s">
        <v>191</v>
      </c>
      <c r="H247" s="88" t="s">
        <v>127</v>
      </c>
      <c r="I247" s="69">
        <v>3</v>
      </c>
      <c r="J247" s="70" t="s">
        <v>84</v>
      </c>
      <c r="K247" s="29" t="s">
        <v>508</v>
      </c>
      <c r="L247" s="71">
        <v>1</v>
      </c>
      <c r="M247" s="89">
        <f t="shared" si="36"/>
        <v>3</v>
      </c>
      <c r="N247" s="32" t="s">
        <v>39</v>
      </c>
      <c r="O247" s="33" t="s">
        <v>166</v>
      </c>
      <c r="P247" s="71">
        <v>1</v>
      </c>
      <c r="Q247" s="97">
        <f t="shared" si="33"/>
        <v>3</v>
      </c>
      <c r="R247" s="72"/>
      <c r="S247" s="72"/>
      <c r="T247" s="72"/>
      <c r="U247" s="50"/>
      <c r="V247" s="51"/>
      <c r="W247" s="52"/>
      <c r="X247" s="51"/>
      <c r="Y247" s="51"/>
      <c r="Z247" s="53"/>
      <c r="AA247" s="40"/>
      <c r="AB247" s="41"/>
      <c r="AD247" s="17">
        <f t="shared" si="27"/>
        <v>10495</v>
      </c>
      <c r="AE247" s="18"/>
    </row>
    <row r="248" spans="1:31" ht="230.25" outlineLevel="4" thickBot="1" x14ac:dyDescent="0.25">
      <c r="A248" s="43" t="s">
        <v>509</v>
      </c>
      <c r="B248" s="175"/>
      <c r="C248" s="77"/>
      <c r="D248" s="148"/>
      <c r="E248" s="48" t="s">
        <v>510</v>
      </c>
      <c r="F248" s="48" t="s">
        <v>511</v>
      </c>
      <c r="G248" s="37" t="s">
        <v>512</v>
      </c>
      <c r="H248" s="88" t="s">
        <v>107</v>
      </c>
      <c r="I248" s="69">
        <v>1</v>
      </c>
      <c r="J248" s="70" t="s">
        <v>74</v>
      </c>
      <c r="K248" s="29" t="s">
        <v>75</v>
      </c>
      <c r="L248" s="71">
        <v>1</v>
      </c>
      <c r="M248" s="89">
        <f t="shared" si="36"/>
        <v>1</v>
      </c>
      <c r="N248" s="32" t="s">
        <v>39</v>
      </c>
      <c r="O248" s="53" t="s">
        <v>76</v>
      </c>
      <c r="P248" s="71">
        <v>5</v>
      </c>
      <c r="Q248" s="97">
        <f t="shared" si="33"/>
        <v>5</v>
      </c>
      <c r="R248" s="72"/>
      <c r="S248" s="72"/>
      <c r="T248" s="72"/>
      <c r="U248" s="50"/>
      <c r="V248" s="51"/>
      <c r="W248" s="52"/>
      <c r="X248" s="51"/>
      <c r="Y248" s="51"/>
      <c r="Z248" s="53"/>
      <c r="AA248" s="40"/>
      <c r="AB248" s="41"/>
      <c r="AD248" s="17">
        <f t="shared" si="27"/>
        <v>10496</v>
      </c>
      <c r="AE248" s="18"/>
    </row>
    <row r="249" spans="1:31" ht="230.25" outlineLevel="4" thickBot="1" x14ac:dyDescent="0.25">
      <c r="A249" s="43" t="s">
        <v>513</v>
      </c>
      <c r="B249" s="174" t="s">
        <v>927</v>
      </c>
      <c r="C249" s="171" t="s">
        <v>515</v>
      </c>
      <c r="D249" s="147" t="s">
        <v>505</v>
      </c>
      <c r="E249" s="48" t="s">
        <v>516</v>
      </c>
      <c r="F249" s="48" t="s">
        <v>511</v>
      </c>
      <c r="G249" s="37" t="s">
        <v>512</v>
      </c>
      <c r="H249" s="88" t="s">
        <v>107</v>
      </c>
      <c r="I249" s="69">
        <v>1</v>
      </c>
      <c r="J249" s="70" t="s">
        <v>84</v>
      </c>
      <c r="K249" s="29" t="s">
        <v>75</v>
      </c>
      <c r="L249" s="71">
        <v>1</v>
      </c>
      <c r="M249" s="89">
        <f t="shared" si="36"/>
        <v>1</v>
      </c>
      <c r="N249" s="32" t="s">
        <v>39</v>
      </c>
      <c r="O249" s="53" t="s">
        <v>76</v>
      </c>
      <c r="P249" s="71">
        <v>5</v>
      </c>
      <c r="Q249" s="97">
        <f t="shared" si="33"/>
        <v>5</v>
      </c>
      <c r="R249" s="72"/>
      <c r="S249" s="72"/>
      <c r="T249" s="72"/>
      <c r="U249" s="50"/>
      <c r="V249" s="51"/>
      <c r="W249" s="52"/>
      <c r="X249" s="51"/>
      <c r="Y249" s="51"/>
      <c r="Z249" s="53"/>
      <c r="AA249" s="40"/>
      <c r="AB249" s="41"/>
      <c r="AD249" s="17">
        <f t="shared" si="27"/>
        <v>10497</v>
      </c>
      <c r="AE249" s="18"/>
    </row>
    <row r="250" spans="1:31" ht="230.25" outlineLevel="4" thickBot="1" x14ac:dyDescent="0.25">
      <c r="A250" s="43" t="s">
        <v>517</v>
      </c>
      <c r="B250" s="175"/>
      <c r="C250" s="172"/>
      <c r="D250" s="148"/>
      <c r="E250" s="48" t="s">
        <v>518</v>
      </c>
      <c r="F250" s="48" t="s">
        <v>519</v>
      </c>
      <c r="G250" s="37" t="s">
        <v>512</v>
      </c>
      <c r="H250" s="88" t="s">
        <v>147</v>
      </c>
      <c r="I250" s="69">
        <v>1</v>
      </c>
      <c r="J250" s="70" t="s">
        <v>74</v>
      </c>
      <c r="K250" s="29" t="s">
        <v>75</v>
      </c>
      <c r="L250" s="71">
        <v>1</v>
      </c>
      <c r="M250" s="89">
        <f t="shared" si="36"/>
        <v>1</v>
      </c>
      <c r="N250" s="32" t="s">
        <v>39</v>
      </c>
      <c r="O250" s="53" t="s">
        <v>76</v>
      </c>
      <c r="P250" s="71">
        <v>5</v>
      </c>
      <c r="Q250" s="97">
        <f t="shared" si="33"/>
        <v>5</v>
      </c>
      <c r="R250" s="72"/>
      <c r="S250" s="72"/>
      <c r="T250" s="72"/>
      <c r="U250" s="50"/>
      <c r="V250" s="51"/>
      <c r="W250" s="52"/>
      <c r="X250" s="51"/>
      <c r="Y250" s="51"/>
      <c r="Z250" s="53"/>
      <c r="AA250" s="40"/>
      <c r="AB250" s="41"/>
      <c r="AD250" s="17">
        <f t="shared" si="27"/>
        <v>10498</v>
      </c>
      <c r="AE250" s="18"/>
    </row>
    <row r="251" spans="1:31" ht="230.25" outlineLevel="4" thickBot="1" x14ac:dyDescent="0.25">
      <c r="A251" s="43" t="s">
        <v>520</v>
      </c>
      <c r="B251" s="174" t="s">
        <v>928</v>
      </c>
      <c r="C251" s="171" t="s">
        <v>522</v>
      </c>
      <c r="D251" s="147" t="s">
        <v>505</v>
      </c>
      <c r="E251" s="48" t="s">
        <v>516</v>
      </c>
      <c r="F251" s="48" t="s">
        <v>511</v>
      </c>
      <c r="G251" s="37" t="s">
        <v>512</v>
      </c>
      <c r="H251" s="88" t="s">
        <v>107</v>
      </c>
      <c r="I251" s="69">
        <v>1</v>
      </c>
      <c r="J251" s="70" t="s">
        <v>84</v>
      </c>
      <c r="K251" s="29" t="s">
        <v>75</v>
      </c>
      <c r="L251" s="71">
        <v>1</v>
      </c>
      <c r="M251" s="89">
        <f t="shared" si="36"/>
        <v>1</v>
      </c>
      <c r="N251" s="32" t="s">
        <v>39</v>
      </c>
      <c r="O251" s="53" t="s">
        <v>76</v>
      </c>
      <c r="P251" s="71">
        <v>5</v>
      </c>
      <c r="Q251" s="97">
        <f t="shared" si="33"/>
        <v>5</v>
      </c>
      <c r="R251" s="72"/>
      <c r="S251" s="72"/>
      <c r="T251" s="72"/>
      <c r="U251" s="50"/>
      <c r="V251" s="51"/>
      <c r="W251" s="52"/>
      <c r="X251" s="51"/>
      <c r="Y251" s="51"/>
      <c r="Z251" s="53"/>
      <c r="AA251" s="40"/>
      <c r="AB251" s="41"/>
      <c r="AD251" s="17">
        <f t="shared" si="27"/>
        <v>10499</v>
      </c>
      <c r="AE251" s="18"/>
    </row>
    <row r="252" spans="1:31" ht="230.25" outlineLevel="4" thickBot="1" x14ac:dyDescent="0.25">
      <c r="A252" s="43" t="s">
        <v>523</v>
      </c>
      <c r="B252" s="175"/>
      <c r="C252" s="172"/>
      <c r="D252" s="148"/>
      <c r="E252" s="48" t="s">
        <v>518</v>
      </c>
      <c r="F252" s="48" t="s">
        <v>524</v>
      </c>
      <c r="G252" s="25" t="s">
        <v>126</v>
      </c>
      <c r="H252" s="26" t="s">
        <v>127</v>
      </c>
      <c r="I252" s="42">
        <v>3</v>
      </c>
      <c r="J252" s="28" t="s">
        <v>47</v>
      </c>
      <c r="K252" s="29" t="s">
        <v>525</v>
      </c>
      <c r="L252" s="30">
        <v>2</v>
      </c>
      <c r="M252" s="31">
        <f>I252*L252</f>
        <v>6</v>
      </c>
      <c r="N252" s="32" t="s">
        <v>39</v>
      </c>
      <c r="O252" s="60" t="s">
        <v>123</v>
      </c>
      <c r="P252" s="71">
        <v>1</v>
      </c>
      <c r="Q252" s="97">
        <f t="shared" si="33"/>
        <v>6</v>
      </c>
      <c r="R252" s="72"/>
      <c r="S252" s="72"/>
      <c r="T252" s="72"/>
      <c r="U252" s="50"/>
      <c r="V252" s="51"/>
      <c r="W252" s="52"/>
      <c r="X252" s="51"/>
      <c r="Y252" s="51"/>
      <c r="Z252" s="53"/>
      <c r="AA252" s="40"/>
      <c r="AB252" s="41"/>
      <c r="AD252" s="17">
        <f t="shared" si="27"/>
        <v>10500</v>
      </c>
      <c r="AE252" s="18"/>
    </row>
    <row r="253" spans="1:31" ht="230.25" outlineLevel="4" thickBot="1" x14ac:dyDescent="0.25">
      <c r="A253" s="43" t="s">
        <v>526</v>
      </c>
      <c r="B253" s="174" t="s">
        <v>929</v>
      </c>
      <c r="C253" s="171" t="s">
        <v>528</v>
      </c>
      <c r="D253" s="147" t="s">
        <v>529</v>
      </c>
      <c r="E253" s="48" t="s">
        <v>506</v>
      </c>
      <c r="F253" s="48" t="s">
        <v>530</v>
      </c>
      <c r="G253" s="37" t="s">
        <v>191</v>
      </c>
      <c r="H253" s="88" t="s">
        <v>127</v>
      </c>
      <c r="I253" s="69">
        <v>3</v>
      </c>
      <c r="J253" s="70" t="s">
        <v>84</v>
      </c>
      <c r="K253" s="29" t="s">
        <v>525</v>
      </c>
      <c r="L253" s="71">
        <v>1</v>
      </c>
      <c r="M253" s="89">
        <f t="shared" ref="M253:M257" si="37">I253*L253</f>
        <v>3</v>
      </c>
      <c r="N253" s="32" t="s">
        <v>39</v>
      </c>
      <c r="O253" s="60" t="s">
        <v>531</v>
      </c>
      <c r="P253" s="71">
        <v>1</v>
      </c>
      <c r="Q253" s="97">
        <f t="shared" si="33"/>
        <v>3</v>
      </c>
      <c r="R253" s="72"/>
      <c r="S253" s="72"/>
      <c r="T253" s="72"/>
      <c r="U253" s="50"/>
      <c r="V253" s="51"/>
      <c r="W253" s="52"/>
      <c r="X253" s="51"/>
      <c r="Y253" s="51"/>
      <c r="Z253" s="53"/>
      <c r="AA253" s="40"/>
      <c r="AB253" s="41"/>
      <c r="AD253" s="17">
        <f t="shared" si="27"/>
        <v>10501</v>
      </c>
      <c r="AE253" s="18"/>
    </row>
    <row r="254" spans="1:31" ht="230.25" outlineLevel="4" thickBot="1" x14ac:dyDescent="0.25">
      <c r="A254" s="43" t="s">
        <v>532</v>
      </c>
      <c r="B254" s="175"/>
      <c r="C254" s="172"/>
      <c r="D254" s="148"/>
      <c r="E254" s="48" t="s">
        <v>510</v>
      </c>
      <c r="F254" s="48" t="s">
        <v>511</v>
      </c>
      <c r="G254" s="37" t="s">
        <v>512</v>
      </c>
      <c r="H254" s="88" t="s">
        <v>107</v>
      </c>
      <c r="I254" s="69">
        <v>1</v>
      </c>
      <c r="J254" s="70" t="s">
        <v>74</v>
      </c>
      <c r="K254" s="29" t="s">
        <v>75</v>
      </c>
      <c r="L254" s="71">
        <v>1</v>
      </c>
      <c r="M254" s="89">
        <f t="shared" si="37"/>
        <v>1</v>
      </c>
      <c r="N254" s="32" t="s">
        <v>39</v>
      </c>
      <c r="O254" s="53" t="s">
        <v>76</v>
      </c>
      <c r="P254" s="71">
        <v>5</v>
      </c>
      <c r="Q254" s="97">
        <f t="shared" si="33"/>
        <v>5</v>
      </c>
      <c r="R254" s="72"/>
      <c r="S254" s="72"/>
      <c r="T254" s="72"/>
      <c r="U254" s="50"/>
      <c r="V254" s="51"/>
      <c r="W254" s="52"/>
      <c r="X254" s="51"/>
      <c r="Y254" s="51"/>
      <c r="Z254" s="53"/>
      <c r="AA254" s="40"/>
      <c r="AB254" s="41"/>
      <c r="AD254" s="17">
        <f t="shared" si="27"/>
        <v>10502</v>
      </c>
      <c r="AE254" s="18"/>
    </row>
    <row r="255" spans="1:31" ht="230.25" outlineLevel="4" thickBot="1" x14ac:dyDescent="0.25">
      <c r="A255" s="43" t="s">
        <v>533</v>
      </c>
      <c r="B255" s="174" t="s">
        <v>930</v>
      </c>
      <c r="C255" s="171" t="s">
        <v>535</v>
      </c>
      <c r="D255" s="147" t="s">
        <v>529</v>
      </c>
      <c r="E255" s="48" t="s">
        <v>516</v>
      </c>
      <c r="F255" s="48" t="s">
        <v>511</v>
      </c>
      <c r="G255" s="37" t="s">
        <v>512</v>
      </c>
      <c r="H255" s="88" t="s">
        <v>107</v>
      </c>
      <c r="I255" s="69">
        <v>1</v>
      </c>
      <c r="J255" s="70" t="s">
        <v>84</v>
      </c>
      <c r="K255" s="29" t="s">
        <v>75</v>
      </c>
      <c r="L255" s="71">
        <v>1</v>
      </c>
      <c r="M255" s="89">
        <f t="shared" si="37"/>
        <v>1</v>
      </c>
      <c r="N255" s="32" t="s">
        <v>39</v>
      </c>
      <c r="O255" s="53" t="s">
        <v>76</v>
      </c>
      <c r="P255" s="71">
        <v>5</v>
      </c>
      <c r="Q255" s="97">
        <f t="shared" si="33"/>
        <v>5</v>
      </c>
      <c r="R255" s="72"/>
      <c r="S255" s="72"/>
      <c r="T255" s="72"/>
      <c r="U255" s="50"/>
      <c r="V255" s="51"/>
      <c r="W255" s="52"/>
      <c r="X255" s="51"/>
      <c r="Y255" s="51"/>
      <c r="Z255" s="53"/>
      <c r="AA255" s="40"/>
      <c r="AB255" s="41"/>
      <c r="AD255" s="17">
        <f t="shared" si="27"/>
        <v>10503</v>
      </c>
      <c r="AE255" s="18"/>
    </row>
    <row r="256" spans="1:31" ht="230.25" outlineLevel="4" thickBot="1" x14ac:dyDescent="0.25">
      <c r="A256" s="43" t="s">
        <v>536</v>
      </c>
      <c r="B256" s="175"/>
      <c r="C256" s="172"/>
      <c r="D256" s="148"/>
      <c r="E256" s="48" t="s">
        <v>518</v>
      </c>
      <c r="F256" s="48" t="s">
        <v>519</v>
      </c>
      <c r="G256" s="37" t="s">
        <v>512</v>
      </c>
      <c r="H256" s="88" t="s">
        <v>147</v>
      </c>
      <c r="I256" s="69">
        <v>1</v>
      </c>
      <c r="J256" s="70" t="s">
        <v>74</v>
      </c>
      <c r="K256" s="29" t="s">
        <v>75</v>
      </c>
      <c r="L256" s="71">
        <v>1</v>
      </c>
      <c r="M256" s="89">
        <f t="shared" si="37"/>
        <v>1</v>
      </c>
      <c r="N256" s="32" t="s">
        <v>39</v>
      </c>
      <c r="O256" s="53" t="s">
        <v>76</v>
      </c>
      <c r="P256" s="71">
        <v>5</v>
      </c>
      <c r="Q256" s="97">
        <f t="shared" si="33"/>
        <v>5</v>
      </c>
      <c r="R256" s="72"/>
      <c r="S256" s="72"/>
      <c r="T256" s="72"/>
      <c r="U256" s="50"/>
      <c r="V256" s="51"/>
      <c r="W256" s="52"/>
      <c r="X256" s="51"/>
      <c r="Y256" s="51"/>
      <c r="Z256" s="53"/>
      <c r="AA256" s="40"/>
      <c r="AB256" s="41"/>
      <c r="AD256" s="17">
        <f t="shared" si="27"/>
        <v>10504</v>
      </c>
      <c r="AE256" s="18"/>
    </row>
    <row r="257" spans="1:31" ht="230.25" outlineLevel="4" thickBot="1" x14ac:dyDescent="0.25">
      <c r="A257" s="43" t="s">
        <v>537</v>
      </c>
      <c r="B257" s="174" t="s">
        <v>931</v>
      </c>
      <c r="C257" s="171" t="s">
        <v>539</v>
      </c>
      <c r="D257" s="147" t="s">
        <v>529</v>
      </c>
      <c r="E257" s="48" t="s">
        <v>516</v>
      </c>
      <c r="F257" s="48" t="s">
        <v>511</v>
      </c>
      <c r="G257" s="37" t="s">
        <v>512</v>
      </c>
      <c r="H257" s="88" t="s">
        <v>107</v>
      </c>
      <c r="I257" s="69">
        <v>1</v>
      </c>
      <c r="J257" s="70" t="s">
        <v>84</v>
      </c>
      <c r="K257" s="29" t="s">
        <v>75</v>
      </c>
      <c r="L257" s="71">
        <v>1</v>
      </c>
      <c r="M257" s="89">
        <f t="shared" si="37"/>
        <v>1</v>
      </c>
      <c r="N257" s="32" t="s">
        <v>39</v>
      </c>
      <c r="O257" s="53" t="s">
        <v>76</v>
      </c>
      <c r="P257" s="71">
        <v>5</v>
      </c>
      <c r="Q257" s="97">
        <f t="shared" si="33"/>
        <v>5</v>
      </c>
      <c r="R257" s="72"/>
      <c r="S257" s="72"/>
      <c r="T257" s="72"/>
      <c r="U257" s="50"/>
      <c r="V257" s="51"/>
      <c r="W257" s="52"/>
      <c r="X257" s="51"/>
      <c r="Y257" s="51"/>
      <c r="Z257" s="53"/>
      <c r="AA257" s="40"/>
      <c r="AB257" s="41"/>
      <c r="AD257" s="17">
        <f t="shared" si="27"/>
        <v>10505</v>
      </c>
      <c r="AE257" s="18"/>
    </row>
    <row r="258" spans="1:31" ht="230.25" outlineLevel="4" thickBot="1" x14ac:dyDescent="0.25">
      <c r="A258" s="43" t="s">
        <v>540</v>
      </c>
      <c r="B258" s="175"/>
      <c r="C258" s="172"/>
      <c r="D258" s="148"/>
      <c r="E258" s="48" t="s">
        <v>518</v>
      </c>
      <c r="F258" s="48" t="s">
        <v>541</v>
      </c>
      <c r="G258" s="25" t="s">
        <v>126</v>
      </c>
      <c r="H258" s="26" t="s">
        <v>127</v>
      </c>
      <c r="I258" s="42">
        <v>3</v>
      </c>
      <c r="J258" s="28" t="s">
        <v>47</v>
      </c>
      <c r="K258" s="29" t="s">
        <v>525</v>
      </c>
      <c r="L258" s="30">
        <v>2</v>
      </c>
      <c r="M258" s="31">
        <f>I258*L258</f>
        <v>6</v>
      </c>
      <c r="N258" s="32" t="s">
        <v>39</v>
      </c>
      <c r="O258" s="60" t="s">
        <v>123</v>
      </c>
      <c r="P258" s="71">
        <v>1</v>
      </c>
      <c r="Q258" s="97">
        <f t="shared" si="33"/>
        <v>6</v>
      </c>
      <c r="R258" s="72"/>
      <c r="S258" s="72"/>
      <c r="T258" s="72"/>
      <c r="U258" s="50"/>
      <c r="V258" s="51"/>
      <c r="W258" s="52"/>
      <c r="X258" s="51"/>
      <c r="Y258" s="51"/>
      <c r="Z258" s="53"/>
      <c r="AA258" s="40"/>
      <c r="AB258" s="41"/>
      <c r="AD258" s="17">
        <f t="shared" si="27"/>
        <v>10506</v>
      </c>
      <c r="AE258" s="18"/>
    </row>
    <row r="259" spans="1:31" ht="332.25" outlineLevel="4" thickBot="1" x14ac:dyDescent="0.25">
      <c r="A259" s="43" t="s">
        <v>542</v>
      </c>
      <c r="B259" s="174" t="s">
        <v>932</v>
      </c>
      <c r="C259" s="75" t="s">
        <v>544</v>
      </c>
      <c r="D259" s="147" t="s">
        <v>545</v>
      </c>
      <c r="E259" s="48" t="s">
        <v>506</v>
      </c>
      <c r="F259" s="48" t="s">
        <v>546</v>
      </c>
      <c r="G259" s="25" t="s">
        <v>163</v>
      </c>
      <c r="H259" s="26" t="s">
        <v>164</v>
      </c>
      <c r="I259" s="42">
        <v>2</v>
      </c>
      <c r="J259" s="28" t="s">
        <v>84</v>
      </c>
      <c r="K259" s="29" t="s">
        <v>933</v>
      </c>
      <c r="L259" s="30">
        <v>1</v>
      </c>
      <c r="M259" s="45">
        <f t="shared" ref="M259:M272" si="38">I259*L259</f>
        <v>2</v>
      </c>
      <c r="N259" s="32" t="s">
        <v>39</v>
      </c>
      <c r="O259" s="60" t="s">
        <v>531</v>
      </c>
      <c r="P259" s="30">
        <v>1</v>
      </c>
      <c r="Q259" s="97">
        <f t="shared" si="33"/>
        <v>2</v>
      </c>
      <c r="R259" s="72"/>
      <c r="S259" s="72"/>
      <c r="T259" s="72"/>
      <c r="U259" s="50"/>
      <c r="V259" s="51"/>
      <c r="W259" s="52"/>
      <c r="X259" s="51"/>
      <c r="Y259" s="51"/>
      <c r="Z259" s="53"/>
      <c r="AA259" s="40"/>
      <c r="AB259" s="41"/>
      <c r="AD259" s="17">
        <f t="shared" si="27"/>
        <v>10507</v>
      </c>
      <c r="AE259" s="18"/>
    </row>
    <row r="260" spans="1:31" ht="230.25" outlineLevel="4" thickBot="1" x14ac:dyDescent="0.25">
      <c r="A260" s="43" t="s">
        <v>548</v>
      </c>
      <c r="B260" s="175"/>
      <c r="C260" s="77"/>
      <c r="D260" s="148"/>
      <c r="E260" s="48" t="s">
        <v>510</v>
      </c>
      <c r="F260" s="48" t="s">
        <v>511</v>
      </c>
      <c r="G260" s="37" t="s">
        <v>512</v>
      </c>
      <c r="H260" s="88" t="s">
        <v>107</v>
      </c>
      <c r="I260" s="69">
        <v>1</v>
      </c>
      <c r="J260" s="70" t="s">
        <v>74</v>
      </c>
      <c r="K260" s="29" t="s">
        <v>75</v>
      </c>
      <c r="L260" s="71">
        <v>1</v>
      </c>
      <c r="M260" s="89">
        <f t="shared" si="38"/>
        <v>1</v>
      </c>
      <c r="N260" s="32" t="s">
        <v>39</v>
      </c>
      <c r="O260" s="53" t="s">
        <v>76</v>
      </c>
      <c r="P260" s="71">
        <v>5</v>
      </c>
      <c r="Q260" s="97">
        <f t="shared" si="33"/>
        <v>5</v>
      </c>
      <c r="R260" s="72"/>
      <c r="S260" s="72"/>
      <c r="T260" s="72"/>
      <c r="U260" s="50"/>
      <c r="V260" s="51"/>
      <c r="W260" s="52"/>
      <c r="X260" s="51"/>
      <c r="Y260" s="51"/>
      <c r="Z260" s="53"/>
      <c r="AA260" s="40"/>
      <c r="AB260" s="41"/>
      <c r="AD260" s="17">
        <f t="shared" si="27"/>
        <v>10508</v>
      </c>
      <c r="AE260" s="18"/>
    </row>
    <row r="261" spans="1:31" ht="230.25" outlineLevel="4" thickBot="1" x14ac:dyDescent="0.25">
      <c r="A261" s="43" t="s">
        <v>549</v>
      </c>
      <c r="B261" s="174" t="s">
        <v>930</v>
      </c>
      <c r="C261" s="75" t="s">
        <v>551</v>
      </c>
      <c r="D261" s="147" t="s">
        <v>545</v>
      </c>
      <c r="E261" s="48" t="s">
        <v>516</v>
      </c>
      <c r="F261" s="48" t="s">
        <v>511</v>
      </c>
      <c r="G261" s="37" t="s">
        <v>512</v>
      </c>
      <c r="H261" s="88" t="s">
        <v>107</v>
      </c>
      <c r="I261" s="69">
        <v>1</v>
      </c>
      <c r="J261" s="70" t="s">
        <v>84</v>
      </c>
      <c r="K261" s="29" t="s">
        <v>75</v>
      </c>
      <c r="L261" s="71">
        <v>1</v>
      </c>
      <c r="M261" s="89">
        <f t="shared" si="38"/>
        <v>1</v>
      </c>
      <c r="N261" s="32" t="s">
        <v>39</v>
      </c>
      <c r="O261" s="53" t="s">
        <v>76</v>
      </c>
      <c r="P261" s="71">
        <v>5</v>
      </c>
      <c r="Q261" s="97">
        <f t="shared" si="33"/>
        <v>5</v>
      </c>
      <c r="R261" s="72"/>
      <c r="S261" s="72"/>
      <c r="T261" s="72"/>
      <c r="U261" s="50"/>
      <c r="V261" s="51"/>
      <c r="W261" s="52"/>
      <c r="X261" s="51"/>
      <c r="Y261" s="51"/>
      <c r="Z261" s="53"/>
      <c r="AA261" s="40"/>
      <c r="AB261" s="41"/>
      <c r="AD261" s="17">
        <f t="shared" ref="AD261:AD324" si="39">VALUE(RIGHT((IF(A261="",0,A261)),5))</f>
        <v>10509</v>
      </c>
      <c r="AE261" s="18"/>
    </row>
    <row r="262" spans="1:31" ht="230.25" outlineLevel="4" thickBot="1" x14ac:dyDescent="0.25">
      <c r="A262" s="43" t="s">
        <v>552</v>
      </c>
      <c r="B262" s="175"/>
      <c r="C262" s="77"/>
      <c r="D262" s="148"/>
      <c r="E262" s="48" t="s">
        <v>518</v>
      </c>
      <c r="F262" s="48" t="s">
        <v>519</v>
      </c>
      <c r="G262" s="37" t="s">
        <v>512</v>
      </c>
      <c r="H262" s="88" t="s">
        <v>147</v>
      </c>
      <c r="I262" s="69">
        <v>1</v>
      </c>
      <c r="J262" s="70" t="s">
        <v>74</v>
      </c>
      <c r="K262" s="29" t="s">
        <v>75</v>
      </c>
      <c r="L262" s="71">
        <v>1</v>
      </c>
      <c r="M262" s="89">
        <f t="shared" si="38"/>
        <v>1</v>
      </c>
      <c r="N262" s="32" t="s">
        <v>39</v>
      </c>
      <c r="O262" s="53" t="s">
        <v>76</v>
      </c>
      <c r="P262" s="71">
        <v>5</v>
      </c>
      <c r="Q262" s="97">
        <f t="shared" si="33"/>
        <v>5</v>
      </c>
      <c r="R262" s="72"/>
      <c r="S262" s="72"/>
      <c r="T262" s="72"/>
      <c r="U262" s="50"/>
      <c r="V262" s="51"/>
      <c r="W262" s="52"/>
      <c r="X262" s="51"/>
      <c r="Y262" s="51"/>
      <c r="Z262" s="53"/>
      <c r="AA262" s="40"/>
      <c r="AB262" s="41"/>
      <c r="AD262" s="17">
        <f t="shared" si="39"/>
        <v>10510</v>
      </c>
      <c r="AE262" s="18"/>
    </row>
    <row r="263" spans="1:31" ht="230.25" outlineLevel="4" thickBot="1" x14ac:dyDescent="0.25">
      <c r="A263" s="43" t="s">
        <v>553</v>
      </c>
      <c r="B263" s="174" t="s">
        <v>931</v>
      </c>
      <c r="C263" s="75" t="s">
        <v>555</v>
      </c>
      <c r="D263" s="147" t="s">
        <v>545</v>
      </c>
      <c r="E263" s="48" t="s">
        <v>516</v>
      </c>
      <c r="F263" s="48" t="s">
        <v>511</v>
      </c>
      <c r="G263" s="37" t="s">
        <v>512</v>
      </c>
      <c r="H263" s="88" t="s">
        <v>107</v>
      </c>
      <c r="I263" s="69">
        <v>1</v>
      </c>
      <c r="J263" s="70" t="s">
        <v>84</v>
      </c>
      <c r="K263" s="29" t="s">
        <v>75</v>
      </c>
      <c r="L263" s="71">
        <v>1</v>
      </c>
      <c r="M263" s="89">
        <f t="shared" si="38"/>
        <v>1</v>
      </c>
      <c r="N263" s="32" t="s">
        <v>39</v>
      </c>
      <c r="O263" s="53" t="s">
        <v>76</v>
      </c>
      <c r="P263" s="71">
        <v>5</v>
      </c>
      <c r="Q263" s="97">
        <f t="shared" si="33"/>
        <v>5</v>
      </c>
      <c r="R263" s="72"/>
      <c r="S263" s="72"/>
      <c r="T263" s="72"/>
      <c r="U263" s="50"/>
      <c r="V263" s="51"/>
      <c r="W263" s="52"/>
      <c r="X263" s="51"/>
      <c r="Y263" s="51"/>
      <c r="Z263" s="53"/>
      <c r="AA263" s="40"/>
      <c r="AB263" s="41"/>
      <c r="AD263" s="17">
        <f t="shared" si="39"/>
        <v>10511</v>
      </c>
      <c r="AE263" s="18"/>
    </row>
    <row r="264" spans="1:31" ht="357.75" outlineLevel="4" thickBot="1" x14ac:dyDescent="0.25">
      <c r="A264" s="43" t="s">
        <v>556</v>
      </c>
      <c r="B264" s="175"/>
      <c r="C264" s="77"/>
      <c r="D264" s="148"/>
      <c r="E264" s="48" t="s">
        <v>518</v>
      </c>
      <c r="F264" s="48" t="s">
        <v>557</v>
      </c>
      <c r="G264" s="25" t="s">
        <v>163</v>
      </c>
      <c r="H264" s="26" t="s">
        <v>164</v>
      </c>
      <c r="I264" s="27">
        <v>2</v>
      </c>
      <c r="J264" s="28" t="s">
        <v>74</v>
      </c>
      <c r="K264" s="29" t="s">
        <v>934</v>
      </c>
      <c r="L264" s="30">
        <v>1</v>
      </c>
      <c r="M264" s="31">
        <f t="shared" si="38"/>
        <v>2</v>
      </c>
      <c r="N264" s="32" t="s">
        <v>39</v>
      </c>
      <c r="O264" s="33" t="s">
        <v>129</v>
      </c>
      <c r="P264" s="71">
        <v>1</v>
      </c>
      <c r="Q264" s="97">
        <f t="shared" si="33"/>
        <v>2</v>
      </c>
      <c r="R264" s="72"/>
      <c r="S264" s="72"/>
      <c r="T264" s="72"/>
      <c r="U264" s="50"/>
      <c r="V264" s="51"/>
      <c r="W264" s="52"/>
      <c r="X264" s="51"/>
      <c r="Y264" s="51"/>
      <c r="Z264" s="53"/>
      <c r="AA264" s="40"/>
      <c r="AB264" s="41"/>
      <c r="AD264" s="17">
        <f t="shared" si="39"/>
        <v>10512</v>
      </c>
      <c r="AE264" s="18"/>
    </row>
    <row r="265" spans="1:31" ht="230.25" outlineLevel="4" thickBot="1" x14ac:dyDescent="0.25">
      <c r="A265" s="43" t="s">
        <v>558</v>
      </c>
      <c r="B265" s="150" t="s">
        <v>559</v>
      </c>
      <c r="C265" s="171" t="s">
        <v>560</v>
      </c>
      <c r="D265" s="147" t="s">
        <v>561</v>
      </c>
      <c r="E265" s="48" t="s">
        <v>198</v>
      </c>
      <c r="F265" s="48" t="s">
        <v>562</v>
      </c>
      <c r="G265" s="48" t="s">
        <v>563</v>
      </c>
      <c r="H265" s="39" t="s">
        <v>61</v>
      </c>
      <c r="I265" s="69">
        <v>2</v>
      </c>
      <c r="J265" s="70" t="s">
        <v>186</v>
      </c>
      <c r="K265" s="93" t="s">
        <v>75</v>
      </c>
      <c r="L265" s="71">
        <v>2</v>
      </c>
      <c r="M265" s="89">
        <f t="shared" si="38"/>
        <v>4</v>
      </c>
      <c r="N265" s="32" t="s">
        <v>39</v>
      </c>
      <c r="O265" s="53" t="s">
        <v>76</v>
      </c>
      <c r="P265" s="71">
        <v>5</v>
      </c>
      <c r="Q265" s="97">
        <f t="shared" si="33"/>
        <v>20</v>
      </c>
      <c r="R265" s="72"/>
      <c r="S265" s="72"/>
      <c r="T265" s="72"/>
      <c r="U265" s="50"/>
      <c r="V265" s="51"/>
      <c r="W265" s="52"/>
      <c r="X265" s="51"/>
      <c r="Y265" s="51"/>
      <c r="Z265" s="53"/>
      <c r="AA265" s="40"/>
      <c r="AB265" s="41"/>
      <c r="AD265" s="17">
        <f t="shared" si="39"/>
        <v>10513</v>
      </c>
      <c r="AE265" s="18"/>
    </row>
    <row r="266" spans="1:31" ht="281.25" outlineLevel="4" thickBot="1" x14ac:dyDescent="0.25">
      <c r="A266" s="43" t="s">
        <v>564</v>
      </c>
      <c r="B266" s="173"/>
      <c r="C266" s="179"/>
      <c r="D266" s="176"/>
      <c r="E266" s="48" t="s">
        <v>565</v>
      </c>
      <c r="F266" s="48" t="s">
        <v>566</v>
      </c>
      <c r="G266" s="37" t="s">
        <v>567</v>
      </c>
      <c r="H266" s="88" t="s">
        <v>127</v>
      </c>
      <c r="I266" s="69">
        <v>3</v>
      </c>
      <c r="J266" s="70" t="s">
        <v>192</v>
      </c>
      <c r="K266" s="93" t="s">
        <v>935</v>
      </c>
      <c r="L266" s="71">
        <v>2</v>
      </c>
      <c r="M266" s="89">
        <f t="shared" si="38"/>
        <v>6</v>
      </c>
      <c r="N266" s="32" t="s">
        <v>39</v>
      </c>
      <c r="O266" s="33" t="s">
        <v>129</v>
      </c>
      <c r="P266" s="71">
        <v>1</v>
      </c>
      <c r="Q266" s="97">
        <f t="shared" si="33"/>
        <v>6</v>
      </c>
      <c r="R266" s="72"/>
      <c r="S266" s="72"/>
      <c r="T266" s="72"/>
      <c r="U266" s="50"/>
      <c r="V266" s="51"/>
      <c r="W266" s="52"/>
      <c r="X266" s="51"/>
      <c r="Y266" s="51"/>
      <c r="Z266" s="53"/>
      <c r="AA266" s="40"/>
      <c r="AB266" s="41"/>
      <c r="AD266" s="17">
        <f t="shared" si="39"/>
        <v>10514</v>
      </c>
      <c r="AE266" s="18"/>
    </row>
    <row r="267" spans="1:31" ht="255.75" outlineLevel="4" thickBot="1" x14ac:dyDescent="0.25">
      <c r="A267" s="43" t="s">
        <v>569</v>
      </c>
      <c r="B267" s="151"/>
      <c r="C267" s="172"/>
      <c r="D267" s="148"/>
      <c r="E267" s="48" t="s">
        <v>570</v>
      </c>
      <c r="F267" s="48" t="s">
        <v>566</v>
      </c>
      <c r="G267" s="37" t="s">
        <v>571</v>
      </c>
      <c r="H267" s="88" t="s">
        <v>127</v>
      </c>
      <c r="I267" s="69">
        <v>3</v>
      </c>
      <c r="J267" s="70" t="s">
        <v>192</v>
      </c>
      <c r="K267" s="93" t="s">
        <v>568</v>
      </c>
      <c r="L267" s="71">
        <v>2</v>
      </c>
      <c r="M267" s="89">
        <f t="shared" si="38"/>
        <v>6</v>
      </c>
      <c r="N267" s="32" t="s">
        <v>39</v>
      </c>
      <c r="O267" s="33" t="s">
        <v>129</v>
      </c>
      <c r="P267" s="71">
        <v>1</v>
      </c>
      <c r="Q267" s="91">
        <f t="shared" si="33"/>
        <v>6</v>
      </c>
      <c r="R267" s="72"/>
      <c r="S267" s="72"/>
      <c r="T267" s="72"/>
      <c r="U267" s="50"/>
      <c r="V267" s="51"/>
      <c r="W267" s="52"/>
      <c r="X267" s="51"/>
      <c r="Y267" s="51"/>
      <c r="Z267" s="53"/>
      <c r="AA267" s="40"/>
      <c r="AB267" s="41"/>
      <c r="AD267" s="17">
        <f t="shared" si="39"/>
        <v>10515</v>
      </c>
      <c r="AE267" s="18"/>
    </row>
    <row r="268" spans="1:31" ht="230.25" outlineLevel="4" thickBot="1" x14ac:dyDescent="0.25">
      <c r="A268" s="43" t="s">
        <v>573</v>
      </c>
      <c r="B268" s="150" t="s">
        <v>559</v>
      </c>
      <c r="C268" s="171" t="s">
        <v>574</v>
      </c>
      <c r="D268" s="147" t="s">
        <v>561</v>
      </c>
      <c r="E268" s="48" t="s">
        <v>198</v>
      </c>
      <c r="F268" s="48" t="s">
        <v>575</v>
      </c>
      <c r="G268" s="48" t="s">
        <v>563</v>
      </c>
      <c r="H268" s="39" t="s">
        <v>61</v>
      </c>
      <c r="I268" s="69">
        <v>2</v>
      </c>
      <c r="J268" s="70" t="s">
        <v>186</v>
      </c>
      <c r="K268" s="93" t="s">
        <v>75</v>
      </c>
      <c r="L268" s="71">
        <v>2</v>
      </c>
      <c r="M268" s="89">
        <f t="shared" si="38"/>
        <v>4</v>
      </c>
      <c r="N268" s="32" t="s">
        <v>39</v>
      </c>
      <c r="O268" s="53" t="s">
        <v>76</v>
      </c>
      <c r="P268" s="71">
        <v>5</v>
      </c>
      <c r="Q268" s="97">
        <f t="shared" si="33"/>
        <v>20</v>
      </c>
      <c r="R268" s="32"/>
      <c r="S268" s="32"/>
      <c r="T268" s="32"/>
      <c r="U268" s="95"/>
      <c r="V268" s="62"/>
      <c r="W268" s="96"/>
      <c r="X268" s="62"/>
      <c r="Y268" s="62"/>
      <c r="Z268" s="33"/>
      <c r="AA268" s="40"/>
      <c r="AB268" s="41"/>
      <c r="AD268" s="17">
        <f t="shared" si="39"/>
        <v>-1535</v>
      </c>
      <c r="AE268" s="18"/>
    </row>
    <row r="269" spans="1:31" ht="332.25" outlineLevel="4" thickBot="1" x14ac:dyDescent="0.25">
      <c r="A269" s="43" t="s">
        <v>576</v>
      </c>
      <c r="B269" s="173"/>
      <c r="C269" s="179"/>
      <c r="D269" s="176"/>
      <c r="E269" s="48" t="s">
        <v>565</v>
      </c>
      <c r="F269" s="48" t="s">
        <v>577</v>
      </c>
      <c r="G269" s="25" t="s">
        <v>163</v>
      </c>
      <c r="H269" s="26" t="s">
        <v>164</v>
      </c>
      <c r="I269" s="27">
        <v>2</v>
      </c>
      <c r="J269" s="28" t="s">
        <v>74</v>
      </c>
      <c r="K269" s="29" t="s">
        <v>578</v>
      </c>
      <c r="L269" s="30">
        <v>2</v>
      </c>
      <c r="M269" s="31">
        <v>4</v>
      </c>
      <c r="N269" s="32" t="s">
        <v>39</v>
      </c>
      <c r="O269" s="33" t="s">
        <v>395</v>
      </c>
      <c r="P269" s="71">
        <v>1</v>
      </c>
      <c r="Q269" s="97">
        <f t="shared" si="33"/>
        <v>4</v>
      </c>
      <c r="R269" s="32"/>
      <c r="S269" s="32"/>
      <c r="T269" s="32"/>
      <c r="U269" s="95"/>
      <c r="V269" s="62"/>
      <c r="W269" s="96"/>
      <c r="X269" s="62"/>
      <c r="Y269" s="62"/>
      <c r="Z269" s="33"/>
      <c r="AA269" s="40"/>
      <c r="AB269" s="41"/>
      <c r="AD269" s="17">
        <f t="shared" si="39"/>
        <v>-1536</v>
      </c>
      <c r="AE269" s="18"/>
    </row>
    <row r="270" spans="1:31" ht="332.25" outlineLevel="4" thickBot="1" x14ac:dyDescent="0.25">
      <c r="A270" s="43" t="s">
        <v>579</v>
      </c>
      <c r="B270" s="151"/>
      <c r="C270" s="172"/>
      <c r="D270" s="148"/>
      <c r="E270" s="48" t="s">
        <v>570</v>
      </c>
      <c r="F270" s="48" t="s">
        <v>577</v>
      </c>
      <c r="G270" s="25" t="s">
        <v>163</v>
      </c>
      <c r="H270" s="26" t="s">
        <v>164</v>
      </c>
      <c r="I270" s="27">
        <v>2</v>
      </c>
      <c r="J270" s="28" t="s">
        <v>74</v>
      </c>
      <c r="K270" s="29" t="s">
        <v>578</v>
      </c>
      <c r="L270" s="30">
        <v>2</v>
      </c>
      <c r="M270" s="31">
        <v>4</v>
      </c>
      <c r="N270" s="32" t="s">
        <v>39</v>
      </c>
      <c r="O270" s="33" t="s">
        <v>395</v>
      </c>
      <c r="P270" s="71">
        <v>1</v>
      </c>
      <c r="Q270" s="91">
        <f t="shared" si="33"/>
        <v>4</v>
      </c>
      <c r="R270" s="32"/>
      <c r="S270" s="32"/>
      <c r="T270" s="32"/>
      <c r="U270" s="95"/>
      <c r="V270" s="62"/>
      <c r="W270" s="96"/>
      <c r="X270" s="62"/>
      <c r="Y270" s="62"/>
      <c r="Z270" s="33"/>
      <c r="AA270" s="40"/>
      <c r="AB270" s="41"/>
      <c r="AD270" s="17">
        <f t="shared" si="39"/>
        <v>-9795</v>
      </c>
      <c r="AE270" s="18"/>
    </row>
    <row r="271" spans="1:31" ht="370.5" outlineLevel="4" thickBot="1" x14ac:dyDescent="0.25">
      <c r="A271" s="43" t="s">
        <v>936</v>
      </c>
      <c r="B271" s="150" t="s">
        <v>937</v>
      </c>
      <c r="C271" s="75" t="s">
        <v>938</v>
      </c>
      <c r="D271" s="167" t="s">
        <v>583</v>
      </c>
      <c r="E271" s="48" t="s">
        <v>256</v>
      </c>
      <c r="F271" s="48" t="s">
        <v>939</v>
      </c>
      <c r="G271" s="25" t="s">
        <v>126</v>
      </c>
      <c r="H271" s="26" t="s">
        <v>127</v>
      </c>
      <c r="I271" s="27">
        <v>3</v>
      </c>
      <c r="J271" s="28" t="s">
        <v>47</v>
      </c>
      <c r="K271" s="93" t="s">
        <v>586</v>
      </c>
      <c r="L271" s="30">
        <v>1</v>
      </c>
      <c r="M271" s="31">
        <v>3</v>
      </c>
      <c r="N271" s="32" t="s">
        <v>39</v>
      </c>
      <c r="O271" s="33" t="s">
        <v>166</v>
      </c>
      <c r="P271" s="71">
        <v>1</v>
      </c>
      <c r="Q271" s="34">
        <f t="shared" si="33"/>
        <v>3</v>
      </c>
      <c r="R271" s="32"/>
      <c r="S271" s="32"/>
      <c r="T271" s="32"/>
      <c r="U271" s="95"/>
      <c r="V271" s="62"/>
      <c r="W271" s="96"/>
      <c r="X271" s="62"/>
      <c r="Y271" s="62"/>
      <c r="Z271" s="33"/>
      <c r="AA271" s="40"/>
      <c r="AB271" s="41"/>
      <c r="AD271" s="17">
        <f t="shared" si="39"/>
        <v>10556</v>
      </c>
      <c r="AE271" s="18"/>
    </row>
    <row r="272" spans="1:31" ht="230.25" outlineLevel="4" thickBot="1" x14ac:dyDescent="0.25">
      <c r="A272" s="43" t="s">
        <v>940</v>
      </c>
      <c r="B272" s="151"/>
      <c r="C272" s="77"/>
      <c r="D272" s="169"/>
      <c r="E272" s="48" t="s">
        <v>71</v>
      </c>
      <c r="F272" s="48" t="s">
        <v>941</v>
      </c>
      <c r="G272" s="48" t="s">
        <v>275</v>
      </c>
      <c r="H272" s="39" t="s">
        <v>61</v>
      </c>
      <c r="I272" s="69">
        <v>1</v>
      </c>
      <c r="J272" s="70" t="s">
        <v>74</v>
      </c>
      <c r="K272" s="93" t="s">
        <v>75</v>
      </c>
      <c r="L272" s="71">
        <v>1</v>
      </c>
      <c r="M272" s="89">
        <f t="shared" si="38"/>
        <v>1</v>
      </c>
      <c r="N272" s="32" t="s">
        <v>39</v>
      </c>
      <c r="O272" s="53" t="s">
        <v>76</v>
      </c>
      <c r="P272" s="71">
        <v>5</v>
      </c>
      <c r="Q272" s="34">
        <f t="shared" si="33"/>
        <v>5</v>
      </c>
      <c r="R272" s="32"/>
      <c r="S272" s="32"/>
      <c r="T272" s="32"/>
      <c r="U272" s="95"/>
      <c r="V272" s="62"/>
      <c r="W272" s="96"/>
      <c r="X272" s="62"/>
      <c r="Y272" s="62"/>
      <c r="Z272" s="33"/>
      <c r="AA272" s="40"/>
      <c r="AB272" s="41"/>
      <c r="AD272" s="17">
        <f t="shared" si="39"/>
        <v>10557</v>
      </c>
      <c r="AE272" s="18"/>
    </row>
    <row r="273" spans="1:31" ht="370.5" outlineLevel="4" thickBot="1" x14ac:dyDescent="0.25">
      <c r="A273" s="43" t="s">
        <v>942</v>
      </c>
      <c r="B273" s="150" t="s">
        <v>943</v>
      </c>
      <c r="C273" s="75" t="s">
        <v>944</v>
      </c>
      <c r="D273" s="167" t="s">
        <v>583</v>
      </c>
      <c r="E273" s="48" t="s">
        <v>256</v>
      </c>
      <c r="F273" s="48" t="s">
        <v>945</v>
      </c>
      <c r="G273" s="25" t="s">
        <v>126</v>
      </c>
      <c r="H273" s="26" t="s">
        <v>127</v>
      </c>
      <c r="I273" s="27">
        <v>3</v>
      </c>
      <c r="J273" s="28" t="s">
        <v>47</v>
      </c>
      <c r="K273" s="93" t="s">
        <v>946</v>
      </c>
      <c r="L273" s="30">
        <v>1</v>
      </c>
      <c r="M273" s="31">
        <v>3</v>
      </c>
      <c r="N273" s="32" t="s">
        <v>39</v>
      </c>
      <c r="O273" s="33" t="s">
        <v>166</v>
      </c>
      <c r="P273" s="71">
        <v>1</v>
      </c>
      <c r="Q273" s="34">
        <f t="shared" si="33"/>
        <v>3</v>
      </c>
      <c r="R273" s="32"/>
      <c r="S273" s="32"/>
      <c r="T273" s="32"/>
      <c r="U273" s="95"/>
      <c r="V273" s="62"/>
      <c r="W273" s="96"/>
      <c r="X273" s="62"/>
      <c r="Y273" s="62"/>
      <c r="Z273" s="33"/>
      <c r="AA273" s="40"/>
      <c r="AB273" s="41"/>
      <c r="AD273" s="17">
        <f t="shared" si="39"/>
        <v>10558</v>
      </c>
      <c r="AE273" s="18"/>
    </row>
    <row r="274" spans="1:31" ht="230.25" outlineLevel="4" thickBot="1" x14ac:dyDescent="0.25">
      <c r="A274" s="43" t="s">
        <v>947</v>
      </c>
      <c r="B274" s="151"/>
      <c r="C274" s="77"/>
      <c r="D274" s="169"/>
      <c r="E274" s="48" t="s">
        <v>155</v>
      </c>
      <c r="F274" s="48" t="s">
        <v>948</v>
      </c>
      <c r="G274" s="48" t="s">
        <v>275</v>
      </c>
      <c r="H274" s="39" t="s">
        <v>61</v>
      </c>
      <c r="I274" s="69">
        <v>1</v>
      </c>
      <c r="J274" s="70" t="s">
        <v>74</v>
      </c>
      <c r="K274" s="93" t="s">
        <v>75</v>
      </c>
      <c r="L274" s="71">
        <v>1</v>
      </c>
      <c r="M274" s="89">
        <f t="shared" ref="M274" si="40">I274*L274</f>
        <v>1</v>
      </c>
      <c r="N274" s="32" t="s">
        <v>39</v>
      </c>
      <c r="O274" s="53" t="s">
        <v>76</v>
      </c>
      <c r="P274" s="71">
        <v>5</v>
      </c>
      <c r="Q274" s="34">
        <f t="shared" si="33"/>
        <v>5</v>
      </c>
      <c r="R274" s="32"/>
      <c r="S274" s="32"/>
      <c r="T274" s="32"/>
      <c r="U274" s="95"/>
      <c r="V274" s="62"/>
      <c r="W274" s="96"/>
      <c r="X274" s="62"/>
      <c r="Y274" s="62"/>
      <c r="Z274" s="33"/>
      <c r="AA274" s="40"/>
      <c r="AB274" s="41"/>
      <c r="AD274" s="17">
        <f t="shared" si="39"/>
        <v>10559</v>
      </c>
      <c r="AE274" s="18"/>
    </row>
    <row r="275" spans="1:31" ht="332.25" outlineLevel="4" thickBot="1" x14ac:dyDescent="0.25">
      <c r="A275" s="43" t="s">
        <v>949</v>
      </c>
      <c r="B275" s="150" t="s">
        <v>950</v>
      </c>
      <c r="C275" s="75" t="s">
        <v>951</v>
      </c>
      <c r="D275" s="167" t="s">
        <v>583</v>
      </c>
      <c r="E275" s="48" t="s">
        <v>256</v>
      </c>
      <c r="F275" s="48" t="s">
        <v>952</v>
      </c>
      <c r="G275" s="25" t="s">
        <v>163</v>
      </c>
      <c r="H275" s="26" t="s">
        <v>164</v>
      </c>
      <c r="I275" s="27">
        <v>2</v>
      </c>
      <c r="J275" s="28" t="s">
        <v>74</v>
      </c>
      <c r="K275" s="29" t="s">
        <v>578</v>
      </c>
      <c r="L275" s="30">
        <v>1</v>
      </c>
      <c r="M275" s="31">
        <v>3</v>
      </c>
      <c r="N275" s="32" t="s">
        <v>39</v>
      </c>
      <c r="O275" s="33" t="s">
        <v>166</v>
      </c>
      <c r="P275" s="71">
        <v>1</v>
      </c>
      <c r="Q275" s="34">
        <f t="shared" si="33"/>
        <v>3</v>
      </c>
      <c r="R275" s="72"/>
      <c r="S275" s="72"/>
      <c r="T275" s="72"/>
      <c r="U275" s="50"/>
      <c r="V275" s="51"/>
      <c r="W275" s="52"/>
      <c r="X275" s="51"/>
      <c r="Y275" s="51"/>
      <c r="Z275" s="53"/>
      <c r="AA275" s="40"/>
      <c r="AB275" s="41"/>
      <c r="AD275" s="17">
        <f t="shared" si="39"/>
        <v>10560</v>
      </c>
      <c r="AE275" s="18"/>
    </row>
    <row r="276" spans="1:31" ht="230.25" outlineLevel="4" thickBot="1" x14ac:dyDescent="0.25">
      <c r="A276" s="43" t="s">
        <v>953</v>
      </c>
      <c r="B276" s="151"/>
      <c r="C276" s="77"/>
      <c r="D276" s="169"/>
      <c r="E276" s="48" t="s">
        <v>71</v>
      </c>
      <c r="F276" s="48" t="s">
        <v>954</v>
      </c>
      <c r="G276" s="48" t="s">
        <v>275</v>
      </c>
      <c r="H276" s="39" t="s">
        <v>61</v>
      </c>
      <c r="I276" s="69">
        <v>1</v>
      </c>
      <c r="J276" s="70" t="s">
        <v>74</v>
      </c>
      <c r="K276" s="93" t="s">
        <v>75</v>
      </c>
      <c r="L276" s="71">
        <v>1</v>
      </c>
      <c r="M276" s="89">
        <f t="shared" ref="M276:M295" si="41">I276*L276</f>
        <v>1</v>
      </c>
      <c r="N276" s="32" t="s">
        <v>39</v>
      </c>
      <c r="O276" s="53" t="s">
        <v>76</v>
      </c>
      <c r="P276" s="71">
        <v>5</v>
      </c>
      <c r="Q276" s="34">
        <f t="shared" si="33"/>
        <v>5</v>
      </c>
      <c r="R276" s="72"/>
      <c r="S276" s="72"/>
      <c r="T276" s="72"/>
      <c r="U276" s="50"/>
      <c r="V276" s="51"/>
      <c r="W276" s="52"/>
      <c r="X276" s="51"/>
      <c r="Y276" s="51"/>
      <c r="Z276" s="53"/>
      <c r="AA276" s="40"/>
      <c r="AB276" s="41"/>
      <c r="AD276" s="17">
        <f t="shared" si="39"/>
        <v>10561</v>
      </c>
      <c r="AE276" s="18"/>
    </row>
    <row r="277" spans="1:31" ht="230.25" outlineLevel="4" thickBot="1" x14ac:dyDescent="0.25">
      <c r="A277" s="43" t="s">
        <v>590</v>
      </c>
      <c r="B277" s="150" t="s">
        <v>955</v>
      </c>
      <c r="C277" s="75" t="s">
        <v>592</v>
      </c>
      <c r="D277" s="180" t="s">
        <v>593</v>
      </c>
      <c r="E277" s="48" t="s">
        <v>67</v>
      </c>
      <c r="F277" s="37" t="s">
        <v>594</v>
      </c>
      <c r="G277" s="39" t="s">
        <v>595</v>
      </c>
      <c r="H277" s="88" t="s">
        <v>107</v>
      </c>
      <c r="I277" s="69">
        <v>1</v>
      </c>
      <c r="J277" s="48" t="s">
        <v>84</v>
      </c>
      <c r="K277" s="93" t="s">
        <v>75</v>
      </c>
      <c r="L277" s="71">
        <v>1</v>
      </c>
      <c r="M277" s="89">
        <f t="shared" si="41"/>
        <v>1</v>
      </c>
      <c r="N277" s="32" t="s">
        <v>39</v>
      </c>
      <c r="O277" s="53" t="s">
        <v>76</v>
      </c>
      <c r="P277" s="71">
        <v>5</v>
      </c>
      <c r="Q277" s="91">
        <f t="shared" si="33"/>
        <v>5</v>
      </c>
      <c r="R277" s="72"/>
      <c r="S277" s="72"/>
      <c r="T277" s="72"/>
      <c r="U277" s="50"/>
      <c r="V277" s="51"/>
      <c r="W277" s="52"/>
      <c r="X277" s="51"/>
      <c r="Y277" s="51"/>
      <c r="Z277" s="53"/>
      <c r="AA277" s="40"/>
      <c r="AB277" s="41"/>
      <c r="AD277" s="17">
        <f t="shared" si="39"/>
        <v>10518</v>
      </c>
      <c r="AE277" s="18"/>
    </row>
    <row r="278" spans="1:31" ht="230.25" outlineLevel="4" thickBot="1" x14ac:dyDescent="0.25">
      <c r="A278" s="43" t="s">
        <v>596</v>
      </c>
      <c r="B278" s="151"/>
      <c r="C278" s="77"/>
      <c r="D278" s="181"/>
      <c r="E278" s="48" t="s">
        <v>71</v>
      </c>
      <c r="F278" s="37" t="s">
        <v>597</v>
      </c>
      <c r="G278" s="37" t="s">
        <v>598</v>
      </c>
      <c r="H278" s="88" t="s">
        <v>127</v>
      </c>
      <c r="I278" s="69">
        <v>3</v>
      </c>
      <c r="J278" s="48" t="s">
        <v>84</v>
      </c>
      <c r="K278" s="29" t="s">
        <v>525</v>
      </c>
      <c r="L278" s="71">
        <v>1</v>
      </c>
      <c r="M278" s="89">
        <f t="shared" si="41"/>
        <v>3</v>
      </c>
      <c r="N278" s="32" t="s">
        <v>39</v>
      </c>
      <c r="O278" s="33" t="s">
        <v>166</v>
      </c>
      <c r="P278" s="71">
        <v>1</v>
      </c>
      <c r="Q278" s="91">
        <f t="shared" si="33"/>
        <v>3</v>
      </c>
      <c r="R278" s="72"/>
      <c r="S278" s="72"/>
      <c r="T278" s="72"/>
      <c r="U278" s="50"/>
      <c r="V278" s="51"/>
      <c r="W278" s="52"/>
      <c r="X278" s="51"/>
      <c r="Y278" s="51"/>
      <c r="Z278" s="53"/>
      <c r="AA278" s="40"/>
      <c r="AB278" s="41"/>
      <c r="AD278" s="17">
        <f t="shared" si="39"/>
        <v>10519</v>
      </c>
      <c r="AE278" s="18"/>
    </row>
    <row r="279" spans="1:31" ht="230.25" outlineLevel="4" thickBot="1" x14ac:dyDescent="0.25">
      <c r="A279" s="43" t="s">
        <v>599</v>
      </c>
      <c r="B279" s="150" t="s">
        <v>956</v>
      </c>
      <c r="C279" s="75" t="s">
        <v>601</v>
      </c>
      <c r="D279" s="180" t="s">
        <v>593</v>
      </c>
      <c r="E279" s="48" t="s">
        <v>67</v>
      </c>
      <c r="F279" s="37" t="s">
        <v>594</v>
      </c>
      <c r="G279" s="39" t="s">
        <v>595</v>
      </c>
      <c r="H279" s="88" t="s">
        <v>107</v>
      </c>
      <c r="I279" s="69">
        <v>1</v>
      </c>
      <c r="J279" s="48" t="s">
        <v>84</v>
      </c>
      <c r="K279" s="93" t="s">
        <v>75</v>
      </c>
      <c r="L279" s="71">
        <v>1</v>
      </c>
      <c r="M279" s="89">
        <f t="shared" si="41"/>
        <v>1</v>
      </c>
      <c r="N279" s="32" t="s">
        <v>39</v>
      </c>
      <c r="O279" s="53" t="s">
        <v>76</v>
      </c>
      <c r="P279" s="71">
        <v>5</v>
      </c>
      <c r="Q279" s="91">
        <f t="shared" si="33"/>
        <v>5</v>
      </c>
      <c r="R279" s="72"/>
      <c r="S279" s="72"/>
      <c r="T279" s="72"/>
      <c r="U279" s="50"/>
      <c r="V279" s="51"/>
      <c r="W279" s="52"/>
      <c r="X279" s="51"/>
      <c r="Y279" s="51"/>
      <c r="Z279" s="53"/>
      <c r="AA279" s="40"/>
      <c r="AB279" s="41"/>
      <c r="AD279" s="17">
        <f t="shared" si="39"/>
        <v>10520</v>
      </c>
      <c r="AE279" s="18"/>
    </row>
    <row r="280" spans="1:31" ht="230.25" outlineLevel="4" thickBot="1" x14ac:dyDescent="0.25">
      <c r="A280" s="43" t="s">
        <v>602</v>
      </c>
      <c r="B280" s="151"/>
      <c r="C280" s="77"/>
      <c r="D280" s="181"/>
      <c r="E280" s="48" t="s">
        <v>71</v>
      </c>
      <c r="F280" s="37" t="s">
        <v>603</v>
      </c>
      <c r="G280" s="37" t="s">
        <v>598</v>
      </c>
      <c r="H280" s="88" t="s">
        <v>127</v>
      </c>
      <c r="I280" s="69">
        <v>3</v>
      </c>
      <c r="J280" s="48" t="s">
        <v>84</v>
      </c>
      <c r="K280" s="29" t="s">
        <v>525</v>
      </c>
      <c r="L280" s="71">
        <v>1</v>
      </c>
      <c r="M280" s="89">
        <f t="shared" si="41"/>
        <v>3</v>
      </c>
      <c r="N280" s="32" t="s">
        <v>39</v>
      </c>
      <c r="O280" s="33" t="s">
        <v>166</v>
      </c>
      <c r="P280" s="71">
        <v>1</v>
      </c>
      <c r="Q280" s="91">
        <f t="shared" si="33"/>
        <v>3</v>
      </c>
      <c r="R280" s="72"/>
      <c r="S280" s="72"/>
      <c r="T280" s="72"/>
      <c r="U280" s="50"/>
      <c r="V280" s="51"/>
      <c r="W280" s="52"/>
      <c r="X280" s="51"/>
      <c r="Y280" s="51"/>
      <c r="Z280" s="53"/>
      <c r="AA280" s="40"/>
      <c r="AB280" s="41"/>
      <c r="AD280" s="17">
        <f t="shared" si="39"/>
        <v>10521</v>
      </c>
      <c r="AE280" s="18"/>
    </row>
    <row r="281" spans="1:31" ht="230.25" outlineLevel="4" thickBot="1" x14ac:dyDescent="0.25">
      <c r="A281" s="43" t="s">
        <v>605</v>
      </c>
      <c r="B281" s="150" t="s">
        <v>957</v>
      </c>
      <c r="C281" s="75" t="s">
        <v>607</v>
      </c>
      <c r="D281" s="180" t="s">
        <v>593</v>
      </c>
      <c r="E281" s="48" t="s">
        <v>67</v>
      </c>
      <c r="F281" s="37" t="s">
        <v>594</v>
      </c>
      <c r="G281" s="39" t="s">
        <v>595</v>
      </c>
      <c r="H281" s="88" t="s">
        <v>107</v>
      </c>
      <c r="I281" s="69">
        <v>1</v>
      </c>
      <c r="J281" s="48" t="s">
        <v>84</v>
      </c>
      <c r="K281" s="93" t="s">
        <v>75</v>
      </c>
      <c r="L281" s="71">
        <v>1</v>
      </c>
      <c r="M281" s="89">
        <f t="shared" si="41"/>
        <v>1</v>
      </c>
      <c r="N281" s="32" t="s">
        <v>39</v>
      </c>
      <c r="O281" s="53" t="s">
        <v>76</v>
      </c>
      <c r="P281" s="71">
        <v>5</v>
      </c>
      <c r="Q281" s="91">
        <f t="shared" si="33"/>
        <v>5</v>
      </c>
      <c r="R281" s="72"/>
      <c r="S281" s="72"/>
      <c r="T281" s="72"/>
      <c r="U281" s="50"/>
      <c r="V281" s="51"/>
      <c r="W281" s="52"/>
      <c r="X281" s="51"/>
      <c r="Y281" s="51"/>
      <c r="Z281" s="53"/>
      <c r="AA281" s="40"/>
      <c r="AB281" s="41"/>
      <c r="AD281" s="17">
        <f t="shared" si="39"/>
        <v>-9796</v>
      </c>
      <c r="AE281" s="18">
        <f t="shared" ref="AE281:AE338" si="42">VALUE(RIGHT((IF(A281="",0,A281)),4))</f>
        <v>9796</v>
      </c>
    </row>
    <row r="282" spans="1:31" ht="332.25" outlineLevel="4" thickBot="1" x14ac:dyDescent="0.25">
      <c r="A282" s="43" t="s">
        <v>608</v>
      </c>
      <c r="B282" s="151"/>
      <c r="C282" s="77"/>
      <c r="D282" s="181"/>
      <c r="E282" s="48" t="s">
        <v>71</v>
      </c>
      <c r="F282" s="37" t="s">
        <v>609</v>
      </c>
      <c r="G282" s="37" t="s">
        <v>598</v>
      </c>
      <c r="H282" s="88" t="s">
        <v>127</v>
      </c>
      <c r="I282" s="69">
        <v>3</v>
      </c>
      <c r="J282" s="48" t="s">
        <v>84</v>
      </c>
      <c r="K282" s="29" t="s">
        <v>578</v>
      </c>
      <c r="L282" s="71">
        <v>1</v>
      </c>
      <c r="M282" s="89">
        <f t="shared" si="41"/>
        <v>3</v>
      </c>
      <c r="N282" s="32" t="s">
        <v>39</v>
      </c>
      <c r="O282" s="33" t="s">
        <v>166</v>
      </c>
      <c r="P282" s="71">
        <v>1</v>
      </c>
      <c r="Q282" s="91">
        <f t="shared" si="33"/>
        <v>3</v>
      </c>
      <c r="R282" s="72"/>
      <c r="S282" s="72"/>
      <c r="T282" s="72"/>
      <c r="U282" s="50"/>
      <c r="V282" s="51"/>
      <c r="W282" s="52"/>
      <c r="X282" s="51"/>
      <c r="Y282" s="51"/>
      <c r="Z282" s="53"/>
      <c r="AA282" s="40"/>
      <c r="AB282" s="41"/>
      <c r="AD282" s="17">
        <f t="shared" si="39"/>
        <v>-9797</v>
      </c>
      <c r="AE282" s="18">
        <f t="shared" si="42"/>
        <v>9797</v>
      </c>
    </row>
    <row r="283" spans="1:31" ht="230.25" outlineLevel="4" thickBot="1" x14ac:dyDescent="0.25">
      <c r="A283" s="43" t="s">
        <v>958</v>
      </c>
      <c r="B283" s="150" t="s">
        <v>921</v>
      </c>
      <c r="C283" s="171" t="s">
        <v>959</v>
      </c>
      <c r="D283" s="147" t="s">
        <v>960</v>
      </c>
      <c r="E283" s="87" t="s">
        <v>911</v>
      </c>
      <c r="F283" s="51" t="s">
        <v>495</v>
      </c>
      <c r="G283" s="66" t="s">
        <v>457</v>
      </c>
      <c r="H283" s="26" t="s">
        <v>127</v>
      </c>
      <c r="I283" s="27">
        <v>3</v>
      </c>
      <c r="J283" s="70" t="s">
        <v>463</v>
      </c>
      <c r="K283" s="29" t="s">
        <v>496</v>
      </c>
      <c r="L283" s="71">
        <v>1</v>
      </c>
      <c r="M283" s="89">
        <f>I283*L283</f>
        <v>3</v>
      </c>
      <c r="N283" s="32" t="s">
        <v>39</v>
      </c>
      <c r="O283" s="60" t="s">
        <v>143</v>
      </c>
      <c r="P283" s="90">
        <v>2</v>
      </c>
      <c r="Q283" s="91">
        <f t="shared" si="33"/>
        <v>6</v>
      </c>
      <c r="R283" s="72"/>
      <c r="S283" s="72"/>
      <c r="T283" s="72"/>
      <c r="U283" s="50"/>
      <c r="V283" s="51"/>
      <c r="W283" s="52"/>
      <c r="X283" s="51"/>
      <c r="Y283" s="51"/>
      <c r="Z283" s="53"/>
      <c r="AA283" s="40"/>
      <c r="AB283" s="41"/>
      <c r="AD283" s="17">
        <f t="shared" si="39"/>
        <v>-9802</v>
      </c>
      <c r="AE283" s="18">
        <f t="shared" si="42"/>
        <v>9802</v>
      </c>
    </row>
    <row r="284" spans="1:31" ht="230.25" outlineLevel="4" thickBot="1" x14ac:dyDescent="0.25">
      <c r="A284" s="43" t="s">
        <v>961</v>
      </c>
      <c r="B284" s="173"/>
      <c r="C284" s="179"/>
      <c r="D284" s="176"/>
      <c r="E284" s="87" t="s">
        <v>911</v>
      </c>
      <c r="F284" s="51" t="s">
        <v>498</v>
      </c>
      <c r="G284" s="66" t="s">
        <v>499</v>
      </c>
      <c r="H284" s="26" t="s">
        <v>147</v>
      </c>
      <c r="I284" s="27">
        <v>1</v>
      </c>
      <c r="J284" s="70" t="s">
        <v>463</v>
      </c>
      <c r="K284" s="29" t="s">
        <v>487</v>
      </c>
      <c r="L284" s="30">
        <v>1</v>
      </c>
      <c r="M284" s="89">
        <f>I284*L284</f>
        <v>1</v>
      </c>
      <c r="N284" s="32" t="s">
        <v>39</v>
      </c>
      <c r="O284" s="53" t="s">
        <v>76</v>
      </c>
      <c r="P284" s="90">
        <v>5</v>
      </c>
      <c r="Q284" s="91">
        <f t="shared" si="33"/>
        <v>5</v>
      </c>
      <c r="R284" s="72"/>
      <c r="S284" s="72"/>
      <c r="T284" s="72"/>
      <c r="U284" s="50"/>
      <c r="V284" s="51"/>
      <c r="W284" s="52"/>
      <c r="X284" s="51"/>
      <c r="Y284" s="51"/>
      <c r="Z284" s="53"/>
      <c r="AA284" s="40"/>
      <c r="AB284" s="41"/>
      <c r="AD284" s="17">
        <f t="shared" si="39"/>
        <v>-9803</v>
      </c>
      <c r="AE284" s="18">
        <f t="shared" si="42"/>
        <v>9803</v>
      </c>
    </row>
    <row r="285" spans="1:31" ht="230.25" outlineLevel="4" thickBot="1" x14ac:dyDescent="0.25">
      <c r="A285" s="43" t="s">
        <v>962</v>
      </c>
      <c r="B285" s="151"/>
      <c r="C285" s="172"/>
      <c r="D285" s="148"/>
      <c r="E285" s="87" t="s">
        <v>911</v>
      </c>
      <c r="F285" s="51" t="s">
        <v>501</v>
      </c>
      <c r="G285" s="37" t="s">
        <v>457</v>
      </c>
      <c r="H285" s="88" t="s">
        <v>127</v>
      </c>
      <c r="I285" s="92">
        <v>3</v>
      </c>
      <c r="J285" s="70" t="s">
        <v>914</v>
      </c>
      <c r="K285" s="93" t="s">
        <v>469</v>
      </c>
      <c r="L285" s="71">
        <v>2</v>
      </c>
      <c r="M285" s="89">
        <f t="shared" ref="M285" si="43">I285*L285</f>
        <v>6</v>
      </c>
      <c r="N285" s="32" t="s">
        <v>39</v>
      </c>
      <c r="O285" s="60" t="s">
        <v>143</v>
      </c>
      <c r="P285" s="94">
        <v>2</v>
      </c>
      <c r="Q285" s="91">
        <f>P285*M285</f>
        <v>12</v>
      </c>
      <c r="R285" s="72"/>
      <c r="S285" s="72"/>
      <c r="T285" s="72"/>
      <c r="U285" s="50"/>
      <c r="V285" s="51"/>
      <c r="W285" s="52"/>
      <c r="X285" s="51"/>
      <c r="Y285" s="51"/>
      <c r="Z285" s="53"/>
      <c r="AA285" s="40"/>
      <c r="AB285" s="41"/>
      <c r="AD285" s="17">
        <f t="shared" si="39"/>
        <v>16656</v>
      </c>
      <c r="AE285" s="18"/>
    </row>
    <row r="286" spans="1:31" ht="230.25" outlineLevel="4" thickBot="1" x14ac:dyDescent="0.25">
      <c r="A286" s="43" t="s">
        <v>610</v>
      </c>
      <c r="B286" s="174" t="s">
        <v>963</v>
      </c>
      <c r="C286" s="171" t="s">
        <v>612</v>
      </c>
      <c r="D286" s="147" t="s">
        <v>613</v>
      </c>
      <c r="E286" s="48" t="s">
        <v>506</v>
      </c>
      <c r="F286" s="74" t="s">
        <v>614</v>
      </c>
      <c r="G286" s="87" t="s">
        <v>615</v>
      </c>
      <c r="H286" s="88" t="s">
        <v>127</v>
      </c>
      <c r="I286" s="69">
        <v>3</v>
      </c>
      <c r="J286" s="70" t="s">
        <v>47</v>
      </c>
      <c r="K286" s="93" t="s">
        <v>616</v>
      </c>
      <c r="L286" s="71">
        <v>1</v>
      </c>
      <c r="M286" s="89">
        <f t="shared" si="41"/>
        <v>3</v>
      </c>
      <c r="N286" s="32" t="s">
        <v>39</v>
      </c>
      <c r="O286" s="33" t="s">
        <v>143</v>
      </c>
      <c r="P286" s="71">
        <v>3</v>
      </c>
      <c r="Q286" s="91">
        <f t="shared" si="33"/>
        <v>9</v>
      </c>
      <c r="R286" s="72"/>
      <c r="S286" s="72"/>
      <c r="T286" s="72"/>
      <c r="U286" s="50"/>
      <c r="V286" s="51"/>
      <c r="W286" s="52"/>
      <c r="X286" s="51"/>
      <c r="Y286" s="51"/>
      <c r="Z286" s="53"/>
      <c r="AA286" s="40"/>
      <c r="AB286" s="41"/>
      <c r="AD286" s="17">
        <f t="shared" si="39"/>
        <v>10522</v>
      </c>
      <c r="AE286" s="18"/>
    </row>
    <row r="287" spans="1:31" ht="230.25" outlineLevel="4" thickBot="1" x14ac:dyDescent="0.25">
      <c r="A287" s="43" t="s">
        <v>617</v>
      </c>
      <c r="B287" s="175"/>
      <c r="C287" s="172"/>
      <c r="D287" s="148"/>
      <c r="E287" s="48" t="s">
        <v>510</v>
      </c>
      <c r="F287" s="48" t="s">
        <v>618</v>
      </c>
      <c r="G287" s="48" t="s">
        <v>438</v>
      </c>
      <c r="H287" s="39" t="s">
        <v>439</v>
      </c>
      <c r="I287" s="69">
        <v>1</v>
      </c>
      <c r="J287" s="70" t="s">
        <v>47</v>
      </c>
      <c r="K287" s="93" t="s">
        <v>75</v>
      </c>
      <c r="L287" s="71">
        <v>1</v>
      </c>
      <c r="M287" s="89">
        <f>I287*L287</f>
        <v>1</v>
      </c>
      <c r="N287" s="32" t="s">
        <v>39</v>
      </c>
      <c r="O287" s="53" t="s">
        <v>76</v>
      </c>
      <c r="P287" s="71">
        <v>5</v>
      </c>
      <c r="Q287" s="91">
        <f t="shared" si="33"/>
        <v>5</v>
      </c>
      <c r="R287" s="72"/>
      <c r="S287" s="72"/>
      <c r="T287" s="72"/>
      <c r="U287" s="50"/>
      <c r="V287" s="51"/>
      <c r="W287" s="52"/>
      <c r="X287" s="51"/>
      <c r="Y287" s="51"/>
      <c r="Z287" s="53"/>
      <c r="AA287" s="40"/>
      <c r="AB287" s="41"/>
      <c r="AD287" s="17">
        <f t="shared" si="39"/>
        <v>10523</v>
      </c>
      <c r="AE287" s="18"/>
    </row>
    <row r="288" spans="1:31" ht="230.25" outlineLevel="4" thickBot="1" x14ac:dyDescent="0.25">
      <c r="A288" s="43" t="s">
        <v>619</v>
      </c>
      <c r="B288" s="174" t="s">
        <v>964</v>
      </c>
      <c r="C288" s="171" t="s">
        <v>621</v>
      </c>
      <c r="D288" s="147" t="s">
        <v>613</v>
      </c>
      <c r="E288" s="48" t="s">
        <v>622</v>
      </c>
      <c r="F288" s="48" t="s">
        <v>618</v>
      </c>
      <c r="G288" s="48" t="s">
        <v>438</v>
      </c>
      <c r="H288" s="39" t="s">
        <v>439</v>
      </c>
      <c r="I288" s="69">
        <v>1</v>
      </c>
      <c r="J288" s="70" t="s">
        <v>47</v>
      </c>
      <c r="K288" s="93" t="s">
        <v>75</v>
      </c>
      <c r="L288" s="71">
        <v>1</v>
      </c>
      <c r="M288" s="89">
        <f t="shared" ref="M288" si="44">I288*L288</f>
        <v>1</v>
      </c>
      <c r="N288" s="32" t="s">
        <v>39</v>
      </c>
      <c r="O288" s="53" t="s">
        <v>76</v>
      </c>
      <c r="P288" s="71">
        <v>5</v>
      </c>
      <c r="Q288" s="91">
        <f t="shared" si="33"/>
        <v>5</v>
      </c>
      <c r="R288" s="72"/>
      <c r="S288" s="72"/>
      <c r="T288" s="72"/>
      <c r="U288" s="50"/>
      <c r="V288" s="51"/>
      <c r="W288" s="52"/>
      <c r="X288" s="51"/>
      <c r="Y288" s="51"/>
      <c r="Z288" s="53"/>
      <c r="AA288" s="40"/>
      <c r="AB288" s="41"/>
      <c r="AD288" s="17">
        <f t="shared" si="39"/>
        <v>10524</v>
      </c>
      <c r="AE288" s="18"/>
    </row>
    <row r="289" spans="1:31" ht="230.25" outlineLevel="4" thickBot="1" x14ac:dyDescent="0.25">
      <c r="A289" s="43" t="s">
        <v>623</v>
      </c>
      <c r="B289" s="175"/>
      <c r="C289" s="172"/>
      <c r="D289" s="148"/>
      <c r="E289" s="48" t="s">
        <v>518</v>
      </c>
      <c r="F289" s="48" t="s">
        <v>618</v>
      </c>
      <c r="G289" s="48" t="s">
        <v>438</v>
      </c>
      <c r="H289" s="39" t="s">
        <v>439</v>
      </c>
      <c r="I289" s="69">
        <v>1</v>
      </c>
      <c r="J289" s="70" t="s">
        <v>47</v>
      </c>
      <c r="K289" s="93" t="s">
        <v>75</v>
      </c>
      <c r="L289" s="71">
        <v>1</v>
      </c>
      <c r="M289" s="89">
        <f>I289*L289</f>
        <v>1</v>
      </c>
      <c r="N289" s="32" t="s">
        <v>39</v>
      </c>
      <c r="O289" s="53" t="s">
        <v>76</v>
      </c>
      <c r="P289" s="71">
        <v>5</v>
      </c>
      <c r="Q289" s="91">
        <f t="shared" si="33"/>
        <v>5</v>
      </c>
      <c r="R289" s="72"/>
      <c r="S289" s="72"/>
      <c r="T289" s="72"/>
      <c r="U289" s="50"/>
      <c r="V289" s="51"/>
      <c r="W289" s="52"/>
      <c r="X289" s="51"/>
      <c r="Y289" s="51"/>
      <c r="Z289" s="53"/>
      <c r="AA289" s="40"/>
      <c r="AB289" s="41"/>
      <c r="AD289" s="17">
        <f t="shared" si="39"/>
        <v>10525</v>
      </c>
      <c r="AE289" s="18"/>
    </row>
    <row r="290" spans="1:31" ht="230.25" outlineLevel="4" thickBot="1" x14ac:dyDescent="0.25">
      <c r="A290" s="43" t="s">
        <v>624</v>
      </c>
      <c r="B290" s="174" t="s">
        <v>965</v>
      </c>
      <c r="C290" s="171" t="s">
        <v>626</v>
      </c>
      <c r="D290" s="147" t="s">
        <v>613</v>
      </c>
      <c r="E290" s="48" t="s">
        <v>622</v>
      </c>
      <c r="F290" s="48" t="s">
        <v>618</v>
      </c>
      <c r="G290" s="48" t="s">
        <v>438</v>
      </c>
      <c r="H290" s="39" t="s">
        <v>439</v>
      </c>
      <c r="I290" s="69">
        <v>1</v>
      </c>
      <c r="J290" s="70" t="s">
        <v>47</v>
      </c>
      <c r="K290" s="93" t="s">
        <v>75</v>
      </c>
      <c r="L290" s="71">
        <v>1</v>
      </c>
      <c r="M290" s="89">
        <f t="shared" ref="M290" si="45">I290*L290</f>
        <v>1</v>
      </c>
      <c r="N290" s="32" t="s">
        <v>39</v>
      </c>
      <c r="O290" s="53" t="s">
        <v>76</v>
      </c>
      <c r="P290" s="71">
        <v>5</v>
      </c>
      <c r="Q290" s="91">
        <f t="shared" si="33"/>
        <v>5</v>
      </c>
      <c r="R290" s="72"/>
      <c r="S290" s="72"/>
      <c r="T290" s="72"/>
      <c r="U290" s="50"/>
      <c r="V290" s="51"/>
      <c r="W290" s="52"/>
      <c r="X290" s="51"/>
      <c r="Y290" s="51"/>
      <c r="Z290" s="53"/>
      <c r="AA290" s="40"/>
      <c r="AB290" s="41"/>
      <c r="AD290" s="17">
        <f t="shared" si="39"/>
        <v>-9804</v>
      </c>
      <c r="AE290" s="18">
        <f t="shared" si="42"/>
        <v>9804</v>
      </c>
    </row>
    <row r="291" spans="1:31" ht="230.25" outlineLevel="4" thickBot="1" x14ac:dyDescent="0.25">
      <c r="A291" s="43" t="s">
        <v>627</v>
      </c>
      <c r="B291" s="175"/>
      <c r="C291" s="172"/>
      <c r="D291" s="148"/>
      <c r="E291" s="48" t="s">
        <v>518</v>
      </c>
      <c r="F291" s="48" t="s">
        <v>628</v>
      </c>
      <c r="G291" s="87" t="s">
        <v>615</v>
      </c>
      <c r="H291" s="88" t="s">
        <v>127</v>
      </c>
      <c r="I291" s="69">
        <v>3</v>
      </c>
      <c r="J291" s="70" t="s">
        <v>47</v>
      </c>
      <c r="K291" s="93" t="s">
        <v>616</v>
      </c>
      <c r="L291" s="71">
        <v>1</v>
      </c>
      <c r="M291" s="89">
        <f>I291*L291</f>
        <v>3</v>
      </c>
      <c r="N291" s="32" t="s">
        <v>39</v>
      </c>
      <c r="O291" s="33" t="s">
        <v>143</v>
      </c>
      <c r="P291" s="71">
        <v>3</v>
      </c>
      <c r="Q291" s="91">
        <f t="shared" si="33"/>
        <v>9</v>
      </c>
      <c r="R291" s="72"/>
      <c r="S291" s="72"/>
      <c r="T291" s="72"/>
      <c r="U291" s="50"/>
      <c r="V291" s="51"/>
      <c r="W291" s="52"/>
      <c r="X291" s="51"/>
      <c r="Y291" s="51"/>
      <c r="Z291" s="53"/>
      <c r="AA291" s="40"/>
      <c r="AB291" s="41"/>
      <c r="AD291" s="17">
        <f t="shared" si="39"/>
        <v>-9805</v>
      </c>
      <c r="AE291" s="18">
        <f t="shared" si="42"/>
        <v>9805</v>
      </c>
    </row>
    <row r="292" spans="1:31" ht="230.25" outlineLevel="4" thickBot="1" x14ac:dyDescent="0.25">
      <c r="A292" s="43" t="s">
        <v>966</v>
      </c>
      <c r="B292" s="150" t="s">
        <v>967</v>
      </c>
      <c r="C292" s="75" t="s">
        <v>968</v>
      </c>
      <c r="D292" s="167" t="s">
        <v>583</v>
      </c>
      <c r="E292" s="48" t="s">
        <v>67</v>
      </c>
      <c r="F292" s="74" t="s">
        <v>969</v>
      </c>
      <c r="G292" s="48" t="s">
        <v>275</v>
      </c>
      <c r="H292" s="39" t="s">
        <v>439</v>
      </c>
      <c r="I292" s="69">
        <v>1</v>
      </c>
      <c r="J292" s="70" t="s">
        <v>84</v>
      </c>
      <c r="K292" s="70" t="s">
        <v>75</v>
      </c>
      <c r="L292" s="71">
        <v>1</v>
      </c>
      <c r="M292" s="89">
        <f t="shared" si="41"/>
        <v>1</v>
      </c>
      <c r="N292" s="32" t="s">
        <v>39</v>
      </c>
      <c r="O292" s="53" t="s">
        <v>76</v>
      </c>
      <c r="P292" s="71">
        <v>5</v>
      </c>
      <c r="Q292" s="97">
        <f t="shared" si="33"/>
        <v>5</v>
      </c>
      <c r="R292" s="72"/>
      <c r="S292" s="72"/>
      <c r="T292" s="72"/>
      <c r="U292" s="50"/>
      <c r="V292" s="51"/>
      <c r="W292" s="52"/>
      <c r="X292" s="51"/>
      <c r="Y292" s="51"/>
      <c r="Z292" s="53"/>
      <c r="AA292" s="40"/>
      <c r="AB292" s="41"/>
      <c r="AD292" s="17">
        <f t="shared" si="39"/>
        <v>5998</v>
      </c>
      <c r="AE292" s="18">
        <f t="shared" si="42"/>
        <v>5998</v>
      </c>
    </row>
    <row r="293" spans="1:31" ht="230.25" outlineLevel="4" thickBot="1" x14ac:dyDescent="0.25">
      <c r="A293" s="43" t="s">
        <v>970</v>
      </c>
      <c r="B293" s="151"/>
      <c r="C293" s="77"/>
      <c r="D293" s="169"/>
      <c r="E293" s="48" t="s">
        <v>71</v>
      </c>
      <c r="F293" s="48" t="s">
        <v>971</v>
      </c>
      <c r="G293" s="48" t="s">
        <v>275</v>
      </c>
      <c r="H293" s="39" t="s">
        <v>439</v>
      </c>
      <c r="I293" s="69">
        <v>1</v>
      </c>
      <c r="J293" s="70" t="s">
        <v>74</v>
      </c>
      <c r="K293" s="93" t="s">
        <v>75</v>
      </c>
      <c r="L293" s="71">
        <v>1</v>
      </c>
      <c r="M293" s="89">
        <f t="shared" si="41"/>
        <v>1</v>
      </c>
      <c r="N293" s="32" t="s">
        <v>39</v>
      </c>
      <c r="O293" s="53" t="s">
        <v>76</v>
      </c>
      <c r="P293" s="71">
        <v>5</v>
      </c>
      <c r="Q293" s="97">
        <f t="shared" si="33"/>
        <v>5</v>
      </c>
      <c r="R293" s="72"/>
      <c r="S293" s="72"/>
      <c r="T293" s="72"/>
      <c r="U293" s="50"/>
      <c r="V293" s="51"/>
      <c r="W293" s="52"/>
      <c r="X293" s="51"/>
      <c r="Y293" s="51"/>
      <c r="Z293" s="53"/>
      <c r="AA293" s="40"/>
      <c r="AB293" s="41"/>
      <c r="AD293" s="17">
        <f t="shared" si="39"/>
        <v>5999</v>
      </c>
      <c r="AE293" s="18">
        <f t="shared" si="42"/>
        <v>5999</v>
      </c>
    </row>
    <row r="294" spans="1:31" ht="230.25" outlineLevel="4" thickBot="1" x14ac:dyDescent="0.25">
      <c r="A294" s="43" t="s">
        <v>629</v>
      </c>
      <c r="B294" s="150" t="s">
        <v>972</v>
      </c>
      <c r="C294" s="75" t="s">
        <v>631</v>
      </c>
      <c r="D294" s="180" t="s">
        <v>593</v>
      </c>
      <c r="E294" s="48" t="s">
        <v>67</v>
      </c>
      <c r="F294" s="37" t="s">
        <v>594</v>
      </c>
      <c r="G294" s="39" t="s">
        <v>595</v>
      </c>
      <c r="H294" s="88" t="s">
        <v>107</v>
      </c>
      <c r="I294" s="69">
        <v>1</v>
      </c>
      <c r="J294" s="70" t="s">
        <v>84</v>
      </c>
      <c r="K294" s="93" t="s">
        <v>75</v>
      </c>
      <c r="L294" s="71">
        <v>1</v>
      </c>
      <c r="M294" s="89">
        <f t="shared" si="41"/>
        <v>1</v>
      </c>
      <c r="N294" s="32" t="s">
        <v>39</v>
      </c>
      <c r="O294" s="53" t="s">
        <v>76</v>
      </c>
      <c r="P294" s="71">
        <v>5</v>
      </c>
      <c r="Q294" s="91">
        <f t="shared" si="33"/>
        <v>5</v>
      </c>
      <c r="R294" s="72"/>
      <c r="S294" s="72"/>
      <c r="T294" s="72"/>
      <c r="U294" s="50"/>
      <c r="V294" s="51"/>
      <c r="W294" s="52"/>
      <c r="X294" s="51"/>
      <c r="Y294" s="51"/>
      <c r="Z294" s="53"/>
      <c r="AA294" s="40"/>
      <c r="AB294" s="41"/>
      <c r="AD294" s="17">
        <f t="shared" si="39"/>
        <v>-9806</v>
      </c>
      <c r="AE294" s="18">
        <f t="shared" si="42"/>
        <v>9806</v>
      </c>
    </row>
    <row r="295" spans="1:31" ht="230.25" outlineLevel="4" thickBot="1" x14ac:dyDescent="0.25">
      <c r="A295" s="43" t="s">
        <v>632</v>
      </c>
      <c r="B295" s="151"/>
      <c r="C295" s="77"/>
      <c r="D295" s="181"/>
      <c r="E295" s="48" t="s">
        <v>71</v>
      </c>
      <c r="F295" s="37" t="s">
        <v>633</v>
      </c>
      <c r="G295" s="87" t="s">
        <v>615</v>
      </c>
      <c r="H295" s="88" t="s">
        <v>127</v>
      </c>
      <c r="I295" s="69">
        <v>3</v>
      </c>
      <c r="J295" s="70" t="s">
        <v>84</v>
      </c>
      <c r="K295" s="93" t="s">
        <v>634</v>
      </c>
      <c r="L295" s="71">
        <v>1</v>
      </c>
      <c r="M295" s="89">
        <f t="shared" si="41"/>
        <v>3</v>
      </c>
      <c r="N295" s="32" t="s">
        <v>39</v>
      </c>
      <c r="O295" s="60" t="s">
        <v>143</v>
      </c>
      <c r="P295" s="71">
        <v>2</v>
      </c>
      <c r="Q295" s="91">
        <f t="shared" si="33"/>
        <v>6</v>
      </c>
      <c r="R295" s="72"/>
      <c r="S295" s="72"/>
      <c r="T295" s="72"/>
      <c r="U295" s="50"/>
      <c r="V295" s="51"/>
      <c r="W295" s="52"/>
      <c r="X295" s="51"/>
      <c r="Y295" s="51"/>
      <c r="Z295" s="53"/>
      <c r="AA295" s="40"/>
      <c r="AB295" s="41"/>
      <c r="AD295" s="17">
        <f t="shared" si="39"/>
        <v>-9807</v>
      </c>
      <c r="AE295" s="18">
        <f t="shared" si="42"/>
        <v>9807</v>
      </c>
    </row>
    <row r="296" spans="1:31" ht="230.25" outlineLevel="4" thickBot="1" x14ac:dyDescent="0.25">
      <c r="A296" s="43" t="s">
        <v>635</v>
      </c>
      <c r="B296" s="150" t="s">
        <v>973</v>
      </c>
      <c r="C296" s="75" t="s">
        <v>637</v>
      </c>
      <c r="D296" s="147" t="s">
        <v>638</v>
      </c>
      <c r="E296" s="48" t="s">
        <v>256</v>
      </c>
      <c r="F296" s="48" t="s">
        <v>355</v>
      </c>
      <c r="G296" s="48" t="s">
        <v>639</v>
      </c>
      <c r="H296" s="39" t="s">
        <v>439</v>
      </c>
      <c r="I296" s="69">
        <v>1</v>
      </c>
      <c r="J296" s="70" t="s">
        <v>84</v>
      </c>
      <c r="K296" s="93" t="s">
        <v>75</v>
      </c>
      <c r="L296" s="71">
        <v>1</v>
      </c>
      <c r="M296" s="89">
        <v>3</v>
      </c>
      <c r="N296" s="32" t="s">
        <v>39</v>
      </c>
      <c r="O296" s="53" t="s">
        <v>76</v>
      </c>
      <c r="P296" s="71">
        <v>5</v>
      </c>
      <c r="Q296" s="97">
        <f t="shared" si="33"/>
        <v>15</v>
      </c>
      <c r="R296" s="72"/>
      <c r="S296" s="72"/>
      <c r="T296" s="72"/>
      <c r="U296" s="50"/>
      <c r="V296" s="51"/>
      <c r="W296" s="52"/>
      <c r="X296" s="51"/>
      <c r="Y296" s="51"/>
      <c r="Z296" s="53"/>
      <c r="AA296" s="40"/>
      <c r="AB296" s="41"/>
      <c r="AD296" s="17">
        <f t="shared" si="39"/>
        <v>-1543</v>
      </c>
      <c r="AE296" s="18">
        <f t="shared" si="42"/>
        <v>1543</v>
      </c>
    </row>
    <row r="297" spans="1:31" ht="243" outlineLevel="4" thickBot="1" x14ac:dyDescent="0.25">
      <c r="A297" s="43" t="s">
        <v>640</v>
      </c>
      <c r="B297" s="151"/>
      <c r="C297" s="77"/>
      <c r="D297" s="148"/>
      <c r="E297" s="48" t="s">
        <v>71</v>
      </c>
      <c r="F297" s="48" t="s">
        <v>641</v>
      </c>
      <c r="G297" s="87" t="s">
        <v>598</v>
      </c>
      <c r="H297" s="88" t="s">
        <v>127</v>
      </c>
      <c r="I297" s="69">
        <v>3</v>
      </c>
      <c r="J297" s="70" t="s">
        <v>74</v>
      </c>
      <c r="K297" s="29" t="s">
        <v>642</v>
      </c>
      <c r="L297" s="71">
        <v>1</v>
      </c>
      <c r="M297" s="89">
        <v>3</v>
      </c>
      <c r="N297" s="32" t="s">
        <v>39</v>
      </c>
      <c r="O297" s="33" t="s">
        <v>166</v>
      </c>
      <c r="P297" s="71">
        <v>2</v>
      </c>
      <c r="Q297" s="97">
        <f t="shared" si="33"/>
        <v>6</v>
      </c>
      <c r="R297" s="72"/>
      <c r="S297" s="72"/>
      <c r="T297" s="72"/>
      <c r="U297" s="50"/>
      <c r="V297" s="51"/>
      <c r="W297" s="52"/>
      <c r="X297" s="51"/>
      <c r="Y297" s="51"/>
      <c r="Z297" s="53"/>
      <c r="AA297" s="40"/>
      <c r="AB297" s="41"/>
      <c r="AD297" s="17">
        <f t="shared" si="39"/>
        <v>-1544</v>
      </c>
      <c r="AE297" s="18">
        <f t="shared" si="42"/>
        <v>1544</v>
      </c>
    </row>
    <row r="298" spans="1:31" ht="230.25" outlineLevel="4" thickBot="1" x14ac:dyDescent="0.25">
      <c r="A298" s="43" t="s">
        <v>643</v>
      </c>
      <c r="B298" s="150" t="s">
        <v>974</v>
      </c>
      <c r="C298" s="75" t="s">
        <v>645</v>
      </c>
      <c r="D298" s="147" t="s">
        <v>646</v>
      </c>
      <c r="E298" s="48" t="s">
        <v>67</v>
      </c>
      <c r="F298" s="48" t="s">
        <v>647</v>
      </c>
      <c r="G298" s="48" t="s">
        <v>648</v>
      </c>
      <c r="H298" s="39" t="s">
        <v>439</v>
      </c>
      <c r="I298" s="69">
        <v>2</v>
      </c>
      <c r="J298" s="70" t="s">
        <v>84</v>
      </c>
      <c r="K298" s="93" t="s">
        <v>75</v>
      </c>
      <c r="L298" s="71">
        <v>1</v>
      </c>
      <c r="M298" s="89">
        <v>3</v>
      </c>
      <c r="N298" s="32" t="s">
        <v>39</v>
      </c>
      <c r="O298" s="53" t="s">
        <v>76</v>
      </c>
      <c r="P298" s="71">
        <v>5</v>
      </c>
      <c r="Q298" s="97">
        <f t="shared" si="33"/>
        <v>15</v>
      </c>
      <c r="R298" s="72"/>
      <c r="S298" s="72"/>
      <c r="T298" s="72"/>
      <c r="U298" s="50"/>
      <c r="V298" s="51"/>
      <c r="W298" s="52"/>
      <c r="X298" s="51"/>
      <c r="Y298" s="51"/>
      <c r="Z298" s="53"/>
      <c r="AA298" s="40"/>
      <c r="AB298" s="41"/>
      <c r="AD298" s="17">
        <f t="shared" si="39"/>
        <v>-1545</v>
      </c>
      <c r="AE298" s="18">
        <f t="shared" si="42"/>
        <v>1545</v>
      </c>
    </row>
    <row r="299" spans="1:31" ht="243" outlineLevel="4" thickBot="1" x14ac:dyDescent="0.25">
      <c r="A299" s="43" t="s">
        <v>649</v>
      </c>
      <c r="B299" s="151"/>
      <c r="C299" s="77"/>
      <c r="D299" s="148"/>
      <c r="E299" s="48" t="s">
        <v>71</v>
      </c>
      <c r="F299" s="48" t="s">
        <v>650</v>
      </c>
      <c r="G299" s="87" t="s">
        <v>598</v>
      </c>
      <c r="H299" s="88" t="s">
        <v>127</v>
      </c>
      <c r="I299" s="69">
        <v>3</v>
      </c>
      <c r="J299" s="70" t="s">
        <v>74</v>
      </c>
      <c r="K299" s="29" t="s">
        <v>642</v>
      </c>
      <c r="L299" s="71">
        <v>1</v>
      </c>
      <c r="M299" s="89">
        <v>3</v>
      </c>
      <c r="N299" s="32" t="s">
        <v>39</v>
      </c>
      <c r="O299" s="33" t="s">
        <v>166</v>
      </c>
      <c r="P299" s="71">
        <v>2</v>
      </c>
      <c r="Q299" s="97">
        <f t="shared" si="33"/>
        <v>6</v>
      </c>
      <c r="R299" s="72"/>
      <c r="S299" s="72"/>
      <c r="T299" s="72"/>
      <c r="U299" s="50"/>
      <c r="V299" s="51"/>
      <c r="W299" s="52"/>
      <c r="X299" s="51"/>
      <c r="Y299" s="51"/>
      <c r="Z299" s="53"/>
      <c r="AA299" s="40"/>
      <c r="AB299" s="41"/>
      <c r="AD299" s="17">
        <f t="shared" si="39"/>
        <v>-1546</v>
      </c>
      <c r="AE299" s="18">
        <f t="shared" si="42"/>
        <v>1546</v>
      </c>
    </row>
    <row r="300" spans="1:31" ht="230.25" outlineLevel="4" thickBot="1" x14ac:dyDescent="0.25">
      <c r="A300" s="43" t="s">
        <v>651</v>
      </c>
      <c r="B300" s="150" t="s">
        <v>975</v>
      </c>
      <c r="C300" s="75" t="s">
        <v>653</v>
      </c>
      <c r="D300" s="147" t="s">
        <v>638</v>
      </c>
      <c r="E300" s="48" t="s">
        <v>256</v>
      </c>
      <c r="F300" s="48" t="s">
        <v>355</v>
      </c>
      <c r="G300" s="48" t="s">
        <v>639</v>
      </c>
      <c r="H300" s="39" t="s">
        <v>439</v>
      </c>
      <c r="I300" s="69">
        <v>1</v>
      </c>
      <c r="J300" s="70" t="s">
        <v>84</v>
      </c>
      <c r="K300" s="93" t="s">
        <v>75</v>
      </c>
      <c r="L300" s="71">
        <v>1</v>
      </c>
      <c r="M300" s="89">
        <v>3</v>
      </c>
      <c r="N300" s="32" t="s">
        <v>39</v>
      </c>
      <c r="O300" s="53" t="s">
        <v>76</v>
      </c>
      <c r="P300" s="71">
        <v>5</v>
      </c>
      <c r="Q300" s="97">
        <f t="shared" si="33"/>
        <v>15</v>
      </c>
      <c r="R300" s="72"/>
      <c r="S300" s="72"/>
      <c r="T300" s="72"/>
      <c r="U300" s="50"/>
      <c r="V300" s="51"/>
      <c r="W300" s="52"/>
      <c r="X300" s="51"/>
      <c r="Y300" s="51"/>
      <c r="Z300" s="53"/>
      <c r="AA300" s="40"/>
      <c r="AB300" s="41"/>
      <c r="AD300" s="17">
        <f t="shared" si="39"/>
        <v>-1547</v>
      </c>
      <c r="AE300" s="18">
        <f t="shared" si="42"/>
        <v>1547</v>
      </c>
    </row>
    <row r="301" spans="1:31" ht="243" outlineLevel="4" thickBot="1" x14ac:dyDescent="0.25">
      <c r="A301" s="43" t="s">
        <v>654</v>
      </c>
      <c r="B301" s="151"/>
      <c r="C301" s="77"/>
      <c r="D301" s="148"/>
      <c r="E301" s="48" t="s">
        <v>71</v>
      </c>
      <c r="F301" s="48" t="s">
        <v>655</v>
      </c>
      <c r="G301" s="87" t="s">
        <v>598</v>
      </c>
      <c r="H301" s="88" t="s">
        <v>127</v>
      </c>
      <c r="I301" s="69">
        <v>3</v>
      </c>
      <c r="J301" s="70" t="s">
        <v>74</v>
      </c>
      <c r="K301" s="29" t="s">
        <v>642</v>
      </c>
      <c r="L301" s="71">
        <v>1</v>
      </c>
      <c r="M301" s="89">
        <v>3</v>
      </c>
      <c r="N301" s="32" t="s">
        <v>39</v>
      </c>
      <c r="O301" s="33" t="s">
        <v>166</v>
      </c>
      <c r="P301" s="71">
        <v>2</v>
      </c>
      <c r="Q301" s="97">
        <f t="shared" si="33"/>
        <v>6</v>
      </c>
      <c r="R301" s="72"/>
      <c r="S301" s="72"/>
      <c r="T301" s="72"/>
      <c r="U301" s="50"/>
      <c r="V301" s="51"/>
      <c r="W301" s="52"/>
      <c r="X301" s="51"/>
      <c r="Y301" s="51"/>
      <c r="Z301" s="53"/>
      <c r="AA301" s="40"/>
      <c r="AB301" s="41"/>
      <c r="AD301" s="17">
        <f t="shared" si="39"/>
        <v>-1548</v>
      </c>
      <c r="AE301" s="18">
        <f t="shared" si="42"/>
        <v>1548</v>
      </c>
    </row>
    <row r="302" spans="1:31" ht="230.25" outlineLevel="4" thickBot="1" x14ac:dyDescent="0.25">
      <c r="A302" s="43" t="s">
        <v>656</v>
      </c>
      <c r="B302" s="150" t="s">
        <v>976</v>
      </c>
      <c r="C302" s="75" t="s">
        <v>658</v>
      </c>
      <c r="D302" s="147" t="s">
        <v>646</v>
      </c>
      <c r="E302" s="48" t="s">
        <v>67</v>
      </c>
      <c r="F302" s="48" t="s">
        <v>647</v>
      </c>
      <c r="G302" s="48" t="s">
        <v>648</v>
      </c>
      <c r="H302" s="39" t="s">
        <v>439</v>
      </c>
      <c r="I302" s="69">
        <v>2</v>
      </c>
      <c r="J302" s="70" t="s">
        <v>84</v>
      </c>
      <c r="K302" s="93" t="s">
        <v>75</v>
      </c>
      <c r="L302" s="71">
        <v>1</v>
      </c>
      <c r="M302" s="89">
        <v>3</v>
      </c>
      <c r="N302" s="32" t="s">
        <v>39</v>
      </c>
      <c r="O302" s="53" t="s">
        <v>76</v>
      </c>
      <c r="P302" s="71">
        <v>5</v>
      </c>
      <c r="Q302" s="97">
        <f t="shared" si="33"/>
        <v>15</v>
      </c>
      <c r="R302" s="72"/>
      <c r="S302" s="72"/>
      <c r="T302" s="72"/>
      <c r="U302" s="50"/>
      <c r="V302" s="51"/>
      <c r="W302" s="52"/>
      <c r="X302" s="51"/>
      <c r="Y302" s="51"/>
      <c r="Z302" s="53"/>
      <c r="AA302" s="40"/>
      <c r="AB302" s="41"/>
      <c r="AD302" s="17">
        <f t="shared" si="39"/>
        <v>6000</v>
      </c>
      <c r="AE302" s="18">
        <f t="shared" si="42"/>
        <v>6000</v>
      </c>
    </row>
    <row r="303" spans="1:31" ht="243" outlineLevel="4" thickBot="1" x14ac:dyDescent="0.25">
      <c r="A303" s="43" t="s">
        <v>659</v>
      </c>
      <c r="B303" s="151"/>
      <c r="C303" s="77"/>
      <c r="D303" s="148"/>
      <c r="E303" s="48" t="s">
        <v>71</v>
      </c>
      <c r="F303" s="48" t="s">
        <v>660</v>
      </c>
      <c r="G303" s="87" t="s">
        <v>598</v>
      </c>
      <c r="H303" s="88" t="s">
        <v>127</v>
      </c>
      <c r="I303" s="69">
        <v>3</v>
      </c>
      <c r="J303" s="70" t="s">
        <v>74</v>
      </c>
      <c r="K303" s="29" t="s">
        <v>642</v>
      </c>
      <c r="L303" s="71">
        <v>1</v>
      </c>
      <c r="M303" s="89">
        <v>3</v>
      </c>
      <c r="N303" s="32" t="s">
        <v>39</v>
      </c>
      <c r="O303" s="33" t="s">
        <v>166</v>
      </c>
      <c r="P303" s="71">
        <v>2</v>
      </c>
      <c r="Q303" s="97">
        <f t="shared" si="33"/>
        <v>6</v>
      </c>
      <c r="R303" s="72"/>
      <c r="S303" s="72"/>
      <c r="T303" s="72"/>
      <c r="U303" s="50"/>
      <c r="V303" s="51"/>
      <c r="W303" s="52"/>
      <c r="X303" s="51"/>
      <c r="Y303" s="51"/>
      <c r="Z303" s="53"/>
      <c r="AA303" s="40"/>
      <c r="AB303" s="41"/>
      <c r="AD303" s="17">
        <f t="shared" si="39"/>
        <v>6001</v>
      </c>
      <c r="AE303" s="18">
        <f t="shared" si="42"/>
        <v>6001</v>
      </c>
    </row>
    <row r="304" spans="1:31" ht="230.25" outlineLevel="4" thickBot="1" x14ac:dyDescent="0.25">
      <c r="A304" s="43" t="s">
        <v>661</v>
      </c>
      <c r="B304" s="150" t="s">
        <v>977</v>
      </c>
      <c r="C304" s="75" t="s">
        <v>663</v>
      </c>
      <c r="D304" s="147" t="s">
        <v>664</v>
      </c>
      <c r="E304" s="48" t="s">
        <v>256</v>
      </c>
      <c r="F304" s="48" t="s">
        <v>355</v>
      </c>
      <c r="G304" s="48" t="s">
        <v>438</v>
      </c>
      <c r="H304" s="39" t="s">
        <v>439</v>
      </c>
      <c r="I304" s="69">
        <v>1</v>
      </c>
      <c r="J304" s="70" t="s">
        <v>84</v>
      </c>
      <c r="K304" s="93" t="s">
        <v>75</v>
      </c>
      <c r="L304" s="71">
        <v>1</v>
      </c>
      <c r="M304" s="89">
        <v>3</v>
      </c>
      <c r="N304" s="32" t="s">
        <v>39</v>
      </c>
      <c r="O304" s="53" t="s">
        <v>76</v>
      </c>
      <c r="P304" s="71">
        <v>5</v>
      </c>
      <c r="Q304" s="97">
        <f t="shared" si="33"/>
        <v>15</v>
      </c>
      <c r="R304" s="72"/>
      <c r="S304" s="72"/>
      <c r="T304" s="72"/>
      <c r="U304" s="50"/>
      <c r="V304" s="51"/>
      <c r="W304" s="52"/>
      <c r="X304" s="51"/>
      <c r="Y304" s="51"/>
      <c r="Z304" s="53"/>
      <c r="AA304" s="40"/>
      <c r="AB304" s="41"/>
      <c r="AD304" s="17">
        <f t="shared" si="39"/>
        <v>-1551</v>
      </c>
      <c r="AE304" s="18">
        <f t="shared" si="42"/>
        <v>1551</v>
      </c>
    </row>
    <row r="305" spans="1:512" ht="332.25" outlineLevel="4" thickBot="1" x14ac:dyDescent="0.25">
      <c r="A305" s="43" t="s">
        <v>665</v>
      </c>
      <c r="B305" s="151"/>
      <c r="C305" s="77"/>
      <c r="D305" s="148"/>
      <c r="E305" s="48" t="s">
        <v>71</v>
      </c>
      <c r="F305" s="48" t="s">
        <v>666</v>
      </c>
      <c r="G305" s="48" t="s">
        <v>438</v>
      </c>
      <c r="H305" s="39" t="s">
        <v>439</v>
      </c>
      <c r="I305" s="69">
        <v>2</v>
      </c>
      <c r="J305" s="70" t="s">
        <v>74</v>
      </c>
      <c r="K305" s="29" t="s">
        <v>578</v>
      </c>
      <c r="L305" s="71">
        <v>1</v>
      </c>
      <c r="M305" s="89">
        <v>3</v>
      </c>
      <c r="N305" s="32" t="s">
        <v>39</v>
      </c>
      <c r="O305" s="33" t="s">
        <v>166</v>
      </c>
      <c r="P305" s="71">
        <v>2</v>
      </c>
      <c r="Q305" s="97">
        <f t="shared" si="33"/>
        <v>6</v>
      </c>
      <c r="R305" s="72"/>
      <c r="S305" s="72"/>
      <c r="T305" s="72"/>
      <c r="U305" s="50"/>
      <c r="V305" s="51"/>
      <c r="W305" s="52"/>
      <c r="X305" s="51"/>
      <c r="Y305" s="51"/>
      <c r="Z305" s="53"/>
      <c r="AA305" s="40"/>
      <c r="AB305" s="41"/>
      <c r="AD305" s="17">
        <f t="shared" si="39"/>
        <v>-1552</v>
      </c>
      <c r="AE305" s="18">
        <f t="shared" si="42"/>
        <v>1552</v>
      </c>
    </row>
    <row r="306" spans="1:512" ht="230.25" outlineLevel="4" thickBot="1" x14ac:dyDescent="0.25">
      <c r="A306" s="43" t="s">
        <v>667</v>
      </c>
      <c r="B306" s="150" t="s">
        <v>978</v>
      </c>
      <c r="C306" s="75" t="s">
        <v>669</v>
      </c>
      <c r="D306" s="147" t="s">
        <v>670</v>
      </c>
      <c r="E306" s="48" t="s">
        <v>67</v>
      </c>
      <c r="F306" s="48" t="s">
        <v>647</v>
      </c>
      <c r="G306" s="48" t="s">
        <v>648</v>
      </c>
      <c r="H306" s="39" t="s">
        <v>439</v>
      </c>
      <c r="I306" s="69">
        <v>2</v>
      </c>
      <c r="J306" s="70" t="s">
        <v>84</v>
      </c>
      <c r="K306" s="93" t="s">
        <v>75</v>
      </c>
      <c r="L306" s="71">
        <v>1</v>
      </c>
      <c r="M306" s="89">
        <v>3</v>
      </c>
      <c r="N306" s="32" t="s">
        <v>39</v>
      </c>
      <c r="O306" s="53" t="s">
        <v>76</v>
      </c>
      <c r="P306" s="71">
        <v>5</v>
      </c>
      <c r="Q306" s="97">
        <f t="shared" si="33"/>
        <v>15</v>
      </c>
      <c r="R306" s="72"/>
      <c r="S306" s="72"/>
      <c r="T306" s="72"/>
      <c r="U306" s="50"/>
      <c r="V306" s="51"/>
      <c r="W306" s="52"/>
      <c r="X306" s="51"/>
      <c r="Y306" s="51"/>
      <c r="Z306" s="53"/>
      <c r="AA306" s="40"/>
      <c r="AB306" s="41"/>
      <c r="AD306" s="17">
        <f t="shared" si="39"/>
        <v>-1553</v>
      </c>
      <c r="AE306" s="18">
        <f t="shared" si="42"/>
        <v>1553</v>
      </c>
    </row>
    <row r="307" spans="1:512" ht="332.25" outlineLevel="4" thickBot="1" x14ac:dyDescent="0.25">
      <c r="A307" s="43" t="s">
        <v>671</v>
      </c>
      <c r="B307" s="151"/>
      <c r="C307" s="77"/>
      <c r="D307" s="148"/>
      <c r="E307" s="48" t="s">
        <v>71</v>
      </c>
      <c r="F307" s="48" t="s">
        <v>666</v>
      </c>
      <c r="G307" s="48" t="s">
        <v>438</v>
      </c>
      <c r="H307" s="39" t="s">
        <v>439</v>
      </c>
      <c r="I307" s="69">
        <v>2</v>
      </c>
      <c r="J307" s="70" t="s">
        <v>74</v>
      </c>
      <c r="K307" s="29" t="s">
        <v>578</v>
      </c>
      <c r="L307" s="71">
        <v>1</v>
      </c>
      <c r="M307" s="89">
        <v>3</v>
      </c>
      <c r="N307" s="32" t="s">
        <v>39</v>
      </c>
      <c r="O307" s="33" t="s">
        <v>166</v>
      </c>
      <c r="P307" s="71">
        <v>2</v>
      </c>
      <c r="Q307" s="97">
        <f t="shared" si="33"/>
        <v>6</v>
      </c>
      <c r="R307" s="72"/>
      <c r="S307" s="72"/>
      <c r="T307" s="72"/>
      <c r="U307" s="50"/>
      <c r="V307" s="51"/>
      <c r="W307" s="52"/>
      <c r="X307" s="51"/>
      <c r="Y307" s="51"/>
      <c r="Z307" s="53"/>
      <c r="AA307" s="40"/>
      <c r="AB307" s="41"/>
      <c r="AD307" s="17">
        <f t="shared" si="39"/>
        <v>-1554</v>
      </c>
      <c r="AE307" s="18">
        <f t="shared" si="42"/>
        <v>1554</v>
      </c>
    </row>
    <row r="308" spans="1:512" ht="230.25" outlineLevel="4" thickBot="1" x14ac:dyDescent="0.25">
      <c r="A308" s="43" t="s">
        <v>672</v>
      </c>
      <c r="B308" s="150" t="s">
        <v>979</v>
      </c>
      <c r="C308" s="75" t="s">
        <v>674</v>
      </c>
      <c r="D308" s="147" t="s">
        <v>664</v>
      </c>
      <c r="E308" s="48" t="s">
        <v>256</v>
      </c>
      <c r="F308" s="48" t="s">
        <v>355</v>
      </c>
      <c r="G308" s="48" t="s">
        <v>438</v>
      </c>
      <c r="H308" s="39" t="s">
        <v>439</v>
      </c>
      <c r="I308" s="69">
        <v>1</v>
      </c>
      <c r="J308" s="70" t="s">
        <v>84</v>
      </c>
      <c r="K308" s="93" t="s">
        <v>75</v>
      </c>
      <c r="L308" s="71">
        <v>1</v>
      </c>
      <c r="M308" s="89">
        <v>3</v>
      </c>
      <c r="N308" s="32" t="s">
        <v>39</v>
      </c>
      <c r="O308" s="53" t="s">
        <v>76</v>
      </c>
      <c r="P308" s="71">
        <v>5</v>
      </c>
      <c r="Q308" s="97">
        <f t="shared" si="33"/>
        <v>15</v>
      </c>
      <c r="R308" s="72"/>
      <c r="S308" s="72"/>
      <c r="T308" s="72"/>
      <c r="U308" s="50"/>
      <c r="V308" s="51"/>
      <c r="W308" s="52"/>
      <c r="X308" s="51"/>
      <c r="Y308" s="51"/>
      <c r="Z308" s="53"/>
      <c r="AA308" s="40"/>
      <c r="AB308" s="41"/>
      <c r="AD308" s="17">
        <f t="shared" si="39"/>
        <v>-1555</v>
      </c>
      <c r="AE308" s="18">
        <f t="shared" si="42"/>
        <v>1555</v>
      </c>
      <c r="LZ308" s="98"/>
      <c r="MA308" s="98"/>
      <c r="MB308" s="98"/>
      <c r="MC308" s="98"/>
      <c r="MD308" s="98"/>
      <c r="ME308" s="98"/>
      <c r="MF308" s="98"/>
      <c r="MG308" s="98"/>
      <c r="MH308" s="98"/>
      <c r="MI308" s="98"/>
      <c r="MJ308" s="98"/>
      <c r="MK308" s="98"/>
      <c r="ML308" s="98"/>
      <c r="MM308" s="98"/>
      <c r="MN308" s="98"/>
      <c r="MO308" s="98"/>
      <c r="MP308" s="98"/>
      <c r="MQ308" s="98"/>
      <c r="MR308" s="98"/>
      <c r="MS308" s="98"/>
      <c r="MT308" s="98"/>
      <c r="MU308" s="98"/>
      <c r="MV308" s="98"/>
      <c r="MW308" s="98"/>
      <c r="MX308" s="98"/>
      <c r="MY308" s="98"/>
      <c r="MZ308" s="98"/>
      <c r="NA308" s="98"/>
      <c r="NB308" s="98"/>
      <c r="NC308" s="98"/>
      <c r="ND308" s="98"/>
      <c r="NE308" s="98"/>
      <c r="NF308" s="98"/>
      <c r="NG308" s="98"/>
      <c r="NH308" s="98"/>
      <c r="NI308" s="98"/>
      <c r="NJ308" s="98"/>
      <c r="NK308" s="98"/>
      <c r="NL308" s="98"/>
      <c r="NM308" s="98"/>
      <c r="NN308" s="98"/>
      <c r="NO308" s="98"/>
      <c r="NP308" s="98"/>
      <c r="NQ308" s="98"/>
      <c r="NR308" s="98"/>
      <c r="NS308" s="98"/>
      <c r="NT308" s="98"/>
      <c r="NU308" s="98"/>
      <c r="NV308" s="98"/>
      <c r="NW308" s="98"/>
      <c r="NX308" s="98"/>
      <c r="NY308" s="98"/>
      <c r="NZ308" s="98"/>
      <c r="OA308" s="98"/>
      <c r="OB308" s="98"/>
      <c r="OC308" s="98"/>
      <c r="OD308" s="98"/>
      <c r="OE308" s="98"/>
      <c r="OF308" s="98"/>
      <c r="OG308" s="98"/>
      <c r="OH308" s="98"/>
      <c r="OI308" s="98"/>
      <c r="OJ308" s="98"/>
      <c r="OK308" s="98"/>
      <c r="OL308" s="98"/>
      <c r="OM308" s="98"/>
      <c r="ON308" s="98"/>
      <c r="OO308" s="98"/>
      <c r="OP308" s="98"/>
      <c r="OQ308" s="98"/>
      <c r="OR308" s="98"/>
      <c r="OS308" s="98"/>
      <c r="OT308" s="98"/>
      <c r="OU308" s="98"/>
      <c r="OV308" s="98"/>
      <c r="OW308" s="98"/>
      <c r="OX308" s="98"/>
      <c r="OY308" s="98"/>
      <c r="OZ308" s="98"/>
      <c r="PA308" s="98"/>
      <c r="PB308" s="98"/>
      <c r="PC308" s="98"/>
      <c r="PD308" s="98"/>
      <c r="PE308" s="98"/>
      <c r="PF308" s="98"/>
      <c r="PG308" s="98"/>
      <c r="PH308" s="98"/>
      <c r="PI308" s="98"/>
      <c r="PJ308" s="98"/>
      <c r="PK308" s="98"/>
      <c r="PL308" s="98"/>
      <c r="PM308" s="98"/>
      <c r="PN308" s="98"/>
      <c r="PO308" s="98"/>
      <c r="PP308" s="98"/>
      <c r="PQ308" s="98"/>
      <c r="PR308" s="98"/>
      <c r="PS308" s="98"/>
      <c r="PT308" s="98"/>
      <c r="PU308" s="98"/>
      <c r="PV308" s="98"/>
      <c r="PW308" s="98"/>
      <c r="PX308" s="98"/>
      <c r="PY308" s="98"/>
      <c r="PZ308" s="98"/>
      <c r="QA308" s="98"/>
      <c r="QB308" s="98"/>
      <c r="QC308" s="98"/>
      <c r="QD308" s="98"/>
      <c r="QE308" s="98"/>
      <c r="QF308" s="98"/>
      <c r="QG308" s="98"/>
      <c r="QH308" s="98"/>
      <c r="QI308" s="98"/>
      <c r="QJ308" s="98"/>
      <c r="QK308" s="98"/>
      <c r="QL308" s="98"/>
      <c r="QM308" s="98"/>
      <c r="QN308" s="98"/>
      <c r="QO308" s="98"/>
      <c r="QP308" s="98"/>
      <c r="QQ308" s="98"/>
      <c r="QR308" s="98"/>
      <c r="QS308" s="98"/>
      <c r="QT308" s="98"/>
      <c r="QU308" s="98"/>
      <c r="QV308" s="98"/>
      <c r="QW308" s="98"/>
      <c r="QX308" s="98"/>
      <c r="QY308" s="98"/>
      <c r="QZ308" s="98"/>
      <c r="RA308" s="98"/>
      <c r="RB308" s="98"/>
      <c r="RC308" s="98"/>
      <c r="RD308" s="98"/>
      <c r="RE308" s="98"/>
      <c r="RF308" s="98"/>
      <c r="RG308" s="98"/>
      <c r="RH308" s="98"/>
      <c r="RI308" s="98"/>
      <c r="RJ308" s="98"/>
      <c r="RK308" s="98"/>
      <c r="RL308" s="98"/>
      <c r="RM308" s="98"/>
      <c r="RN308" s="98"/>
      <c r="RO308" s="98"/>
      <c r="RP308" s="98"/>
      <c r="RQ308" s="98"/>
      <c r="RR308" s="98"/>
      <c r="RS308" s="98"/>
      <c r="RT308" s="98"/>
      <c r="RU308" s="98"/>
      <c r="RV308" s="98"/>
      <c r="RW308" s="98"/>
      <c r="RX308" s="98"/>
      <c r="RY308" s="98"/>
      <c r="RZ308" s="98"/>
      <c r="SA308" s="98"/>
      <c r="SB308" s="98"/>
      <c r="SC308" s="98"/>
      <c r="SD308" s="98"/>
      <c r="SE308" s="98"/>
      <c r="SF308" s="98"/>
      <c r="SG308" s="98"/>
      <c r="SH308" s="98"/>
      <c r="SI308" s="98"/>
      <c r="SJ308" s="98"/>
      <c r="SK308" s="98"/>
      <c r="SL308" s="98"/>
      <c r="SM308" s="98"/>
      <c r="SN308" s="98"/>
      <c r="SO308" s="98"/>
      <c r="SP308" s="98"/>
      <c r="SQ308" s="98"/>
      <c r="SR308" s="98"/>
    </row>
    <row r="309" spans="1:512" ht="230.25" outlineLevel="4" thickBot="1" x14ac:dyDescent="0.25">
      <c r="A309" s="43" t="s">
        <v>675</v>
      </c>
      <c r="B309" s="151"/>
      <c r="C309" s="77"/>
      <c r="D309" s="148"/>
      <c r="E309" s="48" t="s">
        <v>71</v>
      </c>
      <c r="F309" s="48" t="s">
        <v>676</v>
      </c>
      <c r="G309" s="87" t="s">
        <v>615</v>
      </c>
      <c r="H309" s="88" t="s">
        <v>127</v>
      </c>
      <c r="I309" s="69">
        <v>3</v>
      </c>
      <c r="J309" s="70" t="s">
        <v>74</v>
      </c>
      <c r="K309" s="93" t="s">
        <v>616</v>
      </c>
      <c r="L309" s="71">
        <v>1</v>
      </c>
      <c r="M309" s="89">
        <v>3</v>
      </c>
      <c r="N309" s="32" t="s">
        <v>39</v>
      </c>
      <c r="O309" s="33" t="s">
        <v>143</v>
      </c>
      <c r="P309" s="71">
        <v>2</v>
      </c>
      <c r="Q309" s="97">
        <f t="shared" si="33"/>
        <v>6</v>
      </c>
      <c r="R309" s="72"/>
      <c r="S309" s="72"/>
      <c r="T309" s="72"/>
      <c r="U309" s="50"/>
      <c r="V309" s="51"/>
      <c r="W309" s="52"/>
      <c r="X309" s="51"/>
      <c r="Y309" s="51"/>
      <c r="Z309" s="53"/>
      <c r="AA309" s="40"/>
      <c r="AB309" s="41"/>
      <c r="AD309" s="17">
        <f t="shared" si="39"/>
        <v>-1556</v>
      </c>
      <c r="AE309" s="18">
        <f t="shared" si="42"/>
        <v>1556</v>
      </c>
      <c r="LZ309" s="98"/>
      <c r="MA309" s="98"/>
      <c r="MB309" s="98"/>
      <c r="MC309" s="98"/>
      <c r="MD309" s="98"/>
      <c r="ME309" s="98"/>
      <c r="MF309" s="98"/>
      <c r="MG309" s="98"/>
      <c r="MH309" s="98"/>
      <c r="MI309" s="98"/>
      <c r="MJ309" s="98"/>
      <c r="MK309" s="98"/>
      <c r="ML309" s="98"/>
      <c r="MM309" s="98"/>
      <c r="MN309" s="98"/>
      <c r="MO309" s="98"/>
      <c r="MP309" s="98"/>
      <c r="MQ309" s="98"/>
      <c r="MR309" s="98"/>
      <c r="MS309" s="98"/>
      <c r="MT309" s="98"/>
      <c r="MU309" s="98"/>
      <c r="MV309" s="98"/>
      <c r="MW309" s="98"/>
      <c r="MX309" s="98"/>
      <c r="MY309" s="98"/>
      <c r="MZ309" s="98"/>
      <c r="NA309" s="98"/>
      <c r="NB309" s="98"/>
      <c r="NC309" s="98"/>
      <c r="ND309" s="98"/>
      <c r="NE309" s="98"/>
      <c r="NF309" s="98"/>
      <c r="NG309" s="98"/>
      <c r="NH309" s="98"/>
      <c r="NI309" s="98"/>
      <c r="NJ309" s="98"/>
      <c r="NK309" s="98"/>
      <c r="NL309" s="98"/>
      <c r="NM309" s="98"/>
      <c r="NN309" s="98"/>
      <c r="NO309" s="98"/>
      <c r="NP309" s="98"/>
      <c r="NQ309" s="98"/>
      <c r="NR309" s="98"/>
      <c r="NS309" s="98"/>
      <c r="NT309" s="98"/>
      <c r="NU309" s="98"/>
      <c r="NV309" s="98"/>
      <c r="NW309" s="98"/>
      <c r="NX309" s="98"/>
      <c r="NY309" s="98"/>
      <c r="NZ309" s="98"/>
      <c r="OA309" s="98"/>
      <c r="OB309" s="98"/>
      <c r="OC309" s="98"/>
      <c r="OD309" s="98"/>
      <c r="OE309" s="98"/>
      <c r="OF309" s="98"/>
      <c r="OG309" s="98"/>
      <c r="OH309" s="98"/>
      <c r="OI309" s="98"/>
      <c r="OJ309" s="98"/>
      <c r="OK309" s="98"/>
      <c r="OL309" s="98"/>
      <c r="OM309" s="98"/>
      <c r="ON309" s="98"/>
      <c r="OO309" s="98"/>
      <c r="OP309" s="98"/>
      <c r="OQ309" s="98"/>
      <c r="OR309" s="98"/>
      <c r="OS309" s="98"/>
      <c r="OT309" s="98"/>
      <c r="OU309" s="98"/>
      <c r="OV309" s="98"/>
      <c r="OW309" s="98"/>
      <c r="OX309" s="98"/>
      <c r="OY309" s="98"/>
      <c r="OZ309" s="98"/>
      <c r="PA309" s="98"/>
      <c r="PB309" s="98"/>
      <c r="PC309" s="98"/>
      <c r="PD309" s="98"/>
      <c r="PE309" s="98"/>
      <c r="PF309" s="98"/>
      <c r="PG309" s="98"/>
      <c r="PH309" s="98"/>
      <c r="PI309" s="98"/>
      <c r="PJ309" s="98"/>
      <c r="PK309" s="98"/>
      <c r="PL309" s="98"/>
      <c r="PM309" s="98"/>
      <c r="PN309" s="98"/>
      <c r="PO309" s="98"/>
      <c r="PP309" s="98"/>
      <c r="PQ309" s="98"/>
      <c r="PR309" s="98"/>
      <c r="PS309" s="98"/>
      <c r="PT309" s="98"/>
      <c r="PU309" s="98"/>
      <c r="PV309" s="98"/>
      <c r="PW309" s="98"/>
      <c r="PX309" s="98"/>
      <c r="PY309" s="98"/>
      <c r="PZ309" s="98"/>
      <c r="QA309" s="98"/>
      <c r="QB309" s="98"/>
      <c r="QC309" s="98"/>
      <c r="QD309" s="98"/>
      <c r="QE309" s="98"/>
      <c r="QF309" s="98"/>
      <c r="QG309" s="98"/>
      <c r="QH309" s="98"/>
      <c r="QI309" s="98"/>
      <c r="QJ309" s="98"/>
      <c r="QK309" s="98"/>
      <c r="QL309" s="98"/>
      <c r="QM309" s="98"/>
      <c r="QN309" s="98"/>
      <c r="QO309" s="98"/>
      <c r="QP309" s="98"/>
      <c r="QQ309" s="98"/>
      <c r="QR309" s="98"/>
      <c r="QS309" s="98"/>
      <c r="QT309" s="98"/>
      <c r="QU309" s="98"/>
      <c r="QV309" s="98"/>
      <c r="QW309" s="98"/>
      <c r="QX309" s="98"/>
      <c r="QY309" s="98"/>
      <c r="QZ309" s="98"/>
      <c r="RA309" s="98"/>
      <c r="RB309" s="98"/>
      <c r="RC309" s="98"/>
      <c r="RD309" s="98"/>
      <c r="RE309" s="98"/>
      <c r="RF309" s="98"/>
      <c r="RG309" s="98"/>
      <c r="RH309" s="98"/>
      <c r="RI309" s="98"/>
      <c r="RJ309" s="98"/>
      <c r="RK309" s="98"/>
      <c r="RL309" s="98"/>
      <c r="RM309" s="98"/>
      <c r="RN309" s="98"/>
      <c r="RO309" s="98"/>
      <c r="RP309" s="98"/>
      <c r="RQ309" s="98"/>
      <c r="RR309" s="98"/>
      <c r="RS309" s="98"/>
      <c r="RT309" s="98"/>
      <c r="RU309" s="98"/>
      <c r="RV309" s="98"/>
      <c r="RW309" s="98"/>
      <c r="RX309" s="98"/>
      <c r="RY309" s="98"/>
      <c r="RZ309" s="98"/>
      <c r="SA309" s="98"/>
      <c r="SB309" s="98"/>
      <c r="SC309" s="98"/>
      <c r="SD309" s="98"/>
      <c r="SE309" s="98"/>
      <c r="SF309" s="98"/>
      <c r="SG309" s="98"/>
      <c r="SH309" s="98"/>
      <c r="SI309" s="98"/>
      <c r="SJ309" s="98"/>
      <c r="SK309" s="98"/>
      <c r="SL309" s="98"/>
      <c r="SM309" s="98"/>
      <c r="SN309" s="98"/>
      <c r="SO309" s="98"/>
      <c r="SP309" s="98"/>
      <c r="SQ309" s="98"/>
      <c r="SR309" s="98"/>
    </row>
    <row r="310" spans="1:512" ht="230.25" outlineLevel="4" thickBot="1" x14ac:dyDescent="0.25">
      <c r="A310" s="43" t="s">
        <v>677</v>
      </c>
      <c r="B310" s="105" t="s">
        <v>980</v>
      </c>
      <c r="C310" s="75" t="s">
        <v>679</v>
      </c>
      <c r="D310" s="147" t="s">
        <v>670</v>
      </c>
      <c r="E310" s="48" t="s">
        <v>67</v>
      </c>
      <c r="F310" s="48" t="s">
        <v>647</v>
      </c>
      <c r="G310" s="48" t="s">
        <v>648</v>
      </c>
      <c r="H310" s="39" t="s">
        <v>439</v>
      </c>
      <c r="I310" s="69">
        <v>2</v>
      </c>
      <c r="J310" s="70" t="s">
        <v>84</v>
      </c>
      <c r="K310" s="93" t="s">
        <v>75</v>
      </c>
      <c r="L310" s="71">
        <v>1</v>
      </c>
      <c r="M310" s="89">
        <v>3</v>
      </c>
      <c r="N310" s="32" t="s">
        <v>39</v>
      </c>
      <c r="O310" s="53" t="s">
        <v>76</v>
      </c>
      <c r="P310" s="71">
        <v>5</v>
      </c>
      <c r="Q310" s="97">
        <f t="shared" si="33"/>
        <v>15</v>
      </c>
      <c r="R310" s="72"/>
      <c r="S310" s="72"/>
      <c r="T310" s="72"/>
      <c r="U310" s="50"/>
      <c r="V310" s="51"/>
      <c r="W310" s="52"/>
      <c r="X310" s="51"/>
      <c r="Y310" s="51"/>
      <c r="Z310" s="53"/>
      <c r="AA310" s="40"/>
      <c r="AB310" s="41"/>
      <c r="AD310" s="17">
        <f t="shared" si="39"/>
        <v>-1557</v>
      </c>
      <c r="AE310" s="18">
        <f t="shared" si="42"/>
        <v>1557</v>
      </c>
      <c r="LZ310" s="98"/>
      <c r="MA310" s="98"/>
      <c r="MB310" s="98"/>
      <c r="MC310" s="98"/>
      <c r="MD310" s="98"/>
      <c r="ME310" s="98"/>
      <c r="MF310" s="98"/>
      <c r="MG310" s="98"/>
      <c r="MH310" s="98"/>
      <c r="MI310" s="98"/>
      <c r="MJ310" s="98"/>
      <c r="MK310" s="98"/>
      <c r="ML310" s="98"/>
      <c r="MM310" s="98"/>
      <c r="MN310" s="98"/>
      <c r="MO310" s="98"/>
      <c r="MP310" s="98"/>
      <c r="MQ310" s="98"/>
      <c r="MR310" s="98"/>
      <c r="MS310" s="98"/>
      <c r="MT310" s="98"/>
      <c r="MU310" s="98"/>
      <c r="MV310" s="98"/>
      <c r="MW310" s="98"/>
      <c r="MX310" s="98"/>
      <c r="MY310" s="98"/>
      <c r="MZ310" s="98"/>
      <c r="NA310" s="98"/>
      <c r="NB310" s="98"/>
      <c r="NC310" s="98"/>
      <c r="ND310" s="98"/>
      <c r="NE310" s="98"/>
      <c r="NF310" s="98"/>
      <c r="NG310" s="98"/>
      <c r="NH310" s="98"/>
      <c r="NI310" s="98"/>
      <c r="NJ310" s="98"/>
      <c r="NK310" s="98"/>
      <c r="NL310" s="98"/>
      <c r="NM310" s="98"/>
      <c r="NN310" s="98"/>
      <c r="NO310" s="98"/>
      <c r="NP310" s="98"/>
      <c r="NQ310" s="98"/>
      <c r="NR310" s="98"/>
      <c r="NS310" s="98"/>
      <c r="NT310" s="98"/>
      <c r="NU310" s="98"/>
      <c r="NV310" s="98"/>
      <c r="NW310" s="98"/>
      <c r="NX310" s="98"/>
      <c r="NY310" s="98"/>
      <c r="NZ310" s="98"/>
      <c r="OA310" s="98"/>
      <c r="OB310" s="98"/>
      <c r="OC310" s="98"/>
      <c r="OD310" s="98"/>
      <c r="OE310" s="98"/>
      <c r="OF310" s="98"/>
      <c r="OG310" s="98"/>
      <c r="OH310" s="98"/>
      <c r="OI310" s="98"/>
      <c r="OJ310" s="98"/>
      <c r="OK310" s="98"/>
      <c r="OL310" s="98"/>
      <c r="OM310" s="98"/>
      <c r="ON310" s="98"/>
      <c r="OO310" s="98"/>
      <c r="OP310" s="98"/>
      <c r="OQ310" s="98"/>
      <c r="OR310" s="98"/>
      <c r="OS310" s="98"/>
      <c r="OT310" s="98"/>
      <c r="OU310" s="98"/>
      <c r="OV310" s="98"/>
      <c r="OW310" s="98"/>
      <c r="OX310" s="98"/>
      <c r="OY310" s="98"/>
      <c r="OZ310" s="98"/>
      <c r="PA310" s="98"/>
      <c r="PB310" s="98"/>
      <c r="PC310" s="98"/>
      <c r="PD310" s="98"/>
      <c r="PE310" s="98"/>
      <c r="PF310" s="98"/>
      <c r="PG310" s="98"/>
      <c r="PH310" s="98"/>
      <c r="PI310" s="98"/>
      <c r="PJ310" s="98"/>
      <c r="PK310" s="98"/>
      <c r="PL310" s="98"/>
      <c r="PM310" s="98"/>
      <c r="PN310" s="98"/>
      <c r="PO310" s="98"/>
      <c r="PP310" s="98"/>
      <c r="PQ310" s="98"/>
      <c r="PR310" s="98"/>
      <c r="PS310" s="98"/>
      <c r="PT310" s="98"/>
      <c r="PU310" s="98"/>
      <c r="PV310" s="98"/>
      <c r="PW310" s="98"/>
      <c r="PX310" s="98"/>
      <c r="PY310" s="98"/>
      <c r="PZ310" s="98"/>
      <c r="QA310" s="98"/>
      <c r="QB310" s="98"/>
      <c r="QC310" s="98"/>
      <c r="QD310" s="98"/>
      <c r="QE310" s="98"/>
      <c r="QF310" s="98"/>
      <c r="QG310" s="98"/>
      <c r="QH310" s="98"/>
      <c r="QI310" s="98"/>
      <c r="QJ310" s="98"/>
      <c r="QK310" s="98"/>
      <c r="QL310" s="98"/>
      <c r="QM310" s="98"/>
      <c r="QN310" s="98"/>
      <c r="QO310" s="98"/>
      <c r="QP310" s="98"/>
      <c r="QQ310" s="98"/>
      <c r="QR310" s="98"/>
      <c r="QS310" s="98"/>
      <c r="QT310" s="98"/>
      <c r="QU310" s="98"/>
      <c r="QV310" s="98"/>
      <c r="QW310" s="98"/>
      <c r="QX310" s="98"/>
      <c r="QY310" s="98"/>
      <c r="QZ310" s="98"/>
      <c r="RA310" s="98"/>
      <c r="RB310" s="98"/>
      <c r="RC310" s="98"/>
      <c r="RD310" s="98"/>
      <c r="RE310" s="98"/>
      <c r="RF310" s="98"/>
      <c r="RG310" s="98"/>
      <c r="RH310" s="98"/>
      <c r="RI310" s="98"/>
      <c r="RJ310" s="98"/>
      <c r="RK310" s="98"/>
      <c r="RL310" s="98"/>
      <c r="RM310" s="98"/>
      <c r="RN310" s="98"/>
      <c r="RO310" s="98"/>
      <c r="RP310" s="98"/>
      <c r="RQ310" s="98"/>
      <c r="RR310" s="98"/>
      <c r="RS310" s="98"/>
      <c r="RT310" s="98"/>
      <c r="RU310" s="98"/>
      <c r="RV310" s="98"/>
      <c r="RW310" s="98"/>
      <c r="RX310" s="98"/>
      <c r="RY310" s="98"/>
      <c r="RZ310" s="98"/>
      <c r="SA310" s="98"/>
      <c r="SB310" s="98"/>
      <c r="SC310" s="98"/>
      <c r="SD310" s="98"/>
      <c r="SE310" s="98"/>
      <c r="SF310" s="98"/>
      <c r="SG310" s="98"/>
      <c r="SH310" s="98"/>
      <c r="SI310" s="98"/>
      <c r="SJ310" s="98"/>
      <c r="SK310" s="98"/>
      <c r="SL310" s="98"/>
      <c r="SM310" s="98"/>
      <c r="SN310" s="98"/>
      <c r="SO310" s="98"/>
      <c r="SP310" s="98"/>
      <c r="SQ310" s="98"/>
      <c r="SR310" s="98"/>
    </row>
    <row r="311" spans="1:512" ht="230.25" outlineLevel="4" thickBot="1" x14ac:dyDescent="0.25">
      <c r="A311" s="43" t="s">
        <v>680</v>
      </c>
      <c r="B311" s="106"/>
      <c r="C311" s="83"/>
      <c r="D311" s="176"/>
      <c r="E311" s="48" t="s">
        <v>71</v>
      </c>
      <c r="F311" s="48" t="s">
        <v>676</v>
      </c>
      <c r="G311" s="87" t="s">
        <v>615</v>
      </c>
      <c r="H311" s="88" t="s">
        <v>127</v>
      </c>
      <c r="I311" s="69">
        <v>3</v>
      </c>
      <c r="J311" s="70" t="s">
        <v>74</v>
      </c>
      <c r="K311" s="93" t="s">
        <v>616</v>
      </c>
      <c r="L311" s="71">
        <v>1</v>
      </c>
      <c r="M311" s="89">
        <v>3</v>
      </c>
      <c r="N311" s="32" t="s">
        <v>39</v>
      </c>
      <c r="O311" s="33" t="s">
        <v>143</v>
      </c>
      <c r="P311" s="71">
        <v>2</v>
      </c>
      <c r="Q311" s="97">
        <f t="shared" si="33"/>
        <v>6</v>
      </c>
      <c r="R311" s="72"/>
      <c r="S311" s="72"/>
      <c r="T311" s="72"/>
      <c r="U311" s="50"/>
      <c r="V311" s="51"/>
      <c r="W311" s="52"/>
      <c r="X311" s="51"/>
      <c r="Y311" s="51"/>
      <c r="Z311" s="53"/>
      <c r="AA311" s="40"/>
      <c r="AB311" s="41"/>
      <c r="AD311" s="17">
        <f t="shared" si="39"/>
        <v>-1558</v>
      </c>
      <c r="AE311" s="18">
        <f t="shared" si="42"/>
        <v>1558</v>
      </c>
      <c r="LZ311" s="98"/>
      <c r="MA311" s="98"/>
      <c r="MB311" s="98"/>
      <c r="MC311" s="98"/>
      <c r="MD311" s="98"/>
      <c r="ME311" s="98"/>
      <c r="MF311" s="98"/>
      <c r="MG311" s="98"/>
      <c r="MH311" s="98"/>
      <c r="MI311" s="98"/>
      <c r="MJ311" s="98"/>
      <c r="MK311" s="98"/>
      <c r="ML311" s="98"/>
      <c r="MM311" s="98"/>
      <c r="MN311" s="98"/>
      <c r="MO311" s="98"/>
      <c r="MP311" s="98"/>
      <c r="MQ311" s="98"/>
      <c r="MR311" s="98"/>
      <c r="MS311" s="98"/>
      <c r="MT311" s="98"/>
      <c r="MU311" s="98"/>
      <c r="MV311" s="98"/>
      <c r="MW311" s="98"/>
      <c r="MX311" s="98"/>
      <c r="MY311" s="98"/>
      <c r="MZ311" s="98"/>
      <c r="NA311" s="98"/>
      <c r="NB311" s="98"/>
      <c r="NC311" s="98"/>
      <c r="ND311" s="98"/>
      <c r="NE311" s="98"/>
      <c r="NF311" s="98"/>
      <c r="NG311" s="98"/>
      <c r="NH311" s="98"/>
      <c r="NI311" s="98"/>
      <c r="NJ311" s="98"/>
      <c r="NK311" s="98"/>
      <c r="NL311" s="98"/>
      <c r="NM311" s="98"/>
      <c r="NN311" s="98"/>
      <c r="NO311" s="98"/>
      <c r="NP311" s="98"/>
      <c r="NQ311" s="98"/>
      <c r="NR311" s="98"/>
      <c r="NS311" s="98"/>
      <c r="NT311" s="98"/>
      <c r="NU311" s="98"/>
      <c r="NV311" s="98"/>
      <c r="NW311" s="98"/>
      <c r="NX311" s="98"/>
      <c r="NY311" s="98"/>
      <c r="NZ311" s="98"/>
      <c r="OA311" s="98"/>
      <c r="OB311" s="98"/>
      <c r="OC311" s="98"/>
      <c r="OD311" s="98"/>
      <c r="OE311" s="98"/>
      <c r="OF311" s="98"/>
      <c r="OG311" s="98"/>
      <c r="OH311" s="98"/>
      <c r="OI311" s="98"/>
      <c r="OJ311" s="98"/>
      <c r="OK311" s="98"/>
      <c r="OL311" s="98"/>
      <c r="OM311" s="98"/>
      <c r="ON311" s="98"/>
      <c r="OO311" s="98"/>
      <c r="OP311" s="98"/>
      <c r="OQ311" s="98"/>
      <c r="OR311" s="98"/>
      <c r="OS311" s="98"/>
      <c r="OT311" s="98"/>
      <c r="OU311" s="98"/>
      <c r="OV311" s="98"/>
      <c r="OW311" s="98"/>
      <c r="OX311" s="98"/>
      <c r="OY311" s="98"/>
      <c r="OZ311" s="98"/>
      <c r="PA311" s="98"/>
      <c r="PB311" s="98"/>
      <c r="PC311" s="98"/>
      <c r="PD311" s="98"/>
      <c r="PE311" s="98"/>
      <c r="PF311" s="98"/>
      <c r="PG311" s="98"/>
      <c r="PH311" s="98"/>
      <c r="PI311" s="98"/>
      <c r="PJ311" s="98"/>
      <c r="PK311" s="98"/>
      <c r="PL311" s="98"/>
      <c r="PM311" s="98"/>
      <c r="PN311" s="98"/>
      <c r="PO311" s="98"/>
      <c r="PP311" s="98"/>
      <c r="PQ311" s="98"/>
      <c r="PR311" s="98"/>
      <c r="PS311" s="98"/>
      <c r="PT311" s="98"/>
      <c r="PU311" s="98"/>
      <c r="PV311" s="98"/>
      <c r="PW311" s="98"/>
      <c r="PX311" s="98"/>
      <c r="PY311" s="98"/>
      <c r="PZ311" s="98"/>
      <c r="QA311" s="98"/>
      <c r="QB311" s="98"/>
      <c r="QC311" s="98"/>
      <c r="QD311" s="98"/>
      <c r="QE311" s="98"/>
      <c r="QF311" s="98"/>
      <c r="QG311" s="98"/>
      <c r="QH311" s="98"/>
      <c r="QI311" s="98"/>
      <c r="QJ311" s="98"/>
      <c r="QK311" s="98"/>
      <c r="QL311" s="98"/>
      <c r="QM311" s="98"/>
      <c r="QN311" s="98"/>
      <c r="QO311" s="98"/>
      <c r="QP311" s="98"/>
      <c r="QQ311" s="98"/>
      <c r="QR311" s="98"/>
      <c r="QS311" s="98"/>
      <c r="QT311" s="98"/>
      <c r="QU311" s="98"/>
      <c r="QV311" s="98"/>
      <c r="QW311" s="98"/>
      <c r="QX311" s="98"/>
      <c r="QY311" s="98"/>
      <c r="QZ311" s="98"/>
      <c r="RA311" s="98"/>
      <c r="RB311" s="98"/>
      <c r="RC311" s="98"/>
      <c r="RD311" s="98"/>
      <c r="RE311" s="98"/>
      <c r="RF311" s="98"/>
      <c r="RG311" s="98"/>
      <c r="RH311" s="98"/>
      <c r="RI311" s="98"/>
      <c r="RJ311" s="98"/>
      <c r="RK311" s="98"/>
      <c r="RL311" s="98"/>
      <c r="RM311" s="98"/>
      <c r="RN311" s="98"/>
      <c r="RO311" s="98"/>
      <c r="RP311" s="98"/>
      <c r="RQ311" s="98"/>
      <c r="RR311" s="98"/>
      <c r="RS311" s="98"/>
      <c r="RT311" s="98"/>
      <c r="RU311" s="98"/>
      <c r="RV311" s="98"/>
      <c r="RW311" s="98"/>
      <c r="RX311" s="98"/>
      <c r="RY311" s="98"/>
      <c r="RZ311" s="98"/>
      <c r="SA311" s="98"/>
      <c r="SB311" s="98"/>
      <c r="SC311" s="98"/>
      <c r="SD311" s="98"/>
      <c r="SE311" s="98"/>
      <c r="SF311" s="98"/>
      <c r="SG311" s="98"/>
      <c r="SH311" s="98"/>
      <c r="SI311" s="98"/>
      <c r="SJ311" s="98"/>
      <c r="SK311" s="98"/>
      <c r="SL311" s="98"/>
      <c r="SM311" s="98"/>
      <c r="SN311" s="98"/>
      <c r="SO311" s="98"/>
      <c r="SP311" s="98"/>
      <c r="SQ311" s="98"/>
      <c r="SR311" s="98"/>
    </row>
    <row r="312" spans="1:512" ht="230.25" outlineLevel="4" thickBot="1" x14ac:dyDescent="0.25">
      <c r="A312" s="43" t="s">
        <v>981</v>
      </c>
      <c r="B312" s="150" t="s">
        <v>682</v>
      </c>
      <c r="C312" s="171" t="s">
        <v>982</v>
      </c>
      <c r="D312" s="147" t="s">
        <v>684</v>
      </c>
      <c r="E312" s="87" t="s">
        <v>33</v>
      </c>
      <c r="F312" s="51" t="s">
        <v>685</v>
      </c>
      <c r="G312" s="66" t="s">
        <v>457</v>
      </c>
      <c r="H312" s="26" t="s">
        <v>127</v>
      </c>
      <c r="I312" s="27">
        <v>3</v>
      </c>
      <c r="J312" s="70" t="s">
        <v>463</v>
      </c>
      <c r="K312" s="29" t="s">
        <v>496</v>
      </c>
      <c r="L312" s="71">
        <v>1</v>
      </c>
      <c r="M312" s="89">
        <f>I312*L312</f>
        <v>3</v>
      </c>
      <c r="N312" s="32" t="s">
        <v>39</v>
      </c>
      <c r="O312" s="53" t="s">
        <v>686</v>
      </c>
      <c r="P312" s="90">
        <v>2</v>
      </c>
      <c r="Q312" s="97">
        <f t="shared" si="33"/>
        <v>6</v>
      </c>
      <c r="R312" s="72"/>
      <c r="S312" s="72"/>
      <c r="T312" s="72"/>
      <c r="U312" s="50"/>
      <c r="V312" s="51"/>
      <c r="W312" s="52"/>
      <c r="X312" s="51"/>
      <c r="Y312" s="51"/>
      <c r="Z312" s="53"/>
      <c r="AA312" s="40"/>
      <c r="AB312" s="41"/>
      <c r="AD312" s="17">
        <f t="shared" si="39"/>
        <v>10562</v>
      </c>
      <c r="AE312" s="18"/>
      <c r="LZ312" s="98"/>
      <c r="MA312" s="98"/>
      <c r="MB312" s="98"/>
      <c r="MC312" s="98"/>
      <c r="MD312" s="98"/>
      <c r="ME312" s="98"/>
      <c r="MF312" s="98"/>
      <c r="MG312" s="98"/>
      <c r="MH312" s="98"/>
      <c r="MI312" s="98"/>
      <c r="MJ312" s="98"/>
      <c r="MK312" s="98"/>
      <c r="ML312" s="98"/>
      <c r="MM312" s="98"/>
      <c r="MN312" s="98"/>
      <c r="MO312" s="98"/>
      <c r="MP312" s="98"/>
      <c r="MQ312" s="98"/>
      <c r="MR312" s="98"/>
      <c r="MS312" s="98"/>
      <c r="MT312" s="98"/>
      <c r="MU312" s="98"/>
      <c r="MV312" s="98"/>
      <c r="MW312" s="98"/>
      <c r="MX312" s="98"/>
      <c r="MY312" s="98"/>
      <c r="MZ312" s="98"/>
      <c r="NA312" s="98"/>
      <c r="NB312" s="98"/>
      <c r="NC312" s="98"/>
      <c r="ND312" s="98"/>
      <c r="NE312" s="98"/>
      <c r="NF312" s="98"/>
      <c r="NG312" s="98"/>
      <c r="NH312" s="98"/>
      <c r="NI312" s="98"/>
      <c r="NJ312" s="98"/>
      <c r="NK312" s="98"/>
      <c r="NL312" s="98"/>
      <c r="NM312" s="98"/>
      <c r="NN312" s="98"/>
      <c r="NO312" s="98"/>
      <c r="NP312" s="98"/>
      <c r="NQ312" s="98"/>
      <c r="NR312" s="98"/>
      <c r="NS312" s="98"/>
      <c r="NT312" s="98"/>
      <c r="NU312" s="98"/>
      <c r="NV312" s="98"/>
      <c r="NW312" s="98"/>
      <c r="NX312" s="98"/>
      <c r="NY312" s="98"/>
      <c r="NZ312" s="98"/>
      <c r="OA312" s="98"/>
      <c r="OB312" s="98"/>
      <c r="OC312" s="98"/>
      <c r="OD312" s="98"/>
      <c r="OE312" s="98"/>
      <c r="OF312" s="98"/>
      <c r="OG312" s="98"/>
      <c r="OH312" s="98"/>
      <c r="OI312" s="98"/>
      <c r="OJ312" s="98"/>
      <c r="OK312" s="98"/>
      <c r="OL312" s="98"/>
      <c r="OM312" s="98"/>
      <c r="ON312" s="98"/>
      <c r="OO312" s="98"/>
      <c r="OP312" s="98"/>
      <c r="OQ312" s="98"/>
      <c r="OR312" s="98"/>
      <c r="OS312" s="98"/>
      <c r="OT312" s="98"/>
      <c r="OU312" s="98"/>
      <c r="OV312" s="98"/>
      <c r="OW312" s="98"/>
      <c r="OX312" s="98"/>
      <c r="OY312" s="98"/>
      <c r="OZ312" s="98"/>
      <c r="PA312" s="98"/>
      <c r="PB312" s="98"/>
      <c r="PC312" s="98"/>
      <c r="PD312" s="98"/>
      <c r="PE312" s="98"/>
      <c r="PF312" s="98"/>
      <c r="PG312" s="98"/>
      <c r="PH312" s="98"/>
      <c r="PI312" s="98"/>
      <c r="PJ312" s="98"/>
      <c r="PK312" s="98"/>
      <c r="PL312" s="98"/>
      <c r="PM312" s="98"/>
      <c r="PN312" s="98"/>
      <c r="PO312" s="98"/>
      <c r="PP312" s="98"/>
      <c r="PQ312" s="98"/>
      <c r="PR312" s="98"/>
      <c r="PS312" s="98"/>
      <c r="PT312" s="98"/>
      <c r="PU312" s="98"/>
      <c r="PV312" s="98"/>
      <c r="PW312" s="98"/>
      <c r="PX312" s="98"/>
      <c r="PY312" s="98"/>
      <c r="PZ312" s="98"/>
      <c r="QA312" s="98"/>
      <c r="QB312" s="98"/>
      <c r="QC312" s="98"/>
      <c r="QD312" s="98"/>
      <c r="QE312" s="98"/>
      <c r="QF312" s="98"/>
      <c r="QG312" s="98"/>
      <c r="QH312" s="98"/>
      <c r="QI312" s="98"/>
      <c r="QJ312" s="98"/>
      <c r="QK312" s="98"/>
      <c r="QL312" s="98"/>
      <c r="QM312" s="98"/>
      <c r="QN312" s="98"/>
      <c r="QO312" s="98"/>
      <c r="QP312" s="98"/>
      <c r="QQ312" s="98"/>
      <c r="QR312" s="98"/>
      <c r="QS312" s="98"/>
      <c r="QT312" s="98"/>
      <c r="QU312" s="98"/>
      <c r="QV312" s="98"/>
      <c r="QW312" s="98"/>
      <c r="QX312" s="98"/>
      <c r="QY312" s="98"/>
      <c r="QZ312" s="98"/>
      <c r="RA312" s="98"/>
      <c r="RB312" s="98"/>
      <c r="RC312" s="98"/>
      <c r="RD312" s="98"/>
      <c r="RE312" s="98"/>
      <c r="RF312" s="98"/>
      <c r="RG312" s="98"/>
      <c r="RH312" s="98"/>
      <c r="RI312" s="98"/>
      <c r="RJ312" s="98"/>
      <c r="RK312" s="98"/>
      <c r="RL312" s="98"/>
      <c r="RM312" s="98"/>
      <c r="RN312" s="98"/>
      <c r="RO312" s="98"/>
      <c r="RP312" s="98"/>
      <c r="RQ312" s="98"/>
      <c r="RR312" s="98"/>
      <c r="RS312" s="98"/>
      <c r="RT312" s="98"/>
      <c r="RU312" s="98"/>
      <c r="RV312" s="98"/>
      <c r="RW312" s="98"/>
      <c r="RX312" s="98"/>
      <c r="RY312" s="98"/>
      <c r="RZ312" s="98"/>
      <c r="SA312" s="98"/>
      <c r="SB312" s="98"/>
      <c r="SC312" s="98"/>
      <c r="SD312" s="98"/>
      <c r="SE312" s="98"/>
      <c r="SF312" s="98"/>
      <c r="SG312" s="98"/>
      <c r="SH312" s="98"/>
      <c r="SI312" s="98"/>
      <c r="SJ312" s="98"/>
      <c r="SK312" s="98"/>
      <c r="SL312" s="98"/>
      <c r="SM312" s="98"/>
      <c r="SN312" s="98"/>
      <c r="SO312" s="98"/>
      <c r="SP312" s="98"/>
      <c r="SQ312" s="98"/>
      <c r="SR312" s="98"/>
    </row>
    <row r="313" spans="1:512" ht="230.25" outlineLevel="4" thickBot="1" x14ac:dyDescent="0.25">
      <c r="A313" s="43" t="s">
        <v>983</v>
      </c>
      <c r="B313" s="173"/>
      <c r="C313" s="179"/>
      <c r="D313" s="176"/>
      <c r="E313" s="87" t="s">
        <v>43</v>
      </c>
      <c r="F313" s="51" t="s">
        <v>688</v>
      </c>
      <c r="G313" s="66" t="s">
        <v>689</v>
      </c>
      <c r="H313" s="26" t="s">
        <v>690</v>
      </c>
      <c r="I313" s="27">
        <v>2</v>
      </c>
      <c r="J313" s="70" t="s">
        <v>463</v>
      </c>
      <c r="K313" s="29" t="s">
        <v>487</v>
      </c>
      <c r="L313" s="30">
        <v>1</v>
      </c>
      <c r="M313" s="89">
        <f>I313*L313</f>
        <v>2</v>
      </c>
      <c r="N313" s="32" t="s">
        <v>39</v>
      </c>
      <c r="O313" s="53" t="s">
        <v>76</v>
      </c>
      <c r="P313" s="90">
        <v>5</v>
      </c>
      <c r="Q313" s="97">
        <f t="shared" si="33"/>
        <v>10</v>
      </c>
      <c r="R313" s="72"/>
      <c r="S313" s="72"/>
      <c r="T313" s="72"/>
      <c r="U313" s="50"/>
      <c r="V313" s="51"/>
      <c r="W313" s="52"/>
      <c r="X313" s="51"/>
      <c r="Y313" s="51"/>
      <c r="Z313" s="53"/>
      <c r="AA313" s="40"/>
      <c r="AB313" s="41"/>
      <c r="AD313" s="17">
        <f t="shared" si="39"/>
        <v>10563</v>
      </c>
      <c r="AE313" s="18"/>
      <c r="LZ313" s="98"/>
      <c r="MA313" s="98"/>
      <c r="MB313" s="98"/>
      <c r="MC313" s="98"/>
      <c r="MD313" s="98"/>
      <c r="ME313" s="98"/>
      <c r="MF313" s="98"/>
      <c r="MG313" s="98"/>
      <c r="MH313" s="98"/>
      <c r="MI313" s="98"/>
      <c r="MJ313" s="98"/>
      <c r="MK313" s="98"/>
      <c r="ML313" s="98"/>
      <c r="MM313" s="98"/>
      <c r="MN313" s="98"/>
      <c r="MO313" s="98"/>
      <c r="MP313" s="98"/>
      <c r="MQ313" s="98"/>
      <c r="MR313" s="98"/>
      <c r="MS313" s="98"/>
      <c r="MT313" s="98"/>
      <c r="MU313" s="98"/>
      <c r="MV313" s="98"/>
      <c r="MW313" s="98"/>
      <c r="MX313" s="98"/>
      <c r="MY313" s="98"/>
      <c r="MZ313" s="98"/>
      <c r="NA313" s="98"/>
      <c r="NB313" s="98"/>
      <c r="NC313" s="98"/>
      <c r="ND313" s="98"/>
      <c r="NE313" s="98"/>
      <c r="NF313" s="98"/>
      <c r="NG313" s="98"/>
      <c r="NH313" s="98"/>
      <c r="NI313" s="98"/>
      <c r="NJ313" s="98"/>
      <c r="NK313" s="98"/>
      <c r="NL313" s="98"/>
      <c r="NM313" s="98"/>
      <c r="NN313" s="98"/>
      <c r="NO313" s="98"/>
      <c r="NP313" s="98"/>
      <c r="NQ313" s="98"/>
      <c r="NR313" s="98"/>
      <c r="NS313" s="98"/>
      <c r="NT313" s="98"/>
      <c r="NU313" s="98"/>
      <c r="NV313" s="98"/>
      <c r="NW313" s="98"/>
      <c r="NX313" s="98"/>
      <c r="NY313" s="98"/>
      <c r="NZ313" s="98"/>
      <c r="OA313" s="98"/>
      <c r="OB313" s="98"/>
      <c r="OC313" s="98"/>
      <c r="OD313" s="98"/>
      <c r="OE313" s="98"/>
      <c r="OF313" s="98"/>
      <c r="OG313" s="98"/>
      <c r="OH313" s="98"/>
      <c r="OI313" s="98"/>
      <c r="OJ313" s="98"/>
      <c r="OK313" s="98"/>
      <c r="OL313" s="98"/>
      <c r="OM313" s="98"/>
      <c r="ON313" s="98"/>
      <c r="OO313" s="98"/>
      <c r="OP313" s="98"/>
      <c r="OQ313" s="98"/>
      <c r="OR313" s="98"/>
      <c r="OS313" s="98"/>
      <c r="OT313" s="98"/>
      <c r="OU313" s="98"/>
      <c r="OV313" s="98"/>
      <c r="OW313" s="98"/>
      <c r="OX313" s="98"/>
      <c r="OY313" s="98"/>
      <c r="OZ313" s="98"/>
      <c r="PA313" s="98"/>
      <c r="PB313" s="98"/>
      <c r="PC313" s="98"/>
      <c r="PD313" s="98"/>
      <c r="PE313" s="98"/>
      <c r="PF313" s="98"/>
      <c r="PG313" s="98"/>
      <c r="PH313" s="98"/>
      <c r="PI313" s="98"/>
      <c r="PJ313" s="98"/>
      <c r="PK313" s="98"/>
      <c r="PL313" s="98"/>
      <c r="PM313" s="98"/>
      <c r="PN313" s="98"/>
      <c r="PO313" s="98"/>
      <c r="PP313" s="98"/>
      <c r="PQ313" s="98"/>
      <c r="PR313" s="98"/>
      <c r="PS313" s="98"/>
      <c r="PT313" s="98"/>
      <c r="PU313" s="98"/>
      <c r="PV313" s="98"/>
      <c r="PW313" s="98"/>
      <c r="PX313" s="98"/>
      <c r="PY313" s="98"/>
      <c r="PZ313" s="98"/>
      <c r="QA313" s="98"/>
      <c r="QB313" s="98"/>
      <c r="QC313" s="98"/>
      <c r="QD313" s="98"/>
      <c r="QE313" s="98"/>
      <c r="QF313" s="98"/>
      <c r="QG313" s="98"/>
      <c r="QH313" s="98"/>
      <c r="QI313" s="98"/>
      <c r="QJ313" s="98"/>
      <c r="QK313" s="98"/>
      <c r="QL313" s="98"/>
      <c r="QM313" s="98"/>
      <c r="QN313" s="98"/>
      <c r="QO313" s="98"/>
      <c r="QP313" s="98"/>
      <c r="QQ313" s="98"/>
      <c r="QR313" s="98"/>
      <c r="QS313" s="98"/>
      <c r="QT313" s="98"/>
      <c r="QU313" s="98"/>
      <c r="QV313" s="98"/>
      <c r="QW313" s="98"/>
      <c r="QX313" s="98"/>
      <c r="QY313" s="98"/>
      <c r="QZ313" s="98"/>
      <c r="RA313" s="98"/>
      <c r="RB313" s="98"/>
      <c r="RC313" s="98"/>
      <c r="RD313" s="98"/>
      <c r="RE313" s="98"/>
      <c r="RF313" s="98"/>
      <c r="RG313" s="98"/>
      <c r="RH313" s="98"/>
      <c r="RI313" s="98"/>
      <c r="RJ313" s="98"/>
      <c r="RK313" s="98"/>
      <c r="RL313" s="98"/>
      <c r="RM313" s="98"/>
      <c r="RN313" s="98"/>
      <c r="RO313" s="98"/>
      <c r="RP313" s="98"/>
      <c r="RQ313" s="98"/>
      <c r="RR313" s="98"/>
      <c r="RS313" s="98"/>
      <c r="RT313" s="98"/>
      <c r="RU313" s="98"/>
      <c r="RV313" s="98"/>
      <c r="RW313" s="98"/>
      <c r="RX313" s="98"/>
      <c r="RY313" s="98"/>
      <c r="RZ313" s="98"/>
      <c r="SA313" s="98"/>
      <c r="SB313" s="98"/>
      <c r="SC313" s="98"/>
      <c r="SD313" s="98"/>
      <c r="SE313" s="98"/>
      <c r="SF313" s="98"/>
      <c r="SG313" s="98"/>
      <c r="SH313" s="98"/>
      <c r="SI313" s="98"/>
      <c r="SJ313" s="98"/>
      <c r="SK313" s="98"/>
      <c r="SL313" s="98"/>
      <c r="SM313" s="98"/>
      <c r="SN313" s="98"/>
      <c r="SO313" s="98"/>
      <c r="SP313" s="98"/>
      <c r="SQ313" s="98"/>
      <c r="SR313" s="98"/>
    </row>
    <row r="314" spans="1:512" ht="230.25" outlineLevel="4" thickBot="1" x14ac:dyDescent="0.25">
      <c r="A314" s="43" t="s">
        <v>984</v>
      </c>
      <c r="B314" s="151"/>
      <c r="C314" s="172"/>
      <c r="D314" s="148"/>
      <c r="E314" s="87" t="s">
        <v>466</v>
      </c>
      <c r="F314" s="51" t="s">
        <v>692</v>
      </c>
      <c r="G314" s="37" t="s">
        <v>457</v>
      </c>
      <c r="H314" s="88" t="s">
        <v>127</v>
      </c>
      <c r="I314" s="92">
        <v>3</v>
      </c>
      <c r="J314" s="70" t="s">
        <v>468</v>
      </c>
      <c r="K314" s="93" t="s">
        <v>469</v>
      </c>
      <c r="L314" s="71">
        <v>2</v>
      </c>
      <c r="M314" s="89">
        <f t="shared" ref="M314" si="46">I314*L314</f>
        <v>6</v>
      </c>
      <c r="N314" s="32" t="s">
        <v>39</v>
      </c>
      <c r="O314" s="53" t="s">
        <v>686</v>
      </c>
      <c r="P314" s="94">
        <v>2</v>
      </c>
      <c r="Q314" s="91">
        <f>P314*M314</f>
        <v>12</v>
      </c>
      <c r="R314" s="72"/>
      <c r="S314" s="72"/>
      <c r="T314" s="72"/>
      <c r="U314" s="50"/>
      <c r="V314" s="51"/>
      <c r="W314" s="52"/>
      <c r="X314" s="51"/>
      <c r="Y314" s="51"/>
      <c r="Z314" s="53"/>
      <c r="AA314" s="40"/>
      <c r="AB314" s="41"/>
      <c r="AD314" s="17">
        <f t="shared" si="39"/>
        <v>16657</v>
      </c>
      <c r="AE314" s="18"/>
      <c r="LZ314" s="98"/>
      <c r="MA314" s="98"/>
      <c r="MB314" s="98"/>
      <c r="MC314" s="98"/>
      <c r="MD314" s="98"/>
      <c r="ME314" s="98"/>
      <c r="MF314" s="98"/>
      <c r="MG314" s="98"/>
      <c r="MH314" s="98"/>
      <c r="MI314" s="98"/>
      <c r="MJ314" s="98"/>
      <c r="MK314" s="98"/>
      <c r="ML314" s="98"/>
      <c r="MM314" s="98"/>
      <c r="MN314" s="98"/>
      <c r="MO314" s="98"/>
      <c r="MP314" s="98"/>
      <c r="MQ314" s="98"/>
      <c r="MR314" s="98"/>
      <c r="MS314" s="98"/>
      <c r="MT314" s="98"/>
      <c r="MU314" s="98"/>
      <c r="MV314" s="98"/>
      <c r="MW314" s="98"/>
      <c r="MX314" s="98"/>
      <c r="MY314" s="98"/>
      <c r="MZ314" s="98"/>
      <c r="NA314" s="98"/>
      <c r="NB314" s="98"/>
      <c r="NC314" s="98"/>
      <c r="ND314" s="98"/>
      <c r="NE314" s="98"/>
      <c r="NF314" s="98"/>
      <c r="NG314" s="98"/>
      <c r="NH314" s="98"/>
      <c r="NI314" s="98"/>
      <c r="NJ314" s="98"/>
      <c r="NK314" s="98"/>
      <c r="NL314" s="98"/>
      <c r="NM314" s="98"/>
      <c r="NN314" s="98"/>
      <c r="NO314" s="98"/>
      <c r="NP314" s="98"/>
      <c r="NQ314" s="98"/>
      <c r="NR314" s="98"/>
      <c r="NS314" s="98"/>
      <c r="NT314" s="98"/>
      <c r="NU314" s="98"/>
      <c r="NV314" s="98"/>
      <c r="NW314" s="98"/>
      <c r="NX314" s="98"/>
      <c r="NY314" s="98"/>
      <c r="NZ314" s="98"/>
      <c r="OA314" s="98"/>
      <c r="OB314" s="98"/>
      <c r="OC314" s="98"/>
      <c r="OD314" s="98"/>
      <c r="OE314" s="98"/>
      <c r="OF314" s="98"/>
      <c r="OG314" s="98"/>
      <c r="OH314" s="98"/>
      <c r="OI314" s="98"/>
      <c r="OJ314" s="98"/>
      <c r="OK314" s="98"/>
      <c r="OL314" s="98"/>
      <c r="OM314" s="98"/>
      <c r="ON314" s="98"/>
      <c r="OO314" s="98"/>
      <c r="OP314" s="98"/>
      <c r="OQ314" s="98"/>
      <c r="OR314" s="98"/>
      <c r="OS314" s="98"/>
      <c r="OT314" s="98"/>
      <c r="OU314" s="98"/>
      <c r="OV314" s="98"/>
      <c r="OW314" s="98"/>
      <c r="OX314" s="98"/>
      <c r="OY314" s="98"/>
      <c r="OZ314" s="98"/>
      <c r="PA314" s="98"/>
      <c r="PB314" s="98"/>
      <c r="PC314" s="98"/>
      <c r="PD314" s="98"/>
      <c r="PE314" s="98"/>
      <c r="PF314" s="98"/>
      <c r="PG314" s="98"/>
      <c r="PH314" s="98"/>
      <c r="PI314" s="98"/>
      <c r="PJ314" s="98"/>
      <c r="PK314" s="98"/>
      <c r="PL314" s="98"/>
      <c r="PM314" s="98"/>
      <c r="PN314" s="98"/>
      <c r="PO314" s="98"/>
      <c r="PP314" s="98"/>
      <c r="PQ314" s="98"/>
      <c r="PR314" s="98"/>
      <c r="PS314" s="98"/>
      <c r="PT314" s="98"/>
      <c r="PU314" s="98"/>
      <c r="PV314" s="98"/>
      <c r="PW314" s="98"/>
      <c r="PX314" s="98"/>
      <c r="PY314" s="98"/>
      <c r="PZ314" s="98"/>
      <c r="QA314" s="98"/>
      <c r="QB314" s="98"/>
      <c r="QC314" s="98"/>
      <c r="QD314" s="98"/>
      <c r="QE314" s="98"/>
      <c r="QF314" s="98"/>
      <c r="QG314" s="98"/>
      <c r="QH314" s="98"/>
      <c r="QI314" s="98"/>
      <c r="QJ314" s="98"/>
      <c r="QK314" s="98"/>
      <c r="QL314" s="98"/>
      <c r="QM314" s="98"/>
      <c r="QN314" s="98"/>
      <c r="QO314" s="98"/>
      <c r="QP314" s="98"/>
      <c r="QQ314" s="98"/>
      <c r="QR314" s="98"/>
      <c r="QS314" s="98"/>
      <c r="QT314" s="98"/>
      <c r="QU314" s="98"/>
      <c r="QV314" s="98"/>
      <c r="QW314" s="98"/>
      <c r="QX314" s="98"/>
      <c r="QY314" s="98"/>
      <c r="QZ314" s="98"/>
      <c r="RA314" s="98"/>
      <c r="RB314" s="98"/>
      <c r="RC314" s="98"/>
      <c r="RD314" s="98"/>
      <c r="RE314" s="98"/>
      <c r="RF314" s="98"/>
      <c r="RG314" s="98"/>
      <c r="RH314" s="98"/>
      <c r="RI314" s="98"/>
      <c r="RJ314" s="98"/>
      <c r="RK314" s="98"/>
      <c r="RL314" s="98"/>
      <c r="RM314" s="98"/>
      <c r="RN314" s="98"/>
      <c r="RO314" s="98"/>
      <c r="RP314" s="98"/>
      <c r="RQ314" s="98"/>
      <c r="RR314" s="98"/>
      <c r="RS314" s="98"/>
      <c r="RT314" s="98"/>
      <c r="RU314" s="98"/>
      <c r="RV314" s="98"/>
      <c r="RW314" s="98"/>
      <c r="RX314" s="98"/>
      <c r="RY314" s="98"/>
      <c r="RZ314" s="98"/>
      <c r="SA314" s="98"/>
      <c r="SB314" s="98"/>
      <c r="SC314" s="98"/>
      <c r="SD314" s="98"/>
      <c r="SE314" s="98"/>
      <c r="SF314" s="98"/>
      <c r="SG314" s="98"/>
      <c r="SH314" s="98"/>
      <c r="SI314" s="98"/>
      <c r="SJ314" s="98"/>
      <c r="SK314" s="98"/>
      <c r="SL314" s="98"/>
      <c r="SM314" s="98"/>
      <c r="SN314" s="98"/>
      <c r="SO314" s="98"/>
      <c r="SP314" s="98"/>
      <c r="SQ314" s="98"/>
      <c r="SR314" s="98"/>
    </row>
    <row r="315" spans="1:512" ht="230.25" outlineLevel="4" thickBot="1" x14ac:dyDescent="0.25">
      <c r="A315" s="43" t="s">
        <v>985</v>
      </c>
      <c r="B315" s="150" t="s">
        <v>682</v>
      </c>
      <c r="C315" s="171" t="s">
        <v>986</v>
      </c>
      <c r="D315" s="147" t="s">
        <v>987</v>
      </c>
      <c r="E315" s="87" t="s">
        <v>33</v>
      </c>
      <c r="F315" s="51" t="s">
        <v>696</v>
      </c>
      <c r="G315" s="48" t="s">
        <v>648</v>
      </c>
      <c r="H315" s="88" t="s">
        <v>697</v>
      </c>
      <c r="I315" s="92">
        <v>1</v>
      </c>
      <c r="J315" s="70" t="s">
        <v>463</v>
      </c>
      <c r="K315" s="93" t="s">
        <v>464</v>
      </c>
      <c r="L315" s="71">
        <v>1</v>
      </c>
      <c r="M315" s="89">
        <f>I315*L315</f>
        <v>1</v>
      </c>
      <c r="N315" s="32" t="s">
        <v>39</v>
      </c>
      <c r="O315" s="53" t="s">
        <v>76</v>
      </c>
      <c r="P315" s="90">
        <v>5</v>
      </c>
      <c r="Q315" s="97">
        <f t="shared" si="33"/>
        <v>5</v>
      </c>
      <c r="R315" s="72"/>
      <c r="S315" s="72"/>
      <c r="T315" s="72"/>
      <c r="U315" s="50"/>
      <c r="V315" s="51"/>
      <c r="W315" s="52"/>
      <c r="X315" s="51"/>
      <c r="Y315" s="51"/>
      <c r="Z315" s="53"/>
      <c r="AA315" s="40"/>
      <c r="AB315" s="41"/>
      <c r="AD315" s="17">
        <f t="shared" si="39"/>
        <v>10564</v>
      </c>
      <c r="AE315" s="18"/>
      <c r="LZ315" s="98"/>
      <c r="MA315" s="98"/>
      <c r="MB315" s="98"/>
      <c r="MC315" s="98"/>
      <c r="MD315" s="98"/>
      <c r="ME315" s="98"/>
      <c r="MF315" s="98"/>
      <c r="MG315" s="98"/>
      <c r="MH315" s="98"/>
      <c r="MI315" s="98"/>
      <c r="MJ315" s="98"/>
      <c r="MK315" s="98"/>
      <c r="ML315" s="98"/>
      <c r="MM315" s="98"/>
      <c r="MN315" s="98"/>
      <c r="MO315" s="98"/>
      <c r="MP315" s="98"/>
      <c r="MQ315" s="98"/>
      <c r="MR315" s="98"/>
      <c r="MS315" s="98"/>
      <c r="MT315" s="98"/>
      <c r="MU315" s="98"/>
      <c r="MV315" s="98"/>
      <c r="MW315" s="98"/>
      <c r="MX315" s="98"/>
      <c r="MY315" s="98"/>
      <c r="MZ315" s="98"/>
      <c r="NA315" s="98"/>
      <c r="NB315" s="98"/>
      <c r="NC315" s="98"/>
      <c r="ND315" s="98"/>
      <c r="NE315" s="98"/>
      <c r="NF315" s="98"/>
      <c r="NG315" s="98"/>
      <c r="NH315" s="98"/>
      <c r="NI315" s="98"/>
      <c r="NJ315" s="98"/>
      <c r="NK315" s="98"/>
      <c r="NL315" s="98"/>
      <c r="NM315" s="98"/>
      <c r="NN315" s="98"/>
      <c r="NO315" s="98"/>
      <c r="NP315" s="98"/>
      <c r="NQ315" s="98"/>
      <c r="NR315" s="98"/>
      <c r="NS315" s="98"/>
      <c r="NT315" s="98"/>
      <c r="NU315" s="98"/>
      <c r="NV315" s="98"/>
      <c r="NW315" s="98"/>
      <c r="NX315" s="98"/>
      <c r="NY315" s="98"/>
      <c r="NZ315" s="98"/>
      <c r="OA315" s="98"/>
      <c r="OB315" s="98"/>
      <c r="OC315" s="98"/>
      <c r="OD315" s="98"/>
      <c r="OE315" s="98"/>
      <c r="OF315" s="98"/>
      <c r="OG315" s="98"/>
      <c r="OH315" s="98"/>
      <c r="OI315" s="98"/>
      <c r="OJ315" s="98"/>
      <c r="OK315" s="98"/>
      <c r="OL315" s="98"/>
      <c r="OM315" s="98"/>
      <c r="ON315" s="98"/>
      <c r="OO315" s="98"/>
      <c r="OP315" s="98"/>
      <c r="OQ315" s="98"/>
      <c r="OR315" s="98"/>
      <c r="OS315" s="98"/>
      <c r="OT315" s="98"/>
      <c r="OU315" s="98"/>
      <c r="OV315" s="98"/>
      <c r="OW315" s="98"/>
      <c r="OX315" s="98"/>
      <c r="OY315" s="98"/>
      <c r="OZ315" s="98"/>
      <c r="PA315" s="98"/>
      <c r="PB315" s="98"/>
      <c r="PC315" s="98"/>
      <c r="PD315" s="98"/>
      <c r="PE315" s="98"/>
      <c r="PF315" s="98"/>
      <c r="PG315" s="98"/>
      <c r="PH315" s="98"/>
      <c r="PI315" s="98"/>
      <c r="PJ315" s="98"/>
      <c r="PK315" s="98"/>
      <c r="PL315" s="98"/>
      <c r="PM315" s="98"/>
      <c r="PN315" s="98"/>
      <c r="PO315" s="98"/>
      <c r="PP315" s="98"/>
      <c r="PQ315" s="98"/>
      <c r="PR315" s="98"/>
      <c r="PS315" s="98"/>
      <c r="PT315" s="98"/>
      <c r="PU315" s="98"/>
      <c r="PV315" s="98"/>
      <c r="PW315" s="98"/>
      <c r="PX315" s="98"/>
      <c r="PY315" s="98"/>
      <c r="PZ315" s="98"/>
      <c r="QA315" s="98"/>
      <c r="QB315" s="98"/>
      <c r="QC315" s="98"/>
      <c r="QD315" s="98"/>
      <c r="QE315" s="98"/>
      <c r="QF315" s="98"/>
      <c r="QG315" s="98"/>
      <c r="QH315" s="98"/>
      <c r="QI315" s="98"/>
      <c r="QJ315" s="98"/>
      <c r="QK315" s="98"/>
      <c r="QL315" s="98"/>
      <c r="QM315" s="98"/>
      <c r="QN315" s="98"/>
      <c r="QO315" s="98"/>
      <c r="QP315" s="98"/>
      <c r="QQ315" s="98"/>
      <c r="QR315" s="98"/>
      <c r="QS315" s="98"/>
      <c r="QT315" s="98"/>
      <c r="QU315" s="98"/>
      <c r="QV315" s="98"/>
      <c r="QW315" s="98"/>
      <c r="QX315" s="98"/>
      <c r="QY315" s="98"/>
      <c r="QZ315" s="98"/>
      <c r="RA315" s="98"/>
      <c r="RB315" s="98"/>
      <c r="RC315" s="98"/>
      <c r="RD315" s="98"/>
      <c r="RE315" s="98"/>
      <c r="RF315" s="98"/>
      <c r="RG315" s="98"/>
      <c r="RH315" s="98"/>
      <c r="RI315" s="98"/>
      <c r="RJ315" s="98"/>
      <c r="RK315" s="98"/>
      <c r="RL315" s="98"/>
      <c r="RM315" s="98"/>
      <c r="RN315" s="98"/>
      <c r="RO315" s="98"/>
      <c r="RP315" s="98"/>
      <c r="RQ315" s="98"/>
      <c r="RR315" s="98"/>
      <c r="RS315" s="98"/>
      <c r="RT315" s="98"/>
      <c r="RU315" s="98"/>
      <c r="RV315" s="98"/>
      <c r="RW315" s="98"/>
      <c r="RX315" s="98"/>
      <c r="RY315" s="98"/>
      <c r="RZ315" s="98"/>
      <c r="SA315" s="98"/>
      <c r="SB315" s="98"/>
      <c r="SC315" s="98"/>
      <c r="SD315" s="98"/>
      <c r="SE315" s="98"/>
      <c r="SF315" s="98"/>
      <c r="SG315" s="98"/>
      <c r="SH315" s="98"/>
      <c r="SI315" s="98"/>
      <c r="SJ315" s="98"/>
      <c r="SK315" s="98"/>
      <c r="SL315" s="98"/>
      <c r="SM315" s="98"/>
      <c r="SN315" s="98"/>
      <c r="SO315" s="98"/>
      <c r="SP315" s="98"/>
      <c r="SQ315" s="98"/>
      <c r="SR315" s="98"/>
    </row>
    <row r="316" spans="1:512" ht="230.25" outlineLevel="4" thickBot="1" x14ac:dyDescent="0.25">
      <c r="A316" s="43" t="s">
        <v>988</v>
      </c>
      <c r="B316" s="173"/>
      <c r="C316" s="179"/>
      <c r="D316" s="176"/>
      <c r="E316" s="87" t="s">
        <v>43</v>
      </c>
      <c r="F316" s="51" t="s">
        <v>696</v>
      </c>
      <c r="G316" s="48" t="s">
        <v>648</v>
      </c>
      <c r="H316" s="88" t="s">
        <v>697</v>
      </c>
      <c r="I316" s="92">
        <v>1</v>
      </c>
      <c r="J316" s="70" t="s">
        <v>463</v>
      </c>
      <c r="K316" s="93" t="s">
        <v>464</v>
      </c>
      <c r="L316" s="71">
        <v>1</v>
      </c>
      <c r="M316" s="89">
        <f>I316*L316</f>
        <v>1</v>
      </c>
      <c r="N316" s="32" t="s">
        <v>39</v>
      </c>
      <c r="O316" s="53" t="s">
        <v>76</v>
      </c>
      <c r="P316" s="90">
        <v>5</v>
      </c>
      <c r="Q316" s="97">
        <f t="shared" si="33"/>
        <v>5</v>
      </c>
      <c r="R316" s="72"/>
      <c r="S316" s="72"/>
      <c r="T316" s="72"/>
      <c r="U316" s="50"/>
      <c r="V316" s="51"/>
      <c r="W316" s="52"/>
      <c r="X316" s="51"/>
      <c r="Y316" s="51"/>
      <c r="Z316" s="53"/>
      <c r="AA316" s="40"/>
      <c r="AB316" s="41"/>
      <c r="AD316" s="17">
        <f t="shared" si="39"/>
        <v>10565</v>
      </c>
      <c r="AE316" s="18"/>
      <c r="LZ316" s="98"/>
      <c r="MA316" s="98"/>
      <c r="MB316" s="98"/>
      <c r="MC316" s="98"/>
      <c r="MD316" s="98"/>
      <c r="ME316" s="98"/>
      <c r="MF316" s="98"/>
      <c r="MG316" s="98"/>
      <c r="MH316" s="98"/>
      <c r="MI316" s="98"/>
      <c r="MJ316" s="98"/>
      <c r="MK316" s="98"/>
      <c r="ML316" s="98"/>
      <c r="MM316" s="98"/>
      <c r="MN316" s="98"/>
      <c r="MO316" s="98"/>
      <c r="MP316" s="98"/>
      <c r="MQ316" s="98"/>
      <c r="MR316" s="98"/>
      <c r="MS316" s="98"/>
      <c r="MT316" s="98"/>
      <c r="MU316" s="98"/>
      <c r="MV316" s="98"/>
      <c r="MW316" s="98"/>
      <c r="MX316" s="98"/>
      <c r="MY316" s="98"/>
      <c r="MZ316" s="98"/>
      <c r="NA316" s="98"/>
      <c r="NB316" s="98"/>
      <c r="NC316" s="98"/>
      <c r="ND316" s="98"/>
      <c r="NE316" s="98"/>
      <c r="NF316" s="98"/>
      <c r="NG316" s="98"/>
      <c r="NH316" s="98"/>
      <c r="NI316" s="98"/>
      <c r="NJ316" s="98"/>
      <c r="NK316" s="98"/>
      <c r="NL316" s="98"/>
      <c r="NM316" s="98"/>
      <c r="NN316" s="98"/>
      <c r="NO316" s="98"/>
      <c r="NP316" s="98"/>
      <c r="NQ316" s="98"/>
      <c r="NR316" s="98"/>
      <c r="NS316" s="98"/>
      <c r="NT316" s="98"/>
      <c r="NU316" s="98"/>
      <c r="NV316" s="98"/>
      <c r="NW316" s="98"/>
      <c r="NX316" s="98"/>
      <c r="NY316" s="98"/>
      <c r="NZ316" s="98"/>
      <c r="OA316" s="98"/>
      <c r="OB316" s="98"/>
      <c r="OC316" s="98"/>
      <c r="OD316" s="98"/>
      <c r="OE316" s="98"/>
      <c r="OF316" s="98"/>
      <c r="OG316" s="98"/>
      <c r="OH316" s="98"/>
      <c r="OI316" s="98"/>
      <c r="OJ316" s="98"/>
      <c r="OK316" s="98"/>
      <c r="OL316" s="98"/>
      <c r="OM316" s="98"/>
      <c r="ON316" s="98"/>
      <c r="OO316" s="98"/>
      <c r="OP316" s="98"/>
      <c r="OQ316" s="98"/>
      <c r="OR316" s="98"/>
      <c r="OS316" s="98"/>
      <c r="OT316" s="98"/>
      <c r="OU316" s="98"/>
      <c r="OV316" s="98"/>
      <c r="OW316" s="98"/>
      <c r="OX316" s="98"/>
      <c r="OY316" s="98"/>
      <c r="OZ316" s="98"/>
      <c r="PA316" s="98"/>
      <c r="PB316" s="98"/>
      <c r="PC316" s="98"/>
      <c r="PD316" s="98"/>
      <c r="PE316" s="98"/>
      <c r="PF316" s="98"/>
      <c r="PG316" s="98"/>
      <c r="PH316" s="98"/>
      <c r="PI316" s="98"/>
      <c r="PJ316" s="98"/>
      <c r="PK316" s="98"/>
      <c r="PL316" s="98"/>
      <c r="PM316" s="98"/>
      <c r="PN316" s="98"/>
      <c r="PO316" s="98"/>
      <c r="PP316" s="98"/>
      <c r="PQ316" s="98"/>
      <c r="PR316" s="98"/>
      <c r="PS316" s="98"/>
      <c r="PT316" s="98"/>
      <c r="PU316" s="98"/>
      <c r="PV316" s="98"/>
      <c r="PW316" s="98"/>
      <c r="PX316" s="98"/>
      <c r="PY316" s="98"/>
      <c r="PZ316" s="98"/>
      <c r="QA316" s="98"/>
      <c r="QB316" s="98"/>
      <c r="QC316" s="98"/>
      <c r="QD316" s="98"/>
      <c r="QE316" s="98"/>
      <c r="QF316" s="98"/>
      <c r="QG316" s="98"/>
      <c r="QH316" s="98"/>
      <c r="QI316" s="98"/>
      <c r="QJ316" s="98"/>
      <c r="QK316" s="98"/>
      <c r="QL316" s="98"/>
      <c r="QM316" s="98"/>
      <c r="QN316" s="98"/>
      <c r="QO316" s="98"/>
      <c r="QP316" s="98"/>
      <c r="QQ316" s="98"/>
      <c r="QR316" s="98"/>
      <c r="QS316" s="98"/>
      <c r="QT316" s="98"/>
      <c r="QU316" s="98"/>
      <c r="QV316" s="98"/>
      <c r="QW316" s="98"/>
      <c r="QX316" s="98"/>
      <c r="QY316" s="98"/>
      <c r="QZ316" s="98"/>
      <c r="RA316" s="98"/>
      <c r="RB316" s="98"/>
      <c r="RC316" s="98"/>
      <c r="RD316" s="98"/>
      <c r="RE316" s="98"/>
      <c r="RF316" s="98"/>
      <c r="RG316" s="98"/>
      <c r="RH316" s="98"/>
      <c r="RI316" s="98"/>
      <c r="RJ316" s="98"/>
      <c r="RK316" s="98"/>
      <c r="RL316" s="98"/>
      <c r="RM316" s="98"/>
      <c r="RN316" s="98"/>
      <c r="RO316" s="98"/>
      <c r="RP316" s="98"/>
      <c r="RQ316" s="98"/>
      <c r="RR316" s="98"/>
      <c r="RS316" s="98"/>
      <c r="RT316" s="98"/>
      <c r="RU316" s="98"/>
      <c r="RV316" s="98"/>
      <c r="RW316" s="98"/>
      <c r="RX316" s="98"/>
      <c r="RY316" s="98"/>
      <c r="RZ316" s="98"/>
      <c r="SA316" s="98"/>
      <c r="SB316" s="98"/>
      <c r="SC316" s="98"/>
      <c r="SD316" s="98"/>
      <c r="SE316" s="98"/>
      <c r="SF316" s="98"/>
      <c r="SG316" s="98"/>
      <c r="SH316" s="98"/>
      <c r="SI316" s="98"/>
      <c r="SJ316" s="98"/>
      <c r="SK316" s="98"/>
      <c r="SL316" s="98"/>
      <c r="SM316" s="98"/>
      <c r="SN316" s="98"/>
      <c r="SO316" s="98"/>
      <c r="SP316" s="98"/>
      <c r="SQ316" s="98"/>
      <c r="SR316" s="98"/>
    </row>
    <row r="317" spans="1:512" ht="230.25" outlineLevel="4" thickBot="1" x14ac:dyDescent="0.25">
      <c r="A317" s="43" t="s">
        <v>989</v>
      </c>
      <c r="B317" s="151"/>
      <c r="C317" s="172"/>
      <c r="D317" s="148"/>
      <c r="E317" s="87" t="s">
        <v>466</v>
      </c>
      <c r="F317" s="51" t="s">
        <v>696</v>
      </c>
      <c r="G317" s="48" t="s">
        <v>648</v>
      </c>
      <c r="H317" s="88" t="s">
        <v>697</v>
      </c>
      <c r="I317" s="92">
        <v>1</v>
      </c>
      <c r="J317" s="70" t="s">
        <v>468</v>
      </c>
      <c r="K317" s="93" t="s">
        <v>464</v>
      </c>
      <c r="L317" s="71">
        <v>1</v>
      </c>
      <c r="M317" s="89">
        <f>I317*L317</f>
        <v>1</v>
      </c>
      <c r="N317" s="32" t="s">
        <v>39</v>
      </c>
      <c r="O317" s="53" t="s">
        <v>76</v>
      </c>
      <c r="P317" s="94">
        <v>5</v>
      </c>
      <c r="Q317" s="91">
        <f>P317*M317</f>
        <v>5</v>
      </c>
      <c r="R317" s="72"/>
      <c r="S317" s="72"/>
      <c r="T317" s="72"/>
      <c r="U317" s="50"/>
      <c r="V317" s="51"/>
      <c r="W317" s="52"/>
      <c r="X317" s="51"/>
      <c r="Y317" s="51"/>
      <c r="Z317" s="53"/>
      <c r="AA317" s="40"/>
      <c r="AB317" s="41"/>
      <c r="AD317" s="17">
        <f t="shared" si="39"/>
        <v>16658</v>
      </c>
      <c r="AE317" s="18"/>
      <c r="LZ317" s="98"/>
      <c r="MA317" s="98"/>
      <c r="MB317" s="98"/>
      <c r="MC317" s="98"/>
      <c r="MD317" s="98"/>
      <c r="ME317" s="98"/>
      <c r="MF317" s="98"/>
      <c r="MG317" s="98"/>
      <c r="MH317" s="98"/>
      <c r="MI317" s="98"/>
      <c r="MJ317" s="98"/>
      <c r="MK317" s="98"/>
      <c r="ML317" s="98"/>
      <c r="MM317" s="98"/>
      <c r="MN317" s="98"/>
      <c r="MO317" s="98"/>
      <c r="MP317" s="98"/>
      <c r="MQ317" s="98"/>
      <c r="MR317" s="98"/>
      <c r="MS317" s="98"/>
      <c r="MT317" s="98"/>
      <c r="MU317" s="98"/>
      <c r="MV317" s="98"/>
      <c r="MW317" s="98"/>
      <c r="MX317" s="98"/>
      <c r="MY317" s="98"/>
      <c r="MZ317" s="98"/>
      <c r="NA317" s="98"/>
      <c r="NB317" s="98"/>
      <c r="NC317" s="98"/>
      <c r="ND317" s="98"/>
      <c r="NE317" s="98"/>
      <c r="NF317" s="98"/>
      <c r="NG317" s="98"/>
      <c r="NH317" s="98"/>
      <c r="NI317" s="98"/>
      <c r="NJ317" s="98"/>
      <c r="NK317" s="98"/>
      <c r="NL317" s="98"/>
      <c r="NM317" s="98"/>
      <c r="NN317" s="98"/>
      <c r="NO317" s="98"/>
      <c r="NP317" s="98"/>
      <c r="NQ317" s="98"/>
      <c r="NR317" s="98"/>
      <c r="NS317" s="98"/>
      <c r="NT317" s="98"/>
      <c r="NU317" s="98"/>
      <c r="NV317" s="98"/>
      <c r="NW317" s="98"/>
      <c r="NX317" s="98"/>
      <c r="NY317" s="98"/>
      <c r="NZ317" s="98"/>
      <c r="OA317" s="98"/>
      <c r="OB317" s="98"/>
      <c r="OC317" s="98"/>
      <c r="OD317" s="98"/>
      <c r="OE317" s="98"/>
      <c r="OF317" s="98"/>
      <c r="OG317" s="98"/>
      <c r="OH317" s="98"/>
      <c r="OI317" s="98"/>
      <c r="OJ317" s="98"/>
      <c r="OK317" s="98"/>
      <c r="OL317" s="98"/>
      <c r="OM317" s="98"/>
      <c r="ON317" s="98"/>
      <c r="OO317" s="98"/>
      <c r="OP317" s="98"/>
      <c r="OQ317" s="98"/>
      <c r="OR317" s="98"/>
      <c r="OS317" s="98"/>
      <c r="OT317" s="98"/>
      <c r="OU317" s="98"/>
      <c r="OV317" s="98"/>
      <c r="OW317" s="98"/>
      <c r="OX317" s="98"/>
      <c r="OY317" s="98"/>
      <c r="OZ317" s="98"/>
      <c r="PA317" s="98"/>
      <c r="PB317" s="98"/>
      <c r="PC317" s="98"/>
      <c r="PD317" s="98"/>
      <c r="PE317" s="98"/>
      <c r="PF317" s="98"/>
      <c r="PG317" s="98"/>
      <c r="PH317" s="98"/>
      <c r="PI317" s="98"/>
      <c r="PJ317" s="98"/>
      <c r="PK317" s="98"/>
      <c r="PL317" s="98"/>
      <c r="PM317" s="98"/>
      <c r="PN317" s="98"/>
      <c r="PO317" s="98"/>
      <c r="PP317" s="98"/>
      <c r="PQ317" s="98"/>
      <c r="PR317" s="98"/>
      <c r="PS317" s="98"/>
      <c r="PT317" s="98"/>
      <c r="PU317" s="98"/>
      <c r="PV317" s="98"/>
      <c r="PW317" s="98"/>
      <c r="PX317" s="98"/>
      <c r="PY317" s="98"/>
      <c r="PZ317" s="98"/>
      <c r="QA317" s="98"/>
      <c r="QB317" s="98"/>
      <c r="QC317" s="98"/>
      <c r="QD317" s="98"/>
      <c r="QE317" s="98"/>
      <c r="QF317" s="98"/>
      <c r="QG317" s="98"/>
      <c r="QH317" s="98"/>
      <c r="QI317" s="98"/>
      <c r="QJ317" s="98"/>
      <c r="QK317" s="98"/>
      <c r="QL317" s="98"/>
      <c r="QM317" s="98"/>
      <c r="QN317" s="98"/>
      <c r="QO317" s="98"/>
      <c r="QP317" s="98"/>
      <c r="QQ317" s="98"/>
      <c r="QR317" s="98"/>
      <c r="QS317" s="98"/>
      <c r="QT317" s="98"/>
      <c r="QU317" s="98"/>
      <c r="QV317" s="98"/>
      <c r="QW317" s="98"/>
      <c r="QX317" s="98"/>
      <c r="QY317" s="98"/>
      <c r="QZ317" s="98"/>
      <c r="RA317" s="98"/>
      <c r="RB317" s="98"/>
      <c r="RC317" s="98"/>
      <c r="RD317" s="98"/>
      <c r="RE317" s="98"/>
      <c r="RF317" s="98"/>
      <c r="RG317" s="98"/>
      <c r="RH317" s="98"/>
      <c r="RI317" s="98"/>
      <c r="RJ317" s="98"/>
      <c r="RK317" s="98"/>
      <c r="RL317" s="98"/>
      <c r="RM317" s="98"/>
      <c r="RN317" s="98"/>
      <c r="RO317" s="98"/>
      <c r="RP317" s="98"/>
      <c r="RQ317" s="98"/>
      <c r="RR317" s="98"/>
      <c r="RS317" s="98"/>
      <c r="RT317" s="98"/>
      <c r="RU317" s="98"/>
      <c r="RV317" s="98"/>
      <c r="RW317" s="98"/>
      <c r="RX317" s="98"/>
      <c r="RY317" s="98"/>
      <c r="RZ317" s="98"/>
      <c r="SA317" s="98"/>
      <c r="SB317" s="98"/>
      <c r="SC317" s="98"/>
      <c r="SD317" s="98"/>
      <c r="SE317" s="98"/>
      <c r="SF317" s="98"/>
      <c r="SG317" s="98"/>
      <c r="SH317" s="98"/>
      <c r="SI317" s="98"/>
      <c r="SJ317" s="98"/>
      <c r="SK317" s="98"/>
      <c r="SL317" s="98"/>
      <c r="SM317" s="98"/>
      <c r="SN317" s="98"/>
      <c r="SO317" s="98"/>
      <c r="SP317" s="98"/>
      <c r="SQ317" s="98"/>
      <c r="SR317" s="98"/>
    </row>
    <row r="318" spans="1:512" ht="230.25" outlineLevel="4" thickBot="1" x14ac:dyDescent="0.25">
      <c r="A318" s="43" t="s">
        <v>990</v>
      </c>
      <c r="B318" s="150" t="s">
        <v>682</v>
      </c>
      <c r="C318" s="171" t="s">
        <v>991</v>
      </c>
      <c r="D318" s="147" t="s">
        <v>992</v>
      </c>
      <c r="E318" s="87" t="s">
        <v>33</v>
      </c>
      <c r="F318" s="51" t="s">
        <v>703</v>
      </c>
      <c r="G318" s="66" t="s">
        <v>457</v>
      </c>
      <c r="H318" s="26" t="s">
        <v>127</v>
      </c>
      <c r="I318" s="27">
        <v>3</v>
      </c>
      <c r="J318" s="70" t="s">
        <v>463</v>
      </c>
      <c r="K318" s="29" t="s">
        <v>496</v>
      </c>
      <c r="L318" s="71">
        <v>1</v>
      </c>
      <c r="M318" s="89">
        <f>I318*L318</f>
        <v>3</v>
      </c>
      <c r="N318" s="32" t="s">
        <v>39</v>
      </c>
      <c r="O318" s="53" t="s">
        <v>686</v>
      </c>
      <c r="P318" s="90">
        <v>2</v>
      </c>
      <c r="Q318" s="97">
        <f t="shared" si="33"/>
        <v>6</v>
      </c>
      <c r="R318" s="72"/>
      <c r="S318" s="72"/>
      <c r="T318" s="72"/>
      <c r="U318" s="50"/>
      <c r="V318" s="51"/>
      <c r="W318" s="52"/>
      <c r="X318" s="51"/>
      <c r="Y318" s="51"/>
      <c r="Z318" s="53"/>
      <c r="AA318" s="40"/>
      <c r="AB318" s="41"/>
      <c r="AD318" s="17">
        <f t="shared" si="39"/>
        <v>10566</v>
      </c>
      <c r="AE318" s="18">
        <f t="shared" si="42"/>
        <v>566</v>
      </c>
    </row>
    <row r="319" spans="1:512" ht="230.25" outlineLevel="4" thickBot="1" x14ac:dyDescent="0.25">
      <c r="A319" s="43" t="s">
        <v>993</v>
      </c>
      <c r="B319" s="173"/>
      <c r="C319" s="179"/>
      <c r="D319" s="176"/>
      <c r="E319" s="87" t="s">
        <v>43</v>
      </c>
      <c r="F319" s="51" t="s">
        <v>705</v>
      </c>
      <c r="G319" s="66" t="s">
        <v>499</v>
      </c>
      <c r="H319" s="26" t="s">
        <v>147</v>
      </c>
      <c r="I319" s="27">
        <v>1</v>
      </c>
      <c r="J319" s="70" t="s">
        <v>463</v>
      </c>
      <c r="K319" s="29" t="s">
        <v>487</v>
      </c>
      <c r="L319" s="30">
        <v>1</v>
      </c>
      <c r="M319" s="89">
        <f>I319*L319</f>
        <v>1</v>
      </c>
      <c r="N319" s="32" t="s">
        <v>39</v>
      </c>
      <c r="O319" s="53" t="s">
        <v>76</v>
      </c>
      <c r="P319" s="90">
        <v>5</v>
      </c>
      <c r="Q319" s="97">
        <f t="shared" si="33"/>
        <v>5</v>
      </c>
      <c r="R319" s="72"/>
      <c r="S319" s="72"/>
      <c r="T319" s="72"/>
      <c r="U319" s="50"/>
      <c r="V319" s="51"/>
      <c r="W319" s="52"/>
      <c r="X319" s="51"/>
      <c r="Y319" s="51"/>
      <c r="Z319" s="53"/>
      <c r="AA319" s="40"/>
      <c r="AB319" s="41"/>
      <c r="AD319" s="17">
        <f t="shared" si="39"/>
        <v>10567</v>
      </c>
      <c r="AE319" s="18">
        <f t="shared" si="42"/>
        <v>567</v>
      </c>
    </row>
    <row r="320" spans="1:512" ht="230.25" outlineLevel="4" thickBot="1" x14ac:dyDescent="0.25">
      <c r="A320" s="43" t="s">
        <v>994</v>
      </c>
      <c r="B320" s="151"/>
      <c r="C320" s="172"/>
      <c r="D320" s="148"/>
      <c r="E320" s="87" t="s">
        <v>466</v>
      </c>
      <c r="F320" s="51" t="s">
        <v>707</v>
      </c>
      <c r="G320" s="37" t="s">
        <v>457</v>
      </c>
      <c r="H320" s="88" t="s">
        <v>127</v>
      </c>
      <c r="I320" s="92">
        <v>3</v>
      </c>
      <c r="J320" s="70" t="s">
        <v>468</v>
      </c>
      <c r="K320" s="93" t="s">
        <v>469</v>
      </c>
      <c r="L320" s="71">
        <v>2</v>
      </c>
      <c r="M320" s="89">
        <f t="shared" ref="M320:M350" si="47">I320*L320</f>
        <v>6</v>
      </c>
      <c r="N320" s="32" t="s">
        <v>39</v>
      </c>
      <c r="O320" s="53" t="s">
        <v>686</v>
      </c>
      <c r="P320" s="94">
        <v>2</v>
      </c>
      <c r="Q320" s="91">
        <f>P320*M320</f>
        <v>12</v>
      </c>
      <c r="R320" s="72"/>
      <c r="S320" s="72"/>
      <c r="T320" s="72"/>
      <c r="U320" s="50"/>
      <c r="V320" s="51"/>
      <c r="W320" s="52"/>
      <c r="X320" s="51"/>
      <c r="Y320" s="51"/>
      <c r="Z320" s="53"/>
      <c r="AA320" s="40"/>
      <c r="AB320" s="41"/>
      <c r="AD320" s="17">
        <f t="shared" si="39"/>
        <v>16659</v>
      </c>
      <c r="AE320" s="18"/>
    </row>
    <row r="321" spans="1:31" ht="230.25" outlineLevel="4" thickBot="1" x14ac:dyDescent="0.25">
      <c r="A321" s="43" t="s">
        <v>713</v>
      </c>
      <c r="B321" s="174" t="s">
        <v>995</v>
      </c>
      <c r="C321" s="75" t="s">
        <v>715</v>
      </c>
      <c r="D321" s="147" t="s">
        <v>716</v>
      </c>
      <c r="E321" s="48" t="s">
        <v>506</v>
      </c>
      <c r="F321" s="74" t="s">
        <v>717</v>
      </c>
      <c r="G321" s="87" t="s">
        <v>615</v>
      </c>
      <c r="H321" s="88" t="s">
        <v>127</v>
      </c>
      <c r="I321" s="69">
        <v>3</v>
      </c>
      <c r="J321" s="70" t="s">
        <v>47</v>
      </c>
      <c r="K321" s="93" t="s">
        <v>75</v>
      </c>
      <c r="L321" s="71">
        <v>1</v>
      </c>
      <c r="M321" s="89">
        <f t="shared" si="47"/>
        <v>3</v>
      </c>
      <c r="N321" s="32" t="s">
        <v>39</v>
      </c>
      <c r="O321" s="33" t="s">
        <v>143</v>
      </c>
      <c r="P321" s="71">
        <v>2</v>
      </c>
      <c r="Q321" s="97">
        <f t="shared" si="33"/>
        <v>6</v>
      </c>
      <c r="R321" s="72"/>
      <c r="S321" s="72"/>
      <c r="T321" s="72"/>
      <c r="U321" s="50"/>
      <c r="V321" s="51"/>
      <c r="W321" s="52"/>
      <c r="X321" s="51"/>
      <c r="Y321" s="51"/>
      <c r="Z321" s="53"/>
      <c r="AA321" s="40"/>
      <c r="AB321" s="41"/>
      <c r="AD321" s="17">
        <f t="shared" si="39"/>
        <v>10528</v>
      </c>
      <c r="AE321" s="18"/>
    </row>
    <row r="322" spans="1:31" ht="230.25" outlineLevel="4" thickBot="1" x14ac:dyDescent="0.25">
      <c r="A322" s="43" t="s">
        <v>718</v>
      </c>
      <c r="B322" s="175"/>
      <c r="C322" s="77"/>
      <c r="D322" s="148"/>
      <c r="E322" s="48" t="s">
        <v>510</v>
      </c>
      <c r="F322" s="48" t="s">
        <v>719</v>
      </c>
      <c r="G322" s="48" t="s">
        <v>438</v>
      </c>
      <c r="H322" s="39" t="s">
        <v>439</v>
      </c>
      <c r="I322" s="69">
        <v>1</v>
      </c>
      <c r="J322" s="70" t="s">
        <v>47</v>
      </c>
      <c r="K322" s="93" t="s">
        <v>75</v>
      </c>
      <c r="L322" s="71">
        <v>1</v>
      </c>
      <c r="M322" s="89">
        <f t="shared" si="47"/>
        <v>1</v>
      </c>
      <c r="N322" s="32" t="s">
        <v>39</v>
      </c>
      <c r="O322" s="53" t="s">
        <v>76</v>
      </c>
      <c r="P322" s="71">
        <v>5</v>
      </c>
      <c r="Q322" s="97">
        <f t="shared" si="33"/>
        <v>5</v>
      </c>
      <c r="R322" s="72"/>
      <c r="S322" s="72"/>
      <c r="T322" s="72"/>
      <c r="U322" s="50"/>
      <c r="V322" s="51"/>
      <c r="W322" s="52"/>
      <c r="X322" s="51"/>
      <c r="Y322" s="51"/>
      <c r="Z322" s="53"/>
      <c r="AA322" s="40"/>
      <c r="AB322" s="41"/>
      <c r="AD322" s="17">
        <f t="shared" si="39"/>
        <v>10529</v>
      </c>
      <c r="AE322" s="18"/>
    </row>
    <row r="323" spans="1:31" ht="230.25" outlineLevel="4" thickBot="1" x14ac:dyDescent="0.25">
      <c r="A323" s="43" t="s">
        <v>720</v>
      </c>
      <c r="B323" s="174" t="s">
        <v>996</v>
      </c>
      <c r="C323" s="75" t="s">
        <v>722</v>
      </c>
      <c r="D323" s="147" t="s">
        <v>716</v>
      </c>
      <c r="E323" s="48" t="s">
        <v>622</v>
      </c>
      <c r="F323" s="48" t="s">
        <v>723</v>
      </c>
      <c r="G323" s="48" t="s">
        <v>438</v>
      </c>
      <c r="H323" s="39" t="s">
        <v>439</v>
      </c>
      <c r="I323" s="69">
        <v>1</v>
      </c>
      <c r="J323" s="70" t="s">
        <v>47</v>
      </c>
      <c r="K323" s="93" t="s">
        <v>75</v>
      </c>
      <c r="L323" s="71">
        <v>1</v>
      </c>
      <c r="M323" s="89">
        <f t="shared" si="47"/>
        <v>1</v>
      </c>
      <c r="N323" s="32" t="s">
        <v>39</v>
      </c>
      <c r="O323" s="53" t="s">
        <v>76</v>
      </c>
      <c r="P323" s="71">
        <v>5</v>
      </c>
      <c r="Q323" s="97">
        <f t="shared" si="33"/>
        <v>5</v>
      </c>
      <c r="R323" s="72"/>
      <c r="S323" s="72"/>
      <c r="T323" s="72"/>
      <c r="U323" s="50"/>
      <c r="V323" s="51"/>
      <c r="W323" s="52"/>
      <c r="X323" s="51"/>
      <c r="Y323" s="51"/>
      <c r="Z323" s="53"/>
      <c r="AA323" s="40"/>
      <c r="AB323" s="41"/>
      <c r="AD323" s="17">
        <f t="shared" si="39"/>
        <v>10530</v>
      </c>
      <c r="AE323" s="18"/>
    </row>
    <row r="324" spans="1:31" ht="230.25" outlineLevel="4" thickBot="1" x14ac:dyDescent="0.25">
      <c r="A324" s="43" t="s">
        <v>724</v>
      </c>
      <c r="B324" s="175"/>
      <c r="C324" s="77"/>
      <c r="D324" s="148"/>
      <c r="E324" s="48" t="s">
        <v>518</v>
      </c>
      <c r="F324" s="48" t="s">
        <v>723</v>
      </c>
      <c r="G324" s="48" t="s">
        <v>438</v>
      </c>
      <c r="H324" s="39" t="s">
        <v>439</v>
      </c>
      <c r="I324" s="69">
        <v>1</v>
      </c>
      <c r="J324" s="70" t="s">
        <v>47</v>
      </c>
      <c r="K324" s="93" t="s">
        <v>75</v>
      </c>
      <c r="L324" s="71">
        <v>1</v>
      </c>
      <c r="M324" s="89">
        <f t="shared" si="47"/>
        <v>1</v>
      </c>
      <c r="N324" s="32" t="s">
        <v>39</v>
      </c>
      <c r="O324" s="53" t="s">
        <v>76</v>
      </c>
      <c r="P324" s="71">
        <v>5</v>
      </c>
      <c r="Q324" s="97">
        <f t="shared" si="33"/>
        <v>5</v>
      </c>
      <c r="R324" s="72"/>
      <c r="S324" s="72"/>
      <c r="T324" s="72"/>
      <c r="U324" s="50"/>
      <c r="V324" s="51"/>
      <c r="W324" s="52"/>
      <c r="X324" s="51"/>
      <c r="Y324" s="51"/>
      <c r="Z324" s="53"/>
      <c r="AA324" s="40"/>
      <c r="AB324" s="41"/>
      <c r="AD324" s="17">
        <f t="shared" si="39"/>
        <v>10531</v>
      </c>
      <c r="AE324" s="18"/>
    </row>
    <row r="325" spans="1:31" ht="230.25" outlineLevel="4" thickBot="1" x14ac:dyDescent="0.25">
      <c r="A325" s="43" t="s">
        <v>725</v>
      </c>
      <c r="B325" s="174" t="s">
        <v>997</v>
      </c>
      <c r="C325" s="75" t="s">
        <v>727</v>
      </c>
      <c r="D325" s="147" t="s">
        <v>716</v>
      </c>
      <c r="E325" s="48" t="s">
        <v>622</v>
      </c>
      <c r="F325" s="48" t="s">
        <v>723</v>
      </c>
      <c r="G325" s="48" t="s">
        <v>438</v>
      </c>
      <c r="H325" s="39" t="s">
        <v>439</v>
      </c>
      <c r="I325" s="69">
        <v>1</v>
      </c>
      <c r="J325" s="70" t="s">
        <v>47</v>
      </c>
      <c r="K325" s="93" t="s">
        <v>75</v>
      </c>
      <c r="L325" s="71">
        <v>1</v>
      </c>
      <c r="M325" s="89">
        <f t="shared" si="47"/>
        <v>1</v>
      </c>
      <c r="N325" s="32" t="s">
        <v>39</v>
      </c>
      <c r="O325" s="53" t="s">
        <v>76</v>
      </c>
      <c r="P325" s="71">
        <v>5</v>
      </c>
      <c r="Q325" s="97">
        <f t="shared" si="33"/>
        <v>5</v>
      </c>
      <c r="R325" s="72"/>
      <c r="S325" s="72"/>
      <c r="T325" s="72"/>
      <c r="U325" s="50"/>
      <c r="V325" s="51"/>
      <c r="W325" s="52"/>
      <c r="X325" s="51"/>
      <c r="Y325" s="51"/>
      <c r="Z325" s="53"/>
      <c r="AA325" s="40"/>
      <c r="AB325" s="41"/>
      <c r="AD325" s="17">
        <f t="shared" ref="AD325:AD388" si="48">VALUE(RIGHT((IF(A325="",0,A325)),5))</f>
        <v>10532</v>
      </c>
      <c r="AE325" s="18"/>
    </row>
    <row r="326" spans="1:31" ht="230.25" outlineLevel="4" thickBot="1" x14ac:dyDescent="0.25">
      <c r="A326" s="43" t="s">
        <v>728</v>
      </c>
      <c r="B326" s="175"/>
      <c r="C326" s="77"/>
      <c r="D326" s="148"/>
      <c r="E326" s="48" t="s">
        <v>518</v>
      </c>
      <c r="F326" s="48" t="s">
        <v>729</v>
      </c>
      <c r="G326" s="87" t="s">
        <v>615</v>
      </c>
      <c r="H326" s="88" t="s">
        <v>127</v>
      </c>
      <c r="I326" s="69">
        <v>3</v>
      </c>
      <c r="J326" s="70" t="s">
        <v>47</v>
      </c>
      <c r="K326" s="93" t="s">
        <v>75</v>
      </c>
      <c r="L326" s="71">
        <v>1</v>
      </c>
      <c r="M326" s="89">
        <f t="shared" si="47"/>
        <v>3</v>
      </c>
      <c r="N326" s="32" t="s">
        <v>39</v>
      </c>
      <c r="O326" s="33" t="s">
        <v>143</v>
      </c>
      <c r="P326" s="71">
        <v>2</v>
      </c>
      <c r="Q326" s="97">
        <f t="shared" si="33"/>
        <v>6</v>
      </c>
      <c r="R326" s="72"/>
      <c r="S326" s="72"/>
      <c r="T326" s="72"/>
      <c r="U326" s="50"/>
      <c r="V326" s="51"/>
      <c r="W326" s="52"/>
      <c r="X326" s="51"/>
      <c r="Y326" s="51"/>
      <c r="Z326" s="53"/>
      <c r="AA326" s="40"/>
      <c r="AB326" s="41"/>
      <c r="AD326" s="17">
        <f t="shared" si="48"/>
        <v>10533</v>
      </c>
      <c r="AE326" s="18"/>
    </row>
    <row r="327" spans="1:31" ht="230.25" outlineLevel="4" thickBot="1" x14ac:dyDescent="0.25">
      <c r="A327" s="43" t="s">
        <v>730</v>
      </c>
      <c r="B327" s="174" t="s">
        <v>998</v>
      </c>
      <c r="C327" s="75" t="s">
        <v>732</v>
      </c>
      <c r="D327" s="147" t="s">
        <v>733</v>
      </c>
      <c r="E327" s="48" t="s">
        <v>506</v>
      </c>
      <c r="F327" s="48" t="s">
        <v>734</v>
      </c>
      <c r="G327" s="87" t="s">
        <v>615</v>
      </c>
      <c r="H327" s="88" t="s">
        <v>127</v>
      </c>
      <c r="I327" s="69">
        <v>3</v>
      </c>
      <c r="J327" s="70" t="s">
        <v>47</v>
      </c>
      <c r="K327" s="93" t="s">
        <v>75</v>
      </c>
      <c r="L327" s="71">
        <v>1</v>
      </c>
      <c r="M327" s="89">
        <f t="shared" si="47"/>
        <v>3</v>
      </c>
      <c r="N327" s="32" t="s">
        <v>39</v>
      </c>
      <c r="O327" s="33" t="s">
        <v>143</v>
      </c>
      <c r="P327" s="71">
        <v>2</v>
      </c>
      <c r="Q327" s="97">
        <f t="shared" si="33"/>
        <v>6</v>
      </c>
      <c r="R327" s="72"/>
      <c r="S327" s="72"/>
      <c r="T327" s="72"/>
      <c r="U327" s="50"/>
      <c r="V327" s="51"/>
      <c r="W327" s="52"/>
      <c r="X327" s="51"/>
      <c r="Y327" s="51"/>
      <c r="Z327" s="53"/>
      <c r="AA327" s="40"/>
      <c r="AB327" s="41"/>
      <c r="AD327" s="17">
        <f t="shared" si="48"/>
        <v>10534</v>
      </c>
      <c r="AE327" s="18"/>
    </row>
    <row r="328" spans="1:31" ht="230.25" outlineLevel="4" thickBot="1" x14ac:dyDescent="0.25">
      <c r="A328" s="43" t="s">
        <v>735</v>
      </c>
      <c r="B328" s="175"/>
      <c r="C328" s="77"/>
      <c r="D328" s="148"/>
      <c r="E328" s="48" t="s">
        <v>510</v>
      </c>
      <c r="F328" s="48" t="s">
        <v>736</v>
      </c>
      <c r="G328" s="48" t="s">
        <v>438</v>
      </c>
      <c r="H328" s="39" t="s">
        <v>439</v>
      </c>
      <c r="I328" s="69">
        <v>1</v>
      </c>
      <c r="J328" s="70" t="s">
        <v>47</v>
      </c>
      <c r="K328" s="93" t="s">
        <v>75</v>
      </c>
      <c r="L328" s="71">
        <v>1</v>
      </c>
      <c r="M328" s="89">
        <f t="shared" si="47"/>
        <v>1</v>
      </c>
      <c r="N328" s="32" t="s">
        <v>39</v>
      </c>
      <c r="O328" s="53" t="s">
        <v>76</v>
      </c>
      <c r="P328" s="71">
        <v>5</v>
      </c>
      <c r="Q328" s="97">
        <f t="shared" si="33"/>
        <v>5</v>
      </c>
      <c r="R328" s="72"/>
      <c r="S328" s="72"/>
      <c r="T328" s="72"/>
      <c r="U328" s="50"/>
      <c r="V328" s="51"/>
      <c r="W328" s="52"/>
      <c r="X328" s="51"/>
      <c r="Y328" s="51"/>
      <c r="Z328" s="53"/>
      <c r="AA328" s="40"/>
      <c r="AB328" s="41"/>
      <c r="AD328" s="17">
        <f t="shared" si="48"/>
        <v>10535</v>
      </c>
      <c r="AE328" s="18"/>
    </row>
    <row r="329" spans="1:31" ht="230.25" outlineLevel="4" thickBot="1" x14ac:dyDescent="0.25">
      <c r="A329" s="43" t="s">
        <v>737</v>
      </c>
      <c r="B329" s="174" t="s">
        <v>999</v>
      </c>
      <c r="C329" s="75" t="s">
        <v>739</v>
      </c>
      <c r="D329" s="147" t="s">
        <v>733</v>
      </c>
      <c r="E329" s="48" t="s">
        <v>516</v>
      </c>
      <c r="F329" s="48" t="s">
        <v>736</v>
      </c>
      <c r="G329" s="48" t="s">
        <v>438</v>
      </c>
      <c r="H329" s="39" t="s">
        <v>439</v>
      </c>
      <c r="I329" s="69">
        <v>1</v>
      </c>
      <c r="J329" s="70" t="s">
        <v>47</v>
      </c>
      <c r="K329" s="93" t="s">
        <v>75</v>
      </c>
      <c r="L329" s="71">
        <v>1</v>
      </c>
      <c r="M329" s="89">
        <f t="shared" si="47"/>
        <v>1</v>
      </c>
      <c r="N329" s="32" t="s">
        <v>39</v>
      </c>
      <c r="O329" s="53" t="s">
        <v>76</v>
      </c>
      <c r="P329" s="71">
        <v>5</v>
      </c>
      <c r="Q329" s="97">
        <f t="shared" si="33"/>
        <v>5</v>
      </c>
      <c r="R329" s="72"/>
      <c r="S329" s="72"/>
      <c r="T329" s="72"/>
      <c r="U329" s="50"/>
      <c r="V329" s="51"/>
      <c r="W329" s="52"/>
      <c r="X329" s="51"/>
      <c r="Y329" s="51"/>
      <c r="Z329" s="53"/>
      <c r="AA329" s="40"/>
      <c r="AB329" s="41"/>
      <c r="AD329" s="17">
        <f t="shared" si="48"/>
        <v>10536</v>
      </c>
      <c r="AE329" s="18"/>
    </row>
    <row r="330" spans="1:31" ht="230.25" outlineLevel="4" thickBot="1" x14ac:dyDescent="0.25">
      <c r="A330" s="43" t="s">
        <v>740</v>
      </c>
      <c r="B330" s="175"/>
      <c r="C330" s="77"/>
      <c r="D330" s="148"/>
      <c r="E330" s="48" t="s">
        <v>518</v>
      </c>
      <c r="F330" s="48" t="s">
        <v>736</v>
      </c>
      <c r="G330" s="48" t="s">
        <v>438</v>
      </c>
      <c r="H330" s="39" t="s">
        <v>439</v>
      </c>
      <c r="I330" s="69">
        <v>1</v>
      </c>
      <c r="J330" s="70" t="s">
        <v>47</v>
      </c>
      <c r="K330" s="93" t="s">
        <v>75</v>
      </c>
      <c r="L330" s="71">
        <v>1</v>
      </c>
      <c r="M330" s="89">
        <f t="shared" si="47"/>
        <v>1</v>
      </c>
      <c r="N330" s="32" t="s">
        <v>39</v>
      </c>
      <c r="O330" s="53" t="s">
        <v>76</v>
      </c>
      <c r="P330" s="71">
        <v>5</v>
      </c>
      <c r="Q330" s="97">
        <f t="shared" si="33"/>
        <v>5</v>
      </c>
      <c r="R330" s="72"/>
      <c r="S330" s="72"/>
      <c r="T330" s="72"/>
      <c r="U330" s="50"/>
      <c r="V330" s="51"/>
      <c r="W330" s="52"/>
      <c r="X330" s="51"/>
      <c r="Y330" s="51"/>
      <c r="Z330" s="53"/>
      <c r="AA330" s="40"/>
      <c r="AB330" s="41"/>
      <c r="AD330" s="17">
        <f t="shared" si="48"/>
        <v>10537</v>
      </c>
      <c r="AE330" s="18"/>
    </row>
    <row r="331" spans="1:31" ht="230.25" outlineLevel="4" thickBot="1" x14ac:dyDescent="0.25">
      <c r="A331" s="43" t="s">
        <v>741</v>
      </c>
      <c r="B331" s="174" t="s">
        <v>1000</v>
      </c>
      <c r="C331" s="75" t="s">
        <v>743</v>
      </c>
      <c r="D331" s="147" t="s">
        <v>733</v>
      </c>
      <c r="E331" s="48" t="s">
        <v>622</v>
      </c>
      <c r="F331" s="48" t="s">
        <v>736</v>
      </c>
      <c r="G331" s="48" t="s">
        <v>438</v>
      </c>
      <c r="H331" s="39" t="s">
        <v>439</v>
      </c>
      <c r="I331" s="69">
        <v>1</v>
      </c>
      <c r="J331" s="70" t="s">
        <v>47</v>
      </c>
      <c r="K331" s="93" t="s">
        <v>75</v>
      </c>
      <c r="L331" s="71">
        <v>1</v>
      </c>
      <c r="M331" s="89">
        <f t="shared" si="47"/>
        <v>1</v>
      </c>
      <c r="N331" s="32" t="s">
        <v>39</v>
      </c>
      <c r="O331" s="53" t="s">
        <v>76</v>
      </c>
      <c r="P331" s="71">
        <v>5</v>
      </c>
      <c r="Q331" s="97">
        <f t="shared" si="33"/>
        <v>5</v>
      </c>
      <c r="R331" s="72"/>
      <c r="S331" s="72"/>
      <c r="T331" s="72"/>
      <c r="U331" s="50"/>
      <c r="V331" s="51"/>
      <c r="W331" s="52"/>
      <c r="X331" s="51"/>
      <c r="Y331" s="51"/>
      <c r="Z331" s="53"/>
      <c r="AA331" s="40"/>
      <c r="AB331" s="41"/>
      <c r="AD331" s="17">
        <f t="shared" si="48"/>
        <v>10538</v>
      </c>
      <c r="AE331" s="18"/>
    </row>
    <row r="332" spans="1:31" ht="230.25" outlineLevel="4" thickBot="1" x14ac:dyDescent="0.25">
      <c r="A332" s="43" t="s">
        <v>744</v>
      </c>
      <c r="B332" s="175"/>
      <c r="C332" s="77"/>
      <c r="D332" s="148"/>
      <c r="E332" s="48" t="s">
        <v>518</v>
      </c>
      <c r="F332" s="48" t="s">
        <v>729</v>
      </c>
      <c r="G332" s="87" t="s">
        <v>615</v>
      </c>
      <c r="H332" s="88" t="s">
        <v>127</v>
      </c>
      <c r="I332" s="69">
        <v>3</v>
      </c>
      <c r="J332" s="70" t="s">
        <v>47</v>
      </c>
      <c r="K332" s="93" t="s">
        <v>75</v>
      </c>
      <c r="L332" s="71">
        <v>1</v>
      </c>
      <c r="M332" s="89">
        <f t="shared" si="47"/>
        <v>3</v>
      </c>
      <c r="N332" s="32" t="s">
        <v>39</v>
      </c>
      <c r="O332" s="33" t="s">
        <v>143</v>
      </c>
      <c r="P332" s="71">
        <v>2</v>
      </c>
      <c r="Q332" s="97">
        <f t="shared" si="33"/>
        <v>6</v>
      </c>
      <c r="R332" s="72"/>
      <c r="S332" s="72"/>
      <c r="T332" s="72"/>
      <c r="U332" s="50"/>
      <c r="V332" s="51"/>
      <c r="W332" s="52"/>
      <c r="X332" s="51"/>
      <c r="Y332" s="51"/>
      <c r="Z332" s="53"/>
      <c r="AA332" s="40"/>
      <c r="AB332" s="41"/>
      <c r="AD332" s="17">
        <f t="shared" si="48"/>
        <v>10539</v>
      </c>
      <c r="AE332" s="18"/>
    </row>
    <row r="333" spans="1:31" ht="230.25" outlineLevel="4" thickBot="1" x14ac:dyDescent="0.25">
      <c r="A333" s="43" t="s">
        <v>745</v>
      </c>
      <c r="B333" s="174" t="s">
        <v>1001</v>
      </c>
      <c r="C333" s="75" t="s">
        <v>747</v>
      </c>
      <c r="D333" s="147" t="s">
        <v>748</v>
      </c>
      <c r="E333" s="48" t="s">
        <v>506</v>
      </c>
      <c r="F333" s="48" t="s">
        <v>749</v>
      </c>
      <c r="G333" s="87" t="s">
        <v>615</v>
      </c>
      <c r="H333" s="88" t="s">
        <v>127</v>
      </c>
      <c r="I333" s="69">
        <v>3</v>
      </c>
      <c r="J333" s="70" t="s">
        <v>47</v>
      </c>
      <c r="K333" s="93" t="s">
        <v>75</v>
      </c>
      <c r="L333" s="71">
        <v>1</v>
      </c>
      <c r="M333" s="89">
        <f t="shared" si="47"/>
        <v>3</v>
      </c>
      <c r="N333" s="32" t="s">
        <v>39</v>
      </c>
      <c r="O333" s="33" t="s">
        <v>143</v>
      </c>
      <c r="P333" s="71">
        <v>2</v>
      </c>
      <c r="Q333" s="97">
        <f t="shared" si="33"/>
        <v>6</v>
      </c>
      <c r="R333" s="72"/>
      <c r="S333" s="72"/>
      <c r="T333" s="72"/>
      <c r="U333" s="50"/>
      <c r="V333" s="51"/>
      <c r="W333" s="52"/>
      <c r="X333" s="51"/>
      <c r="Y333" s="51"/>
      <c r="Z333" s="53"/>
      <c r="AA333" s="40"/>
      <c r="AB333" s="41"/>
      <c r="AD333" s="17">
        <f t="shared" si="48"/>
        <v>10540</v>
      </c>
      <c r="AE333" s="18"/>
    </row>
    <row r="334" spans="1:31" ht="230.25" outlineLevel="4" thickBot="1" x14ac:dyDescent="0.25">
      <c r="A334" s="43" t="s">
        <v>750</v>
      </c>
      <c r="B334" s="175"/>
      <c r="C334" s="77"/>
      <c r="D334" s="148"/>
      <c r="E334" s="48" t="s">
        <v>510</v>
      </c>
      <c r="F334" s="48" t="s">
        <v>751</v>
      </c>
      <c r="G334" s="48" t="s">
        <v>438</v>
      </c>
      <c r="H334" s="39" t="s">
        <v>439</v>
      </c>
      <c r="I334" s="69">
        <v>1</v>
      </c>
      <c r="J334" s="70" t="s">
        <v>47</v>
      </c>
      <c r="K334" s="93" t="s">
        <v>75</v>
      </c>
      <c r="L334" s="71">
        <v>1</v>
      </c>
      <c r="M334" s="89">
        <f t="shared" si="47"/>
        <v>1</v>
      </c>
      <c r="N334" s="32" t="s">
        <v>39</v>
      </c>
      <c r="O334" s="53" t="s">
        <v>76</v>
      </c>
      <c r="P334" s="71">
        <v>5</v>
      </c>
      <c r="Q334" s="97">
        <f t="shared" si="33"/>
        <v>5</v>
      </c>
      <c r="R334" s="72"/>
      <c r="S334" s="72"/>
      <c r="T334" s="72"/>
      <c r="U334" s="50"/>
      <c r="V334" s="51"/>
      <c r="W334" s="52"/>
      <c r="X334" s="51"/>
      <c r="Y334" s="51"/>
      <c r="Z334" s="53"/>
      <c r="AA334" s="40"/>
      <c r="AB334" s="41"/>
      <c r="AD334" s="17">
        <f t="shared" si="48"/>
        <v>10541</v>
      </c>
      <c r="AE334" s="18"/>
    </row>
    <row r="335" spans="1:31" ht="230.25" outlineLevel="4" thickBot="1" x14ac:dyDescent="0.25">
      <c r="A335" s="43" t="s">
        <v>752</v>
      </c>
      <c r="B335" s="174" t="s">
        <v>1002</v>
      </c>
      <c r="C335" s="75" t="s">
        <v>754</v>
      </c>
      <c r="D335" s="147" t="s">
        <v>748</v>
      </c>
      <c r="E335" s="48" t="s">
        <v>516</v>
      </c>
      <c r="F335" s="48" t="s">
        <v>751</v>
      </c>
      <c r="G335" s="48" t="s">
        <v>438</v>
      </c>
      <c r="H335" s="39" t="s">
        <v>439</v>
      </c>
      <c r="I335" s="69">
        <v>1</v>
      </c>
      <c r="J335" s="70" t="s">
        <v>47</v>
      </c>
      <c r="K335" s="93" t="s">
        <v>75</v>
      </c>
      <c r="L335" s="71">
        <v>1</v>
      </c>
      <c r="M335" s="89">
        <f t="shared" si="47"/>
        <v>1</v>
      </c>
      <c r="N335" s="32" t="s">
        <v>39</v>
      </c>
      <c r="O335" s="53" t="s">
        <v>76</v>
      </c>
      <c r="P335" s="71">
        <v>5</v>
      </c>
      <c r="Q335" s="97">
        <f t="shared" si="33"/>
        <v>5</v>
      </c>
      <c r="R335" s="72"/>
      <c r="S335" s="72"/>
      <c r="T335" s="72"/>
      <c r="U335" s="50"/>
      <c r="V335" s="51"/>
      <c r="W335" s="52"/>
      <c r="X335" s="51"/>
      <c r="Y335" s="51"/>
      <c r="Z335" s="53"/>
      <c r="AA335" s="40"/>
      <c r="AB335" s="41"/>
      <c r="AD335" s="17">
        <f t="shared" si="48"/>
        <v>10542</v>
      </c>
      <c r="AE335" s="18"/>
    </row>
    <row r="336" spans="1:31" ht="230.25" outlineLevel="4" thickBot="1" x14ac:dyDescent="0.25">
      <c r="A336" s="43" t="s">
        <v>755</v>
      </c>
      <c r="B336" s="175"/>
      <c r="C336" s="77"/>
      <c r="D336" s="148"/>
      <c r="E336" s="48" t="s">
        <v>518</v>
      </c>
      <c r="F336" s="48" t="s">
        <v>751</v>
      </c>
      <c r="G336" s="48" t="s">
        <v>438</v>
      </c>
      <c r="H336" s="39" t="s">
        <v>439</v>
      </c>
      <c r="I336" s="69">
        <v>1</v>
      </c>
      <c r="J336" s="70" t="s">
        <v>47</v>
      </c>
      <c r="K336" s="93" t="s">
        <v>75</v>
      </c>
      <c r="L336" s="71">
        <v>1</v>
      </c>
      <c r="M336" s="89">
        <f t="shared" si="47"/>
        <v>1</v>
      </c>
      <c r="N336" s="32" t="s">
        <v>39</v>
      </c>
      <c r="O336" s="53" t="s">
        <v>76</v>
      </c>
      <c r="P336" s="71">
        <v>5</v>
      </c>
      <c r="Q336" s="97">
        <f t="shared" si="33"/>
        <v>5</v>
      </c>
      <c r="R336" s="72"/>
      <c r="S336" s="72"/>
      <c r="T336" s="72"/>
      <c r="U336" s="50"/>
      <c r="V336" s="51"/>
      <c r="W336" s="52"/>
      <c r="X336" s="51"/>
      <c r="Y336" s="51"/>
      <c r="Z336" s="53"/>
      <c r="AA336" s="40"/>
      <c r="AB336" s="41"/>
      <c r="AD336" s="17">
        <f t="shared" si="48"/>
        <v>10543</v>
      </c>
      <c r="AE336" s="18"/>
    </row>
    <row r="337" spans="1:512" ht="230.25" outlineLevel="4" thickBot="1" x14ac:dyDescent="0.25">
      <c r="A337" s="43" t="s">
        <v>756</v>
      </c>
      <c r="B337" s="174" t="s">
        <v>1003</v>
      </c>
      <c r="C337" s="75" t="s">
        <v>758</v>
      </c>
      <c r="D337" s="147" t="s">
        <v>748</v>
      </c>
      <c r="E337" s="48" t="s">
        <v>622</v>
      </c>
      <c r="F337" s="48" t="s">
        <v>751</v>
      </c>
      <c r="G337" s="48" t="s">
        <v>438</v>
      </c>
      <c r="H337" s="39" t="s">
        <v>439</v>
      </c>
      <c r="I337" s="69">
        <v>1</v>
      </c>
      <c r="J337" s="70" t="s">
        <v>47</v>
      </c>
      <c r="K337" s="93" t="s">
        <v>75</v>
      </c>
      <c r="L337" s="71">
        <v>1</v>
      </c>
      <c r="M337" s="89">
        <f t="shared" si="47"/>
        <v>1</v>
      </c>
      <c r="N337" s="32" t="s">
        <v>39</v>
      </c>
      <c r="O337" s="53" t="s">
        <v>76</v>
      </c>
      <c r="P337" s="71">
        <v>5</v>
      </c>
      <c r="Q337" s="97">
        <f t="shared" si="33"/>
        <v>5</v>
      </c>
      <c r="R337" s="72"/>
      <c r="S337" s="72"/>
      <c r="T337" s="72"/>
      <c r="U337" s="50"/>
      <c r="V337" s="51"/>
      <c r="W337" s="52"/>
      <c r="X337" s="51"/>
      <c r="Y337" s="51"/>
      <c r="Z337" s="53"/>
      <c r="AA337" s="40"/>
      <c r="AB337" s="41"/>
      <c r="AD337" s="17">
        <f t="shared" si="48"/>
        <v>-1533</v>
      </c>
      <c r="AE337" s="18">
        <f t="shared" si="42"/>
        <v>1533</v>
      </c>
    </row>
    <row r="338" spans="1:512" ht="230.25" outlineLevel="4" thickBot="1" x14ac:dyDescent="0.25">
      <c r="A338" s="43" t="s">
        <v>759</v>
      </c>
      <c r="B338" s="175"/>
      <c r="C338" s="77"/>
      <c r="D338" s="148"/>
      <c r="E338" s="48" t="s">
        <v>518</v>
      </c>
      <c r="F338" s="48" t="s">
        <v>749</v>
      </c>
      <c r="G338" s="87" t="s">
        <v>615</v>
      </c>
      <c r="H338" s="88" t="s">
        <v>127</v>
      </c>
      <c r="I338" s="69">
        <v>3</v>
      </c>
      <c r="J338" s="70" t="s">
        <v>47</v>
      </c>
      <c r="K338" s="93" t="s">
        <v>75</v>
      </c>
      <c r="L338" s="71">
        <v>1</v>
      </c>
      <c r="M338" s="89">
        <f t="shared" si="47"/>
        <v>3</v>
      </c>
      <c r="N338" s="32" t="s">
        <v>39</v>
      </c>
      <c r="O338" s="33" t="s">
        <v>143</v>
      </c>
      <c r="P338" s="71">
        <v>2</v>
      </c>
      <c r="Q338" s="97">
        <f t="shared" si="33"/>
        <v>6</v>
      </c>
      <c r="R338" s="72"/>
      <c r="S338" s="72"/>
      <c r="T338" s="72"/>
      <c r="U338" s="50"/>
      <c r="V338" s="51"/>
      <c r="W338" s="52"/>
      <c r="X338" s="51"/>
      <c r="Y338" s="51"/>
      <c r="Z338" s="53"/>
      <c r="AA338" s="40"/>
      <c r="AB338" s="41"/>
      <c r="AD338" s="17">
        <f t="shared" si="48"/>
        <v>-1534</v>
      </c>
      <c r="AE338" s="18">
        <f t="shared" si="42"/>
        <v>1534</v>
      </c>
    </row>
    <row r="339" spans="1:512" ht="230.25" outlineLevel="4" thickBot="1" x14ac:dyDescent="0.25">
      <c r="A339" s="43" t="s">
        <v>760</v>
      </c>
      <c r="B339" s="150" t="s">
        <v>1004</v>
      </c>
      <c r="C339" s="171" t="s">
        <v>762</v>
      </c>
      <c r="D339" s="171" t="s">
        <v>561</v>
      </c>
      <c r="E339" s="48" t="s">
        <v>198</v>
      </c>
      <c r="F339" s="48" t="s">
        <v>763</v>
      </c>
      <c r="G339" s="48" t="s">
        <v>563</v>
      </c>
      <c r="H339" s="39" t="s">
        <v>61</v>
      </c>
      <c r="I339" s="69">
        <v>1</v>
      </c>
      <c r="J339" s="70" t="s">
        <v>186</v>
      </c>
      <c r="K339" s="93" t="s">
        <v>75</v>
      </c>
      <c r="L339" s="71">
        <v>2</v>
      </c>
      <c r="M339" s="89">
        <f t="shared" si="47"/>
        <v>2</v>
      </c>
      <c r="N339" s="32" t="s">
        <v>39</v>
      </c>
      <c r="O339" s="53" t="s">
        <v>76</v>
      </c>
      <c r="P339" s="71">
        <v>5</v>
      </c>
      <c r="Q339" s="97">
        <f t="shared" si="33"/>
        <v>10</v>
      </c>
      <c r="R339" s="72"/>
      <c r="S339" s="72"/>
      <c r="T339" s="72"/>
      <c r="U339" s="50"/>
      <c r="V339" s="51"/>
      <c r="W339" s="52"/>
      <c r="X339" s="51"/>
      <c r="Y339" s="51"/>
      <c r="Z339" s="53"/>
      <c r="AA339" s="40"/>
      <c r="AB339" s="41"/>
      <c r="AD339" s="17">
        <f t="shared" si="48"/>
        <v>10544</v>
      </c>
      <c r="AE339" s="18"/>
    </row>
    <row r="340" spans="1:512" ht="230.25" outlineLevel="4" thickBot="1" x14ac:dyDescent="0.25">
      <c r="A340" s="43" t="s">
        <v>764</v>
      </c>
      <c r="B340" s="173"/>
      <c r="C340" s="179"/>
      <c r="D340" s="179"/>
      <c r="E340" s="48" t="s">
        <v>565</v>
      </c>
      <c r="F340" s="48" t="s">
        <v>765</v>
      </c>
      <c r="G340" s="87" t="s">
        <v>615</v>
      </c>
      <c r="H340" s="88" t="s">
        <v>127</v>
      </c>
      <c r="I340" s="69">
        <v>3</v>
      </c>
      <c r="J340" s="70" t="s">
        <v>192</v>
      </c>
      <c r="K340" s="93" t="s">
        <v>75</v>
      </c>
      <c r="L340" s="71">
        <v>2</v>
      </c>
      <c r="M340" s="89">
        <f t="shared" si="47"/>
        <v>6</v>
      </c>
      <c r="N340" s="32" t="s">
        <v>39</v>
      </c>
      <c r="O340" s="33" t="s">
        <v>143</v>
      </c>
      <c r="P340" s="71">
        <v>2</v>
      </c>
      <c r="Q340" s="97">
        <f t="shared" si="33"/>
        <v>12</v>
      </c>
      <c r="R340" s="72"/>
      <c r="S340" s="72"/>
      <c r="T340" s="72"/>
      <c r="U340" s="50"/>
      <c r="V340" s="51"/>
      <c r="W340" s="52"/>
      <c r="X340" s="51"/>
      <c r="Y340" s="51"/>
      <c r="Z340" s="53"/>
      <c r="AA340" s="40"/>
      <c r="AB340" s="41"/>
      <c r="AD340" s="17">
        <f t="shared" si="48"/>
        <v>10545</v>
      </c>
      <c r="AE340" s="18"/>
    </row>
    <row r="341" spans="1:512" ht="230.25" outlineLevel="4" thickBot="1" x14ac:dyDescent="0.25">
      <c r="A341" s="43" t="s">
        <v>766</v>
      </c>
      <c r="B341" s="151"/>
      <c r="C341" s="172"/>
      <c r="D341" s="172"/>
      <c r="E341" s="48" t="s">
        <v>570</v>
      </c>
      <c r="F341" s="48" t="s">
        <v>765</v>
      </c>
      <c r="G341" s="87" t="s">
        <v>615</v>
      </c>
      <c r="H341" s="88" t="s">
        <v>127</v>
      </c>
      <c r="I341" s="69">
        <v>3</v>
      </c>
      <c r="J341" s="70" t="s">
        <v>192</v>
      </c>
      <c r="K341" s="93" t="s">
        <v>75</v>
      </c>
      <c r="L341" s="71">
        <v>2</v>
      </c>
      <c r="M341" s="89">
        <f t="shared" si="47"/>
        <v>6</v>
      </c>
      <c r="N341" s="32" t="s">
        <v>39</v>
      </c>
      <c r="O341" s="33" t="s">
        <v>143</v>
      </c>
      <c r="P341" s="71">
        <v>1</v>
      </c>
      <c r="Q341" s="91">
        <f t="shared" si="33"/>
        <v>6</v>
      </c>
      <c r="R341" s="72"/>
      <c r="S341" s="72"/>
      <c r="T341" s="72"/>
      <c r="U341" s="50"/>
      <c r="V341" s="51"/>
      <c r="W341" s="52"/>
      <c r="X341" s="51"/>
      <c r="Y341" s="51"/>
      <c r="Z341" s="53"/>
      <c r="AA341" s="40"/>
      <c r="AB341" s="41"/>
      <c r="AD341" s="17">
        <f t="shared" si="48"/>
        <v>10546</v>
      </c>
      <c r="AE341" s="18"/>
    </row>
    <row r="342" spans="1:512" ht="230.25" outlineLevel="4" thickBot="1" x14ac:dyDescent="0.25">
      <c r="A342" s="43" t="s">
        <v>767</v>
      </c>
      <c r="B342" s="150" t="s">
        <v>1005</v>
      </c>
      <c r="C342" s="171" t="s">
        <v>769</v>
      </c>
      <c r="D342" s="171" t="s">
        <v>561</v>
      </c>
      <c r="E342" s="48" t="s">
        <v>198</v>
      </c>
      <c r="F342" s="48" t="s">
        <v>763</v>
      </c>
      <c r="G342" s="48" t="s">
        <v>563</v>
      </c>
      <c r="H342" s="39" t="s">
        <v>61</v>
      </c>
      <c r="I342" s="69">
        <v>1</v>
      </c>
      <c r="J342" s="70" t="s">
        <v>186</v>
      </c>
      <c r="K342" s="93" t="s">
        <v>75</v>
      </c>
      <c r="L342" s="71">
        <v>2</v>
      </c>
      <c r="M342" s="89">
        <f t="shared" si="47"/>
        <v>2</v>
      </c>
      <c r="N342" s="32" t="s">
        <v>39</v>
      </c>
      <c r="O342" s="53" t="s">
        <v>76</v>
      </c>
      <c r="P342" s="71">
        <v>5</v>
      </c>
      <c r="Q342" s="97">
        <f t="shared" si="33"/>
        <v>10</v>
      </c>
      <c r="R342" s="72"/>
      <c r="S342" s="72"/>
      <c r="T342" s="72"/>
      <c r="U342" s="50"/>
      <c r="V342" s="51"/>
      <c r="W342" s="52"/>
      <c r="X342" s="51"/>
      <c r="Y342" s="51"/>
      <c r="Z342" s="53"/>
      <c r="AA342" s="40"/>
      <c r="AB342" s="41"/>
      <c r="AD342" s="17">
        <f t="shared" si="48"/>
        <v>10547</v>
      </c>
      <c r="AE342" s="18">
        <f t="shared" ref="AE342:AE403" si="49">VALUE(RIGHT((IF(A342="",0,A342)),4))</f>
        <v>547</v>
      </c>
    </row>
    <row r="343" spans="1:512" ht="230.25" outlineLevel="4" thickBot="1" x14ac:dyDescent="0.25">
      <c r="A343" s="43" t="s">
        <v>770</v>
      </c>
      <c r="B343" s="173"/>
      <c r="C343" s="179"/>
      <c r="D343" s="179"/>
      <c r="E343" s="48" t="s">
        <v>565</v>
      </c>
      <c r="F343" s="48" t="s">
        <v>771</v>
      </c>
      <c r="G343" s="87" t="s">
        <v>615</v>
      </c>
      <c r="H343" s="88" t="s">
        <v>127</v>
      </c>
      <c r="I343" s="69">
        <v>3</v>
      </c>
      <c r="J343" s="70" t="s">
        <v>192</v>
      </c>
      <c r="K343" s="93" t="s">
        <v>75</v>
      </c>
      <c r="L343" s="71">
        <v>2</v>
      </c>
      <c r="M343" s="89">
        <f t="shared" si="47"/>
        <v>6</v>
      </c>
      <c r="N343" s="32" t="s">
        <v>39</v>
      </c>
      <c r="O343" s="33" t="s">
        <v>143</v>
      </c>
      <c r="P343" s="71">
        <v>2</v>
      </c>
      <c r="Q343" s="97">
        <f t="shared" si="33"/>
        <v>12</v>
      </c>
      <c r="R343" s="72"/>
      <c r="S343" s="72"/>
      <c r="T343" s="72"/>
      <c r="U343" s="50"/>
      <c r="V343" s="51"/>
      <c r="W343" s="52"/>
      <c r="X343" s="51"/>
      <c r="Y343" s="51"/>
      <c r="Z343" s="53"/>
      <c r="AA343" s="40"/>
      <c r="AB343" s="41"/>
      <c r="AD343" s="17">
        <f t="shared" si="48"/>
        <v>10548</v>
      </c>
      <c r="AE343" s="18">
        <f t="shared" si="49"/>
        <v>548</v>
      </c>
    </row>
    <row r="344" spans="1:512" ht="230.25" outlineLevel="4" thickBot="1" x14ac:dyDescent="0.25">
      <c r="A344" s="43" t="s">
        <v>772</v>
      </c>
      <c r="B344" s="151"/>
      <c r="C344" s="172"/>
      <c r="D344" s="172"/>
      <c r="E344" s="48" t="s">
        <v>570</v>
      </c>
      <c r="F344" s="48" t="s">
        <v>771</v>
      </c>
      <c r="G344" s="87" t="s">
        <v>615</v>
      </c>
      <c r="H344" s="88" t="s">
        <v>127</v>
      </c>
      <c r="I344" s="69">
        <v>3</v>
      </c>
      <c r="J344" s="70" t="s">
        <v>192</v>
      </c>
      <c r="K344" s="93" t="s">
        <v>75</v>
      </c>
      <c r="L344" s="71">
        <v>2</v>
      </c>
      <c r="M344" s="89">
        <f t="shared" si="47"/>
        <v>6</v>
      </c>
      <c r="N344" s="32" t="s">
        <v>39</v>
      </c>
      <c r="O344" s="33" t="s">
        <v>143</v>
      </c>
      <c r="P344" s="71">
        <v>1</v>
      </c>
      <c r="Q344" s="91">
        <f t="shared" si="33"/>
        <v>6</v>
      </c>
      <c r="R344" s="72"/>
      <c r="S344" s="72"/>
      <c r="T344" s="72"/>
      <c r="U344" s="50"/>
      <c r="V344" s="51"/>
      <c r="W344" s="52"/>
      <c r="X344" s="51"/>
      <c r="Y344" s="51"/>
      <c r="Z344" s="53"/>
      <c r="AA344" s="40"/>
      <c r="AB344" s="41"/>
      <c r="AD344" s="17">
        <f t="shared" si="48"/>
        <v>-9808</v>
      </c>
      <c r="AE344" s="18">
        <f t="shared" si="49"/>
        <v>9808</v>
      </c>
    </row>
    <row r="345" spans="1:512" ht="230.25" outlineLevel="4" thickBot="1" x14ac:dyDescent="0.25">
      <c r="A345" s="43" t="s">
        <v>1006</v>
      </c>
      <c r="B345" s="150" t="s">
        <v>1007</v>
      </c>
      <c r="C345" s="171" t="s">
        <v>1008</v>
      </c>
      <c r="D345" s="167" t="s">
        <v>583</v>
      </c>
      <c r="E345" s="48" t="s">
        <v>256</v>
      </c>
      <c r="F345" s="74" t="s">
        <v>734</v>
      </c>
      <c r="G345" s="87" t="s">
        <v>615</v>
      </c>
      <c r="H345" s="88" t="s">
        <v>127</v>
      </c>
      <c r="I345" s="69">
        <v>3</v>
      </c>
      <c r="J345" s="70" t="s">
        <v>47</v>
      </c>
      <c r="K345" s="93" t="s">
        <v>616</v>
      </c>
      <c r="L345" s="71">
        <v>2</v>
      </c>
      <c r="M345" s="89">
        <f t="shared" si="47"/>
        <v>6</v>
      </c>
      <c r="N345" s="32" t="s">
        <v>39</v>
      </c>
      <c r="O345" s="33" t="s">
        <v>143</v>
      </c>
      <c r="P345" s="71">
        <v>2</v>
      </c>
      <c r="Q345" s="34">
        <f t="shared" si="33"/>
        <v>12</v>
      </c>
      <c r="R345" s="32"/>
      <c r="S345" s="32"/>
      <c r="T345" s="32"/>
      <c r="U345" s="95"/>
      <c r="V345" s="62"/>
      <c r="W345" s="96"/>
      <c r="X345" s="62"/>
      <c r="Y345" s="62"/>
      <c r="Z345" s="33"/>
      <c r="AA345" s="40"/>
      <c r="AB345" s="41"/>
      <c r="AD345" s="17">
        <f t="shared" si="48"/>
        <v>10568</v>
      </c>
      <c r="AE345" s="18"/>
    </row>
    <row r="346" spans="1:512" ht="230.25" outlineLevel="4" thickBot="1" x14ac:dyDescent="0.25">
      <c r="A346" s="43" t="s">
        <v>1009</v>
      </c>
      <c r="B346" s="151"/>
      <c r="C346" s="172"/>
      <c r="D346" s="169"/>
      <c r="E346" s="48" t="s">
        <v>155</v>
      </c>
      <c r="F346" s="74" t="s">
        <v>734</v>
      </c>
      <c r="G346" s="87" t="s">
        <v>615</v>
      </c>
      <c r="H346" s="88" t="s">
        <v>127</v>
      </c>
      <c r="I346" s="69">
        <v>3</v>
      </c>
      <c r="J346" s="70" t="s">
        <v>47</v>
      </c>
      <c r="K346" s="93" t="s">
        <v>616</v>
      </c>
      <c r="L346" s="71">
        <v>2</v>
      </c>
      <c r="M346" s="89">
        <f t="shared" si="47"/>
        <v>6</v>
      </c>
      <c r="N346" s="32" t="s">
        <v>39</v>
      </c>
      <c r="O346" s="33" t="s">
        <v>143</v>
      </c>
      <c r="P346" s="71">
        <v>2</v>
      </c>
      <c r="Q346" s="34">
        <f t="shared" si="33"/>
        <v>12</v>
      </c>
      <c r="R346" s="32"/>
      <c r="S346" s="32"/>
      <c r="T346" s="32"/>
      <c r="U346" s="95"/>
      <c r="V346" s="62"/>
      <c r="W346" s="96"/>
      <c r="X346" s="62"/>
      <c r="Y346" s="62"/>
      <c r="Z346" s="33"/>
      <c r="AA346" s="40"/>
      <c r="AB346" s="41"/>
      <c r="AD346" s="17">
        <f t="shared" si="48"/>
        <v>10569</v>
      </c>
      <c r="AE346" s="18"/>
    </row>
    <row r="347" spans="1:512" ht="230.25" outlineLevel="4" thickBot="1" x14ac:dyDescent="0.25">
      <c r="A347" s="43" t="s">
        <v>1010</v>
      </c>
      <c r="B347" s="150" t="s">
        <v>1011</v>
      </c>
      <c r="C347" s="171" t="s">
        <v>1012</v>
      </c>
      <c r="D347" s="167" t="s">
        <v>583</v>
      </c>
      <c r="E347" s="48" t="s">
        <v>256</v>
      </c>
      <c r="F347" s="74" t="s">
        <v>734</v>
      </c>
      <c r="G347" s="87" t="s">
        <v>615</v>
      </c>
      <c r="H347" s="88" t="s">
        <v>127</v>
      </c>
      <c r="I347" s="69">
        <v>3</v>
      </c>
      <c r="J347" s="70" t="s">
        <v>47</v>
      </c>
      <c r="K347" s="93" t="s">
        <v>616</v>
      </c>
      <c r="L347" s="71">
        <v>2</v>
      </c>
      <c r="M347" s="89">
        <f t="shared" si="47"/>
        <v>6</v>
      </c>
      <c r="N347" s="32" t="s">
        <v>39</v>
      </c>
      <c r="O347" s="33" t="s">
        <v>143</v>
      </c>
      <c r="P347" s="71">
        <v>2</v>
      </c>
      <c r="Q347" s="34">
        <f t="shared" si="33"/>
        <v>12</v>
      </c>
      <c r="R347" s="32"/>
      <c r="S347" s="32"/>
      <c r="T347" s="32"/>
      <c r="U347" s="95"/>
      <c r="V347" s="62"/>
      <c r="W347" s="96"/>
      <c r="X347" s="62"/>
      <c r="Y347" s="62"/>
      <c r="Z347" s="33"/>
      <c r="AA347" s="40"/>
      <c r="AB347" s="41"/>
      <c r="AD347" s="17">
        <f t="shared" si="48"/>
        <v>10570</v>
      </c>
      <c r="AE347" s="18"/>
    </row>
    <row r="348" spans="1:512" ht="230.25" outlineLevel="4" thickBot="1" x14ac:dyDescent="0.25">
      <c r="A348" s="43" t="s">
        <v>1013</v>
      </c>
      <c r="B348" s="151"/>
      <c r="C348" s="172"/>
      <c r="D348" s="169"/>
      <c r="E348" s="48" t="s">
        <v>155</v>
      </c>
      <c r="F348" s="74" t="s">
        <v>734</v>
      </c>
      <c r="G348" s="87" t="s">
        <v>615</v>
      </c>
      <c r="H348" s="88" t="s">
        <v>127</v>
      </c>
      <c r="I348" s="69">
        <v>3</v>
      </c>
      <c r="J348" s="70" t="s">
        <v>47</v>
      </c>
      <c r="K348" s="93" t="s">
        <v>616</v>
      </c>
      <c r="L348" s="71">
        <v>2</v>
      </c>
      <c r="M348" s="89">
        <f t="shared" si="47"/>
        <v>6</v>
      </c>
      <c r="N348" s="32" t="s">
        <v>39</v>
      </c>
      <c r="O348" s="33" t="s">
        <v>143</v>
      </c>
      <c r="P348" s="71">
        <v>2</v>
      </c>
      <c r="Q348" s="34">
        <f t="shared" si="33"/>
        <v>12</v>
      </c>
      <c r="R348" s="32"/>
      <c r="S348" s="32"/>
      <c r="T348" s="32"/>
      <c r="U348" s="95"/>
      <c r="V348" s="62"/>
      <c r="W348" s="96"/>
      <c r="X348" s="62"/>
      <c r="Y348" s="62"/>
      <c r="Z348" s="33"/>
      <c r="AA348" s="40"/>
      <c r="AB348" s="41"/>
      <c r="AD348" s="17">
        <f t="shared" si="48"/>
        <v>10571</v>
      </c>
      <c r="AE348" s="18"/>
    </row>
    <row r="349" spans="1:512" ht="230.25" outlineLevel="4" thickBot="1" x14ac:dyDescent="0.25">
      <c r="A349" s="43" t="s">
        <v>1014</v>
      </c>
      <c r="B349" s="150" t="s">
        <v>1015</v>
      </c>
      <c r="C349" s="171" t="s">
        <v>1016</v>
      </c>
      <c r="D349" s="167" t="s">
        <v>583</v>
      </c>
      <c r="E349" s="48" t="s">
        <v>256</v>
      </c>
      <c r="F349" s="74" t="s">
        <v>734</v>
      </c>
      <c r="G349" s="87" t="s">
        <v>615</v>
      </c>
      <c r="H349" s="88" t="s">
        <v>127</v>
      </c>
      <c r="I349" s="69">
        <v>3</v>
      </c>
      <c r="J349" s="70" t="s">
        <v>47</v>
      </c>
      <c r="K349" s="93" t="s">
        <v>616</v>
      </c>
      <c r="L349" s="71">
        <v>2</v>
      </c>
      <c r="M349" s="89">
        <f t="shared" si="47"/>
        <v>6</v>
      </c>
      <c r="N349" s="32" t="s">
        <v>39</v>
      </c>
      <c r="O349" s="33" t="s">
        <v>143</v>
      </c>
      <c r="P349" s="71">
        <v>2</v>
      </c>
      <c r="Q349" s="34">
        <f t="shared" si="33"/>
        <v>12</v>
      </c>
      <c r="R349" s="32"/>
      <c r="S349" s="32"/>
      <c r="T349" s="32"/>
      <c r="U349" s="95"/>
      <c r="V349" s="62"/>
      <c r="W349" s="96"/>
      <c r="X349" s="62"/>
      <c r="Y349" s="62"/>
      <c r="Z349" s="33"/>
      <c r="AA349" s="40"/>
      <c r="AB349" s="41"/>
      <c r="AD349" s="17">
        <f t="shared" si="48"/>
        <v>10572</v>
      </c>
      <c r="AE349" s="18"/>
    </row>
    <row r="350" spans="1:512" ht="230.25" outlineLevel="4" thickBot="1" x14ac:dyDescent="0.25">
      <c r="A350" s="43" t="s">
        <v>1017</v>
      </c>
      <c r="B350" s="151"/>
      <c r="C350" s="172"/>
      <c r="D350" s="169"/>
      <c r="E350" s="48" t="s">
        <v>155</v>
      </c>
      <c r="F350" s="74" t="s">
        <v>734</v>
      </c>
      <c r="G350" s="87" t="s">
        <v>615</v>
      </c>
      <c r="H350" s="88" t="s">
        <v>127</v>
      </c>
      <c r="I350" s="69">
        <v>3</v>
      </c>
      <c r="J350" s="70" t="s">
        <v>47</v>
      </c>
      <c r="K350" s="93" t="s">
        <v>616</v>
      </c>
      <c r="L350" s="71">
        <v>2</v>
      </c>
      <c r="M350" s="89">
        <f t="shared" si="47"/>
        <v>6</v>
      </c>
      <c r="N350" s="32" t="s">
        <v>39</v>
      </c>
      <c r="O350" s="33" t="s">
        <v>143</v>
      </c>
      <c r="P350" s="71">
        <v>2</v>
      </c>
      <c r="Q350" s="34">
        <f t="shared" si="33"/>
        <v>12</v>
      </c>
      <c r="R350" s="32"/>
      <c r="S350" s="32"/>
      <c r="T350" s="32"/>
      <c r="U350" s="95"/>
      <c r="V350" s="62"/>
      <c r="W350" s="96"/>
      <c r="X350" s="62"/>
      <c r="Y350" s="62"/>
      <c r="Z350" s="33"/>
      <c r="AA350" s="40"/>
      <c r="AB350" s="41"/>
      <c r="AD350" s="17">
        <f t="shared" si="48"/>
        <v>10573</v>
      </c>
      <c r="AE350" s="18"/>
    </row>
    <row r="351" spans="1:512" ht="230.25" outlineLevel="4" thickBot="1" x14ac:dyDescent="0.25">
      <c r="A351" s="43" t="s">
        <v>779</v>
      </c>
      <c r="B351" s="150" t="s">
        <v>1018</v>
      </c>
      <c r="C351" s="75" t="s">
        <v>781</v>
      </c>
      <c r="D351" s="147" t="s">
        <v>664</v>
      </c>
      <c r="E351" s="48" t="s">
        <v>256</v>
      </c>
      <c r="F351" s="48" t="s">
        <v>355</v>
      </c>
      <c r="G351" s="48" t="s">
        <v>438</v>
      </c>
      <c r="H351" s="39" t="s">
        <v>439</v>
      </c>
      <c r="I351" s="69">
        <v>1</v>
      </c>
      <c r="J351" s="70" t="s">
        <v>84</v>
      </c>
      <c r="K351" s="93" t="s">
        <v>75</v>
      </c>
      <c r="L351" s="71">
        <v>1</v>
      </c>
      <c r="M351" s="89">
        <v>3</v>
      </c>
      <c r="N351" s="32" t="s">
        <v>39</v>
      </c>
      <c r="O351" s="53" t="s">
        <v>76</v>
      </c>
      <c r="P351" s="71">
        <v>5</v>
      </c>
      <c r="Q351" s="97">
        <f t="shared" si="33"/>
        <v>15</v>
      </c>
      <c r="R351" s="72"/>
      <c r="S351" s="72"/>
      <c r="T351" s="72"/>
      <c r="U351" s="50"/>
      <c r="V351" s="51"/>
      <c r="W351" s="52"/>
      <c r="X351" s="51"/>
      <c r="Y351" s="51"/>
      <c r="Z351" s="53"/>
      <c r="AA351" s="40"/>
      <c r="AB351" s="41"/>
      <c r="AC351" s="98"/>
      <c r="AD351" s="17">
        <f t="shared" si="48"/>
        <v>-1559</v>
      </c>
      <c r="AE351" s="18">
        <f t="shared" si="49"/>
        <v>1559</v>
      </c>
      <c r="AF351" s="98"/>
      <c r="AG351" s="98"/>
      <c r="AH351" s="98"/>
      <c r="AI351" s="98"/>
      <c r="AJ351" s="98"/>
      <c r="AK351" s="98"/>
      <c r="AL351" s="98"/>
      <c r="AM351" s="98"/>
      <c r="AN351" s="98"/>
      <c r="AO351" s="98"/>
      <c r="AP351" s="98"/>
      <c r="AQ351" s="98"/>
      <c r="AR351" s="98"/>
      <c r="AS351" s="98"/>
      <c r="AT351" s="98"/>
      <c r="AU351" s="98"/>
      <c r="AV351" s="98"/>
      <c r="AW351" s="98"/>
      <c r="AX351" s="98"/>
      <c r="AY351" s="98"/>
      <c r="AZ351" s="98"/>
      <c r="BA351" s="98"/>
      <c r="BB351" s="98"/>
      <c r="BC351" s="98"/>
      <c r="BD351" s="98"/>
      <c r="BE351" s="98"/>
      <c r="BF351" s="98"/>
      <c r="BG351" s="98"/>
      <c r="BH351" s="98"/>
      <c r="BI351" s="98"/>
      <c r="BJ351" s="98"/>
      <c r="BK351" s="98"/>
      <c r="BL351" s="98"/>
      <c r="BM351" s="98"/>
      <c r="BN351" s="98"/>
      <c r="BO351" s="98"/>
      <c r="BP351" s="98"/>
      <c r="BQ351" s="98"/>
      <c r="BR351" s="98"/>
      <c r="BS351" s="98"/>
      <c r="BT351" s="98"/>
      <c r="BU351" s="98"/>
      <c r="BV351" s="98"/>
      <c r="BW351" s="98"/>
      <c r="BX351" s="98"/>
      <c r="BY351" s="98"/>
      <c r="BZ351" s="98"/>
      <c r="CA351" s="98"/>
      <c r="CB351" s="98"/>
      <c r="CC351" s="98"/>
      <c r="CD351" s="98"/>
      <c r="CE351" s="98"/>
      <c r="CF351" s="98"/>
      <c r="CG351" s="98"/>
      <c r="CH351" s="98"/>
      <c r="CI351" s="98"/>
      <c r="CJ351" s="98"/>
      <c r="CK351" s="98"/>
      <c r="CL351" s="98"/>
      <c r="CM351" s="98"/>
      <c r="CN351" s="98"/>
      <c r="CO351" s="98"/>
      <c r="CP351" s="98"/>
      <c r="CQ351" s="98"/>
      <c r="CR351" s="98"/>
      <c r="CS351" s="98"/>
      <c r="CT351" s="98"/>
      <c r="CU351" s="98"/>
      <c r="CV351" s="98"/>
      <c r="CW351" s="98"/>
      <c r="CX351" s="98"/>
      <c r="CY351" s="98"/>
      <c r="CZ351" s="98"/>
      <c r="DA351" s="98"/>
      <c r="DB351" s="98"/>
      <c r="DC351" s="98"/>
      <c r="DD351" s="98"/>
      <c r="DE351" s="98"/>
      <c r="DF351" s="98"/>
      <c r="DG351" s="98"/>
      <c r="DH351" s="98"/>
      <c r="DI351" s="98"/>
      <c r="DJ351" s="98"/>
      <c r="DK351" s="98"/>
      <c r="DL351" s="98"/>
      <c r="DM351" s="98"/>
      <c r="DN351" s="98"/>
      <c r="DO351" s="98"/>
      <c r="DP351" s="98"/>
      <c r="DQ351" s="98"/>
      <c r="DR351" s="98"/>
      <c r="DS351" s="98"/>
      <c r="DT351" s="98"/>
      <c r="DU351" s="98"/>
      <c r="DV351" s="98"/>
      <c r="DW351" s="98"/>
      <c r="DX351" s="98"/>
      <c r="DY351" s="98"/>
      <c r="DZ351" s="98"/>
      <c r="EA351" s="98"/>
      <c r="EB351" s="98"/>
      <c r="EC351" s="98"/>
      <c r="ED351" s="98"/>
      <c r="EE351" s="98"/>
      <c r="EF351" s="98"/>
      <c r="EG351" s="98"/>
      <c r="EH351" s="98"/>
      <c r="EI351" s="98"/>
      <c r="EJ351" s="98"/>
      <c r="EK351" s="98"/>
      <c r="EL351" s="98"/>
      <c r="EM351" s="98"/>
      <c r="EN351" s="98"/>
      <c r="EO351" s="98"/>
      <c r="EP351" s="98"/>
      <c r="EQ351" s="98"/>
      <c r="ER351" s="98"/>
      <c r="ES351" s="98"/>
      <c r="ET351" s="98"/>
      <c r="EU351" s="98"/>
      <c r="EV351" s="98"/>
      <c r="EW351" s="98"/>
      <c r="EX351" s="98"/>
      <c r="EY351" s="98"/>
      <c r="EZ351" s="98"/>
      <c r="FA351" s="98"/>
      <c r="FB351" s="98"/>
      <c r="FC351" s="98"/>
      <c r="FD351" s="98"/>
      <c r="FE351" s="98"/>
      <c r="FF351" s="98"/>
      <c r="FG351" s="98"/>
      <c r="FH351" s="98"/>
      <c r="FI351" s="98"/>
      <c r="FJ351" s="98"/>
      <c r="FK351" s="98"/>
      <c r="FL351" s="98"/>
      <c r="FM351" s="98"/>
      <c r="FN351" s="98"/>
      <c r="FO351" s="98"/>
      <c r="FP351" s="98"/>
      <c r="FQ351" s="98"/>
      <c r="FR351" s="98"/>
      <c r="FS351" s="98"/>
      <c r="FT351" s="98"/>
      <c r="FU351" s="98"/>
      <c r="FV351" s="98"/>
      <c r="FW351" s="98"/>
      <c r="FX351" s="98"/>
      <c r="FY351" s="98"/>
      <c r="FZ351" s="98"/>
      <c r="GA351" s="98"/>
      <c r="GB351" s="98"/>
      <c r="GC351" s="98"/>
      <c r="GD351" s="98"/>
      <c r="GE351" s="98"/>
      <c r="GF351" s="98"/>
      <c r="GG351" s="98"/>
      <c r="GH351" s="98"/>
      <c r="GI351" s="98"/>
      <c r="GJ351" s="98"/>
      <c r="GK351" s="98"/>
      <c r="GL351" s="98"/>
      <c r="GM351" s="98"/>
      <c r="GN351" s="98"/>
      <c r="GO351" s="98"/>
      <c r="GP351" s="98"/>
      <c r="GQ351" s="98"/>
      <c r="GR351" s="98"/>
      <c r="GS351" s="98"/>
      <c r="GT351" s="98"/>
      <c r="GU351" s="98"/>
      <c r="GV351" s="98"/>
      <c r="GW351" s="98"/>
      <c r="GX351" s="98"/>
      <c r="GY351" s="98"/>
      <c r="GZ351" s="98"/>
      <c r="HA351" s="98"/>
      <c r="HB351" s="98"/>
      <c r="HC351" s="98"/>
      <c r="HD351" s="98"/>
      <c r="HE351" s="98"/>
      <c r="HF351" s="98"/>
      <c r="HG351" s="98"/>
      <c r="HH351" s="98"/>
      <c r="HI351" s="98"/>
      <c r="HJ351" s="98"/>
      <c r="HK351" s="98"/>
      <c r="HL351" s="98"/>
      <c r="HM351" s="98"/>
      <c r="HN351" s="98"/>
      <c r="HO351" s="98"/>
      <c r="HP351" s="98"/>
      <c r="HQ351" s="98"/>
      <c r="HR351" s="98"/>
      <c r="HS351" s="98"/>
      <c r="HT351" s="98"/>
      <c r="HU351" s="98"/>
      <c r="HV351" s="98"/>
      <c r="HW351" s="98"/>
      <c r="HX351" s="98"/>
      <c r="HY351" s="98"/>
      <c r="HZ351" s="98"/>
      <c r="IA351" s="98"/>
      <c r="IB351" s="98"/>
      <c r="IC351" s="98"/>
      <c r="ID351" s="98"/>
      <c r="IE351" s="98"/>
      <c r="IF351" s="98"/>
      <c r="IG351" s="98"/>
      <c r="IH351" s="98"/>
      <c r="II351" s="98"/>
      <c r="IJ351" s="98"/>
      <c r="IK351" s="98"/>
      <c r="IL351" s="98"/>
      <c r="IM351" s="98"/>
      <c r="IN351" s="98"/>
      <c r="IO351" s="98"/>
      <c r="IP351" s="98"/>
      <c r="IQ351" s="98"/>
      <c r="IR351" s="98"/>
      <c r="IS351" s="98"/>
      <c r="IT351" s="98"/>
      <c r="IU351" s="98"/>
      <c r="IV351" s="98"/>
      <c r="IW351" s="98"/>
      <c r="IX351" s="98"/>
      <c r="IY351" s="98"/>
      <c r="IZ351" s="98"/>
      <c r="JA351" s="98"/>
      <c r="JB351" s="98"/>
      <c r="JC351" s="98"/>
      <c r="JD351" s="98"/>
      <c r="JE351" s="98"/>
      <c r="JF351" s="98"/>
      <c r="JG351" s="98"/>
      <c r="JH351" s="98"/>
      <c r="JI351" s="98"/>
      <c r="JJ351" s="98"/>
      <c r="JK351" s="98"/>
      <c r="JL351" s="98"/>
      <c r="JM351" s="98"/>
      <c r="JN351" s="98"/>
      <c r="JO351" s="98"/>
      <c r="JP351" s="98"/>
      <c r="JQ351" s="98"/>
      <c r="JR351" s="98"/>
      <c r="JS351" s="98"/>
      <c r="JT351" s="98"/>
      <c r="JU351" s="98"/>
      <c r="JV351" s="98"/>
      <c r="JW351" s="98"/>
      <c r="JX351" s="98"/>
      <c r="JY351" s="98"/>
      <c r="JZ351" s="98"/>
      <c r="KA351" s="98"/>
      <c r="KB351" s="98"/>
      <c r="KC351" s="98"/>
      <c r="KD351" s="98"/>
      <c r="KE351" s="98"/>
      <c r="KF351" s="98"/>
      <c r="KG351" s="98"/>
      <c r="KH351" s="98"/>
      <c r="KI351" s="98"/>
      <c r="KJ351" s="98"/>
      <c r="KK351" s="98"/>
      <c r="KL351" s="98"/>
      <c r="KM351" s="98"/>
      <c r="KN351" s="98"/>
      <c r="KO351" s="98"/>
      <c r="KP351" s="98"/>
      <c r="KQ351" s="98"/>
      <c r="KR351" s="98"/>
      <c r="KS351" s="98"/>
      <c r="KT351" s="98"/>
      <c r="KU351" s="98"/>
      <c r="KV351" s="98"/>
      <c r="KW351" s="98"/>
      <c r="KX351" s="98"/>
      <c r="KY351" s="98"/>
      <c r="KZ351" s="98"/>
      <c r="LA351" s="98"/>
      <c r="LB351" s="98"/>
      <c r="LC351" s="98"/>
      <c r="LD351" s="98"/>
      <c r="LE351" s="98"/>
      <c r="LF351" s="98"/>
      <c r="LG351" s="98"/>
      <c r="LH351" s="98"/>
      <c r="LI351" s="98"/>
      <c r="LJ351" s="98"/>
      <c r="LK351" s="98"/>
      <c r="LL351" s="98"/>
      <c r="LM351" s="98"/>
      <c r="LN351" s="98"/>
      <c r="LO351" s="98"/>
      <c r="LP351" s="98"/>
      <c r="LQ351" s="98"/>
      <c r="LR351" s="98"/>
      <c r="LS351" s="98"/>
      <c r="LT351" s="98"/>
      <c r="LU351" s="98"/>
      <c r="LV351" s="98"/>
      <c r="LW351" s="98"/>
      <c r="LX351" s="98"/>
      <c r="LY351" s="98"/>
      <c r="LZ351" s="98"/>
      <c r="MA351" s="98"/>
      <c r="MB351" s="98"/>
      <c r="MC351" s="98"/>
      <c r="MD351" s="98"/>
      <c r="ME351" s="98"/>
      <c r="MF351" s="98"/>
      <c r="MG351" s="98"/>
      <c r="MH351" s="98"/>
      <c r="MI351" s="98"/>
      <c r="MJ351" s="98"/>
      <c r="MK351" s="98"/>
      <c r="ML351" s="98"/>
      <c r="MM351" s="98"/>
      <c r="MN351" s="98"/>
      <c r="MO351" s="98"/>
      <c r="MP351" s="98"/>
      <c r="MQ351" s="98"/>
      <c r="MR351" s="98"/>
      <c r="MS351" s="98"/>
      <c r="MT351" s="98"/>
      <c r="MU351" s="98"/>
      <c r="MV351" s="98"/>
      <c r="MW351" s="98"/>
      <c r="MX351" s="98"/>
      <c r="MY351" s="98"/>
      <c r="MZ351" s="98"/>
      <c r="NA351" s="98"/>
      <c r="NB351" s="98"/>
      <c r="NC351" s="98"/>
      <c r="ND351" s="98"/>
      <c r="NE351" s="98"/>
      <c r="NF351" s="98"/>
      <c r="NG351" s="98"/>
      <c r="NH351" s="98"/>
      <c r="NI351" s="98"/>
      <c r="NJ351" s="98"/>
      <c r="NK351" s="98"/>
      <c r="NL351" s="98"/>
      <c r="NM351" s="98"/>
      <c r="NN351" s="98"/>
      <c r="NO351" s="98"/>
      <c r="NP351" s="98"/>
      <c r="NQ351" s="98"/>
      <c r="NR351" s="98"/>
      <c r="NS351" s="98"/>
      <c r="NT351" s="98"/>
      <c r="NU351" s="98"/>
      <c r="NV351" s="98"/>
      <c r="NW351" s="98"/>
      <c r="NX351" s="98"/>
      <c r="NY351" s="98"/>
      <c r="NZ351" s="98"/>
      <c r="OA351" s="98"/>
      <c r="OB351" s="98"/>
      <c r="OC351" s="98"/>
      <c r="OD351" s="98"/>
      <c r="OE351" s="98"/>
      <c r="OF351" s="98"/>
      <c r="OG351" s="98"/>
      <c r="OH351" s="98"/>
      <c r="OI351" s="98"/>
      <c r="OJ351" s="98"/>
      <c r="OK351" s="98"/>
      <c r="OL351" s="98"/>
      <c r="OM351" s="98"/>
      <c r="ON351" s="98"/>
      <c r="OO351" s="98"/>
      <c r="OP351" s="98"/>
      <c r="OQ351" s="98"/>
      <c r="OR351" s="98"/>
      <c r="OS351" s="98"/>
      <c r="OT351" s="98"/>
      <c r="OU351" s="98"/>
      <c r="OV351" s="98"/>
      <c r="OW351" s="98"/>
      <c r="OX351" s="98"/>
      <c r="OY351" s="98"/>
      <c r="OZ351" s="98"/>
      <c r="PA351" s="98"/>
      <c r="PB351" s="98"/>
      <c r="PC351" s="98"/>
      <c r="PD351" s="98"/>
      <c r="PE351" s="98"/>
      <c r="PF351" s="98"/>
      <c r="PG351" s="98"/>
      <c r="PH351" s="98"/>
      <c r="PI351" s="98"/>
      <c r="PJ351" s="98"/>
      <c r="PK351" s="98"/>
      <c r="PL351" s="98"/>
      <c r="PM351" s="98"/>
      <c r="PN351" s="98"/>
      <c r="PO351" s="98"/>
      <c r="PP351" s="98"/>
      <c r="PQ351" s="98"/>
      <c r="PR351" s="98"/>
      <c r="PS351" s="98"/>
      <c r="PT351" s="98"/>
      <c r="PU351" s="98"/>
      <c r="PV351" s="98"/>
      <c r="PW351" s="98"/>
      <c r="PX351" s="98"/>
      <c r="PY351" s="98"/>
      <c r="PZ351" s="98"/>
      <c r="QA351" s="98"/>
      <c r="QB351" s="98"/>
      <c r="QC351" s="98"/>
      <c r="QD351" s="98"/>
      <c r="QE351" s="98"/>
      <c r="QF351" s="98"/>
      <c r="QG351" s="98"/>
      <c r="QH351" s="98"/>
      <c r="QI351" s="98"/>
      <c r="QJ351" s="98"/>
      <c r="QK351" s="98"/>
      <c r="QL351" s="98"/>
      <c r="QM351" s="98"/>
      <c r="QN351" s="98"/>
      <c r="QO351" s="98"/>
      <c r="QP351" s="98"/>
      <c r="QQ351" s="98"/>
      <c r="QR351" s="98"/>
      <c r="QS351" s="98"/>
      <c r="QT351" s="98"/>
      <c r="QU351" s="98"/>
      <c r="QV351" s="98"/>
      <c r="QW351" s="98"/>
      <c r="QX351" s="98"/>
      <c r="QY351" s="98"/>
      <c r="QZ351" s="98"/>
      <c r="RA351" s="98"/>
      <c r="RB351" s="98"/>
      <c r="RC351" s="98"/>
      <c r="RD351" s="98"/>
      <c r="RE351" s="98"/>
      <c r="RF351" s="98"/>
      <c r="RG351" s="98"/>
      <c r="RH351" s="98"/>
      <c r="RI351" s="98"/>
      <c r="RJ351" s="98"/>
      <c r="RK351" s="98"/>
      <c r="RL351" s="98"/>
      <c r="RM351" s="98"/>
      <c r="RN351" s="98"/>
      <c r="RO351" s="98"/>
      <c r="RP351" s="98"/>
      <c r="RQ351" s="98"/>
      <c r="RR351" s="98"/>
      <c r="RS351" s="98"/>
      <c r="RT351" s="98"/>
      <c r="RU351" s="98"/>
      <c r="RV351" s="98"/>
      <c r="RW351" s="98"/>
      <c r="RX351" s="98"/>
      <c r="RY351" s="98"/>
      <c r="RZ351" s="98"/>
      <c r="SA351" s="98"/>
      <c r="SB351" s="98"/>
      <c r="SC351" s="98"/>
      <c r="SD351" s="98"/>
      <c r="SE351" s="98"/>
      <c r="SF351" s="98"/>
      <c r="SG351" s="98"/>
      <c r="SH351" s="98"/>
      <c r="SI351" s="98"/>
      <c r="SJ351" s="98"/>
      <c r="SK351" s="98"/>
      <c r="SL351" s="98"/>
      <c r="SM351" s="98"/>
      <c r="SN351" s="98"/>
      <c r="SO351" s="98"/>
      <c r="SP351" s="98"/>
      <c r="SQ351" s="98"/>
      <c r="SR351" s="98"/>
    </row>
    <row r="352" spans="1:512" s="98" customFormat="1" ht="230.25" outlineLevel="4" thickBot="1" x14ac:dyDescent="0.25">
      <c r="A352" s="43" t="s">
        <v>782</v>
      </c>
      <c r="B352" s="151"/>
      <c r="C352" s="77"/>
      <c r="D352" s="148"/>
      <c r="E352" s="48" t="s">
        <v>71</v>
      </c>
      <c r="F352" s="48" t="s">
        <v>783</v>
      </c>
      <c r="G352" s="87" t="s">
        <v>615</v>
      </c>
      <c r="H352" s="88" t="s">
        <v>127</v>
      </c>
      <c r="I352" s="69">
        <v>3</v>
      </c>
      <c r="J352" s="70" t="s">
        <v>74</v>
      </c>
      <c r="K352" s="93" t="s">
        <v>75</v>
      </c>
      <c r="L352" s="71">
        <v>1</v>
      </c>
      <c r="M352" s="89">
        <v>3</v>
      </c>
      <c r="N352" s="32" t="s">
        <v>39</v>
      </c>
      <c r="O352" s="33" t="s">
        <v>143</v>
      </c>
      <c r="P352" s="71">
        <v>2</v>
      </c>
      <c r="Q352" s="97">
        <f t="shared" si="33"/>
        <v>6</v>
      </c>
      <c r="R352" s="32"/>
      <c r="S352" s="32"/>
      <c r="T352" s="32"/>
      <c r="U352" s="95"/>
      <c r="V352" s="62"/>
      <c r="W352" s="96"/>
      <c r="X352" s="62"/>
      <c r="Y352" s="62"/>
      <c r="Z352" s="33"/>
      <c r="AA352" s="40"/>
      <c r="AB352" s="99"/>
      <c r="AD352" s="17">
        <f t="shared" si="48"/>
        <v>-1560</v>
      </c>
      <c r="AE352" s="18">
        <f t="shared" si="49"/>
        <v>1560</v>
      </c>
    </row>
    <row r="353" spans="1:512" ht="230.25" outlineLevel="4" thickBot="1" x14ac:dyDescent="0.25">
      <c r="A353" s="43" t="s">
        <v>784</v>
      </c>
      <c r="B353" s="174" t="s">
        <v>1019</v>
      </c>
      <c r="C353" s="75" t="s">
        <v>786</v>
      </c>
      <c r="D353" s="147" t="s">
        <v>670</v>
      </c>
      <c r="E353" s="48" t="s">
        <v>67</v>
      </c>
      <c r="F353" s="48" t="s">
        <v>647</v>
      </c>
      <c r="G353" s="48" t="s">
        <v>648</v>
      </c>
      <c r="H353" s="39" t="s">
        <v>439</v>
      </c>
      <c r="I353" s="69">
        <v>2</v>
      </c>
      <c r="J353" s="70" t="s">
        <v>84</v>
      </c>
      <c r="K353" s="93" t="s">
        <v>75</v>
      </c>
      <c r="L353" s="71">
        <v>1</v>
      </c>
      <c r="M353" s="89">
        <v>3</v>
      </c>
      <c r="N353" s="32" t="s">
        <v>39</v>
      </c>
      <c r="O353" s="53" t="s">
        <v>76</v>
      </c>
      <c r="P353" s="71">
        <v>5</v>
      </c>
      <c r="Q353" s="97">
        <f t="shared" si="33"/>
        <v>15</v>
      </c>
      <c r="R353" s="72"/>
      <c r="S353" s="72"/>
      <c r="T353" s="72"/>
      <c r="U353" s="50"/>
      <c r="V353" s="51"/>
      <c r="W353" s="52"/>
      <c r="X353" s="51"/>
      <c r="Y353" s="51"/>
      <c r="Z353" s="53"/>
      <c r="AA353" s="40"/>
      <c r="AB353" s="41"/>
      <c r="AC353" s="98"/>
      <c r="AD353" s="17">
        <f t="shared" si="48"/>
        <v>-1561</v>
      </c>
      <c r="AE353" s="18">
        <f t="shared" si="49"/>
        <v>1561</v>
      </c>
      <c r="AF353" s="98"/>
      <c r="AG353" s="98"/>
      <c r="AH353" s="98"/>
      <c r="AI353" s="98"/>
      <c r="AJ353" s="98"/>
      <c r="AK353" s="98"/>
      <c r="AL353" s="98"/>
      <c r="AM353" s="98"/>
      <c r="AN353" s="98"/>
      <c r="AO353" s="98"/>
      <c r="AP353" s="98"/>
      <c r="AQ353" s="98"/>
      <c r="AR353" s="98"/>
      <c r="AS353" s="98"/>
      <c r="AT353" s="98"/>
      <c r="AU353" s="98"/>
      <c r="AV353" s="98"/>
      <c r="AW353" s="98"/>
      <c r="AX353" s="98"/>
      <c r="AY353" s="98"/>
      <c r="AZ353" s="98"/>
      <c r="BA353" s="98"/>
      <c r="BB353" s="98"/>
      <c r="BC353" s="98"/>
      <c r="BD353" s="98"/>
      <c r="BE353" s="98"/>
      <c r="BF353" s="98"/>
      <c r="BG353" s="98"/>
      <c r="BH353" s="98"/>
      <c r="BI353" s="98"/>
      <c r="BJ353" s="98"/>
      <c r="BK353" s="98"/>
      <c r="BL353" s="98"/>
      <c r="BM353" s="98"/>
      <c r="BN353" s="98"/>
      <c r="BO353" s="98"/>
      <c r="BP353" s="98"/>
      <c r="BQ353" s="98"/>
      <c r="BR353" s="98"/>
      <c r="BS353" s="98"/>
      <c r="BT353" s="98"/>
      <c r="BU353" s="98"/>
      <c r="BV353" s="98"/>
      <c r="BW353" s="98"/>
      <c r="BX353" s="98"/>
      <c r="BY353" s="98"/>
      <c r="BZ353" s="98"/>
      <c r="CA353" s="98"/>
      <c r="CB353" s="98"/>
      <c r="CC353" s="98"/>
      <c r="CD353" s="98"/>
      <c r="CE353" s="98"/>
      <c r="CF353" s="98"/>
      <c r="CG353" s="98"/>
      <c r="CH353" s="98"/>
      <c r="CI353" s="98"/>
      <c r="CJ353" s="98"/>
      <c r="CK353" s="98"/>
      <c r="CL353" s="98"/>
      <c r="CM353" s="98"/>
      <c r="CN353" s="98"/>
      <c r="CO353" s="98"/>
      <c r="CP353" s="98"/>
      <c r="CQ353" s="98"/>
      <c r="CR353" s="98"/>
      <c r="CS353" s="98"/>
      <c r="CT353" s="98"/>
      <c r="CU353" s="98"/>
      <c r="CV353" s="98"/>
      <c r="CW353" s="98"/>
      <c r="CX353" s="98"/>
      <c r="CY353" s="98"/>
      <c r="CZ353" s="98"/>
      <c r="DA353" s="98"/>
      <c r="DB353" s="98"/>
      <c r="DC353" s="98"/>
      <c r="DD353" s="98"/>
      <c r="DE353" s="98"/>
      <c r="DF353" s="98"/>
      <c r="DG353" s="98"/>
      <c r="DH353" s="98"/>
      <c r="DI353" s="98"/>
      <c r="DJ353" s="98"/>
      <c r="DK353" s="98"/>
      <c r="DL353" s="98"/>
      <c r="DM353" s="98"/>
      <c r="DN353" s="98"/>
      <c r="DO353" s="98"/>
      <c r="DP353" s="98"/>
      <c r="DQ353" s="98"/>
      <c r="DR353" s="98"/>
      <c r="DS353" s="98"/>
      <c r="DT353" s="98"/>
      <c r="DU353" s="98"/>
      <c r="DV353" s="98"/>
      <c r="DW353" s="98"/>
      <c r="DX353" s="98"/>
      <c r="DY353" s="98"/>
      <c r="DZ353" s="98"/>
      <c r="EA353" s="98"/>
      <c r="EB353" s="98"/>
      <c r="EC353" s="98"/>
      <c r="ED353" s="98"/>
      <c r="EE353" s="98"/>
      <c r="EF353" s="98"/>
      <c r="EG353" s="98"/>
      <c r="EH353" s="98"/>
      <c r="EI353" s="98"/>
      <c r="EJ353" s="98"/>
      <c r="EK353" s="98"/>
      <c r="EL353" s="98"/>
      <c r="EM353" s="98"/>
      <c r="EN353" s="98"/>
      <c r="EO353" s="98"/>
      <c r="EP353" s="98"/>
      <c r="EQ353" s="98"/>
      <c r="ER353" s="98"/>
      <c r="ES353" s="98"/>
      <c r="ET353" s="98"/>
      <c r="EU353" s="98"/>
      <c r="EV353" s="98"/>
      <c r="EW353" s="98"/>
      <c r="EX353" s="98"/>
      <c r="EY353" s="98"/>
      <c r="EZ353" s="98"/>
      <c r="FA353" s="98"/>
      <c r="FB353" s="98"/>
      <c r="FC353" s="98"/>
      <c r="FD353" s="98"/>
      <c r="FE353" s="98"/>
      <c r="FF353" s="98"/>
      <c r="FG353" s="98"/>
      <c r="FH353" s="98"/>
      <c r="FI353" s="98"/>
      <c r="FJ353" s="98"/>
      <c r="FK353" s="98"/>
      <c r="FL353" s="98"/>
      <c r="FM353" s="98"/>
      <c r="FN353" s="98"/>
      <c r="FO353" s="98"/>
      <c r="FP353" s="98"/>
      <c r="FQ353" s="98"/>
      <c r="FR353" s="98"/>
      <c r="FS353" s="98"/>
      <c r="FT353" s="98"/>
      <c r="FU353" s="98"/>
      <c r="FV353" s="98"/>
      <c r="FW353" s="98"/>
      <c r="FX353" s="98"/>
      <c r="FY353" s="98"/>
      <c r="FZ353" s="98"/>
      <c r="GA353" s="98"/>
      <c r="GB353" s="98"/>
      <c r="GC353" s="98"/>
      <c r="GD353" s="98"/>
      <c r="GE353" s="98"/>
      <c r="GF353" s="98"/>
      <c r="GG353" s="98"/>
      <c r="GH353" s="98"/>
      <c r="GI353" s="98"/>
      <c r="GJ353" s="98"/>
      <c r="GK353" s="98"/>
      <c r="GL353" s="98"/>
      <c r="GM353" s="98"/>
      <c r="GN353" s="98"/>
      <c r="GO353" s="98"/>
      <c r="GP353" s="98"/>
      <c r="GQ353" s="98"/>
      <c r="GR353" s="98"/>
      <c r="GS353" s="98"/>
      <c r="GT353" s="98"/>
      <c r="GU353" s="98"/>
      <c r="GV353" s="98"/>
      <c r="GW353" s="98"/>
      <c r="GX353" s="98"/>
      <c r="GY353" s="98"/>
      <c r="GZ353" s="98"/>
      <c r="HA353" s="98"/>
      <c r="HB353" s="98"/>
      <c r="HC353" s="98"/>
      <c r="HD353" s="98"/>
      <c r="HE353" s="98"/>
      <c r="HF353" s="98"/>
      <c r="HG353" s="98"/>
      <c r="HH353" s="98"/>
      <c r="HI353" s="98"/>
      <c r="HJ353" s="98"/>
      <c r="HK353" s="98"/>
      <c r="HL353" s="98"/>
      <c r="HM353" s="98"/>
      <c r="HN353" s="98"/>
      <c r="HO353" s="98"/>
      <c r="HP353" s="98"/>
      <c r="HQ353" s="98"/>
      <c r="HR353" s="98"/>
      <c r="HS353" s="98"/>
      <c r="HT353" s="98"/>
      <c r="HU353" s="98"/>
      <c r="HV353" s="98"/>
      <c r="HW353" s="98"/>
      <c r="HX353" s="98"/>
      <c r="HY353" s="98"/>
      <c r="HZ353" s="98"/>
      <c r="IA353" s="98"/>
      <c r="IB353" s="98"/>
      <c r="IC353" s="98"/>
      <c r="ID353" s="98"/>
      <c r="IE353" s="98"/>
      <c r="IF353" s="98"/>
      <c r="IG353" s="98"/>
      <c r="IH353" s="98"/>
      <c r="II353" s="98"/>
      <c r="IJ353" s="98"/>
      <c r="IK353" s="98"/>
      <c r="IL353" s="98"/>
      <c r="IM353" s="98"/>
      <c r="IN353" s="98"/>
      <c r="IO353" s="98"/>
      <c r="IP353" s="98"/>
      <c r="IQ353" s="98"/>
      <c r="IR353" s="98"/>
      <c r="IS353" s="98"/>
      <c r="IT353" s="98"/>
      <c r="IU353" s="98"/>
      <c r="IV353" s="98"/>
      <c r="IW353" s="98"/>
      <c r="IX353" s="98"/>
      <c r="IY353" s="98"/>
      <c r="IZ353" s="98"/>
      <c r="JA353" s="98"/>
      <c r="JB353" s="98"/>
      <c r="JC353" s="98"/>
      <c r="JD353" s="98"/>
      <c r="JE353" s="98"/>
      <c r="JF353" s="98"/>
      <c r="JG353" s="98"/>
      <c r="JH353" s="98"/>
      <c r="JI353" s="98"/>
      <c r="JJ353" s="98"/>
      <c r="JK353" s="98"/>
      <c r="JL353" s="98"/>
      <c r="JM353" s="98"/>
      <c r="JN353" s="98"/>
      <c r="JO353" s="98"/>
      <c r="JP353" s="98"/>
      <c r="JQ353" s="98"/>
      <c r="JR353" s="98"/>
      <c r="JS353" s="98"/>
      <c r="JT353" s="98"/>
      <c r="JU353" s="98"/>
      <c r="JV353" s="98"/>
      <c r="JW353" s="98"/>
      <c r="JX353" s="98"/>
      <c r="JY353" s="98"/>
      <c r="JZ353" s="98"/>
      <c r="KA353" s="98"/>
      <c r="KB353" s="98"/>
      <c r="KC353" s="98"/>
      <c r="KD353" s="98"/>
      <c r="KE353" s="98"/>
      <c r="KF353" s="98"/>
      <c r="KG353" s="98"/>
      <c r="KH353" s="98"/>
      <c r="KI353" s="98"/>
      <c r="KJ353" s="98"/>
      <c r="KK353" s="98"/>
      <c r="KL353" s="98"/>
      <c r="KM353" s="98"/>
      <c r="KN353" s="98"/>
      <c r="KO353" s="98"/>
      <c r="KP353" s="98"/>
      <c r="KQ353" s="98"/>
      <c r="KR353" s="98"/>
      <c r="KS353" s="98"/>
      <c r="KT353" s="98"/>
      <c r="KU353" s="98"/>
      <c r="KV353" s="98"/>
      <c r="KW353" s="98"/>
      <c r="KX353" s="98"/>
      <c r="KY353" s="98"/>
      <c r="KZ353" s="98"/>
      <c r="LA353" s="98"/>
      <c r="LB353" s="98"/>
      <c r="LC353" s="98"/>
      <c r="LD353" s="98"/>
      <c r="LE353" s="98"/>
      <c r="LF353" s="98"/>
      <c r="LG353" s="98"/>
      <c r="LH353" s="98"/>
      <c r="LI353" s="98"/>
      <c r="LJ353" s="98"/>
      <c r="LK353" s="98"/>
      <c r="LL353" s="98"/>
      <c r="LM353" s="98"/>
      <c r="LN353" s="98"/>
      <c r="LO353" s="98"/>
      <c r="LP353" s="98"/>
      <c r="LQ353" s="98"/>
      <c r="LR353" s="98"/>
      <c r="LS353" s="98"/>
      <c r="LT353" s="98"/>
      <c r="LU353" s="98"/>
      <c r="LV353" s="98"/>
      <c r="LW353" s="98"/>
      <c r="LX353" s="98"/>
      <c r="LY353" s="98"/>
      <c r="LZ353" s="98"/>
      <c r="MA353" s="98"/>
      <c r="MB353" s="98"/>
      <c r="MC353" s="98"/>
      <c r="MD353" s="98"/>
      <c r="ME353" s="98"/>
      <c r="MF353" s="98"/>
      <c r="MG353" s="98"/>
      <c r="MH353" s="98"/>
      <c r="MI353" s="98"/>
      <c r="MJ353" s="98"/>
      <c r="MK353" s="98"/>
      <c r="ML353" s="98"/>
      <c r="MM353" s="98"/>
      <c r="MN353" s="98"/>
      <c r="MO353" s="98"/>
      <c r="MP353" s="98"/>
      <c r="MQ353" s="98"/>
      <c r="MR353" s="98"/>
      <c r="MS353" s="98"/>
      <c r="MT353" s="98"/>
      <c r="MU353" s="98"/>
      <c r="MV353" s="98"/>
      <c r="MW353" s="98"/>
      <c r="MX353" s="98"/>
      <c r="MY353" s="98"/>
      <c r="MZ353" s="98"/>
      <c r="NA353" s="98"/>
      <c r="NB353" s="98"/>
      <c r="NC353" s="98"/>
      <c r="ND353" s="98"/>
      <c r="NE353" s="98"/>
      <c r="NF353" s="98"/>
      <c r="NG353" s="98"/>
      <c r="NH353" s="98"/>
      <c r="NI353" s="98"/>
      <c r="NJ353" s="98"/>
      <c r="NK353" s="98"/>
      <c r="NL353" s="98"/>
      <c r="NM353" s="98"/>
      <c r="NN353" s="98"/>
      <c r="NO353" s="98"/>
      <c r="NP353" s="98"/>
      <c r="NQ353" s="98"/>
      <c r="NR353" s="98"/>
      <c r="NS353" s="98"/>
      <c r="NT353" s="98"/>
      <c r="NU353" s="98"/>
      <c r="NV353" s="98"/>
      <c r="NW353" s="98"/>
      <c r="NX353" s="98"/>
      <c r="NY353" s="98"/>
      <c r="NZ353" s="98"/>
      <c r="OA353" s="98"/>
      <c r="OB353" s="98"/>
      <c r="OC353" s="98"/>
      <c r="OD353" s="98"/>
      <c r="OE353" s="98"/>
      <c r="OF353" s="98"/>
      <c r="OG353" s="98"/>
      <c r="OH353" s="98"/>
      <c r="OI353" s="98"/>
      <c r="OJ353" s="98"/>
      <c r="OK353" s="98"/>
      <c r="OL353" s="98"/>
      <c r="OM353" s="98"/>
      <c r="ON353" s="98"/>
      <c r="OO353" s="98"/>
      <c r="OP353" s="98"/>
      <c r="OQ353" s="98"/>
      <c r="OR353" s="98"/>
      <c r="OS353" s="98"/>
      <c r="OT353" s="98"/>
      <c r="OU353" s="98"/>
      <c r="OV353" s="98"/>
      <c r="OW353" s="98"/>
      <c r="OX353" s="98"/>
      <c r="OY353" s="98"/>
      <c r="OZ353" s="98"/>
      <c r="PA353" s="98"/>
      <c r="PB353" s="98"/>
      <c r="PC353" s="98"/>
      <c r="PD353" s="98"/>
      <c r="PE353" s="98"/>
      <c r="PF353" s="98"/>
      <c r="PG353" s="98"/>
      <c r="PH353" s="98"/>
      <c r="PI353" s="98"/>
      <c r="PJ353" s="98"/>
      <c r="PK353" s="98"/>
      <c r="PL353" s="98"/>
      <c r="PM353" s="98"/>
      <c r="PN353" s="98"/>
      <c r="PO353" s="98"/>
      <c r="PP353" s="98"/>
      <c r="PQ353" s="98"/>
      <c r="PR353" s="98"/>
      <c r="PS353" s="98"/>
      <c r="PT353" s="98"/>
      <c r="PU353" s="98"/>
      <c r="PV353" s="98"/>
      <c r="PW353" s="98"/>
      <c r="PX353" s="98"/>
      <c r="PY353" s="98"/>
      <c r="PZ353" s="98"/>
      <c r="QA353" s="98"/>
      <c r="QB353" s="98"/>
      <c r="QC353" s="98"/>
      <c r="QD353" s="98"/>
      <c r="QE353" s="98"/>
      <c r="QF353" s="98"/>
      <c r="QG353" s="98"/>
      <c r="QH353" s="98"/>
      <c r="QI353" s="98"/>
      <c r="QJ353" s="98"/>
      <c r="QK353" s="98"/>
      <c r="QL353" s="98"/>
      <c r="QM353" s="98"/>
      <c r="QN353" s="98"/>
      <c r="QO353" s="98"/>
      <c r="QP353" s="98"/>
      <c r="QQ353" s="98"/>
      <c r="QR353" s="98"/>
      <c r="QS353" s="98"/>
      <c r="QT353" s="98"/>
      <c r="QU353" s="98"/>
      <c r="QV353" s="98"/>
      <c r="QW353" s="98"/>
      <c r="QX353" s="98"/>
      <c r="QY353" s="98"/>
      <c r="QZ353" s="98"/>
      <c r="RA353" s="98"/>
      <c r="RB353" s="98"/>
      <c r="RC353" s="98"/>
      <c r="RD353" s="98"/>
      <c r="RE353" s="98"/>
      <c r="RF353" s="98"/>
      <c r="RG353" s="98"/>
      <c r="RH353" s="98"/>
      <c r="RI353" s="98"/>
      <c r="RJ353" s="98"/>
      <c r="RK353" s="98"/>
      <c r="RL353" s="98"/>
      <c r="RM353" s="98"/>
      <c r="RN353" s="98"/>
      <c r="RO353" s="98"/>
      <c r="RP353" s="98"/>
      <c r="RQ353" s="98"/>
      <c r="RR353" s="98"/>
      <c r="RS353" s="98"/>
      <c r="RT353" s="98"/>
      <c r="RU353" s="98"/>
      <c r="RV353" s="98"/>
      <c r="RW353" s="98"/>
      <c r="RX353" s="98"/>
      <c r="RY353" s="98"/>
      <c r="RZ353" s="98"/>
      <c r="SA353" s="98"/>
      <c r="SB353" s="98"/>
      <c r="SC353" s="98"/>
      <c r="SD353" s="98"/>
      <c r="SE353" s="98"/>
      <c r="SF353" s="98"/>
      <c r="SG353" s="98"/>
      <c r="SH353" s="98"/>
      <c r="SI353" s="98"/>
      <c r="SJ353" s="98"/>
      <c r="SK353" s="98"/>
      <c r="SL353" s="98"/>
      <c r="SM353" s="98"/>
      <c r="SN353" s="98"/>
      <c r="SO353" s="98"/>
      <c r="SP353" s="98"/>
      <c r="SQ353" s="98"/>
      <c r="SR353" s="98"/>
    </row>
    <row r="354" spans="1:512" s="100" customFormat="1" ht="230.25" outlineLevel="4" thickBot="1" x14ac:dyDescent="0.25">
      <c r="A354" s="43" t="s">
        <v>787</v>
      </c>
      <c r="B354" s="175"/>
      <c r="C354" s="77"/>
      <c r="D354" s="148"/>
      <c r="E354" s="48" t="s">
        <v>71</v>
      </c>
      <c r="F354" s="48" t="s">
        <v>788</v>
      </c>
      <c r="G354" s="87" t="s">
        <v>615</v>
      </c>
      <c r="H354" s="88" t="s">
        <v>127</v>
      </c>
      <c r="I354" s="69">
        <v>3</v>
      </c>
      <c r="J354" s="70" t="s">
        <v>74</v>
      </c>
      <c r="K354" s="93" t="s">
        <v>75</v>
      </c>
      <c r="L354" s="71">
        <v>1</v>
      </c>
      <c r="M354" s="89">
        <v>3</v>
      </c>
      <c r="N354" s="32" t="s">
        <v>39</v>
      </c>
      <c r="O354" s="33" t="s">
        <v>143</v>
      </c>
      <c r="P354" s="71">
        <v>3</v>
      </c>
      <c r="Q354" s="97">
        <f t="shared" si="33"/>
        <v>9</v>
      </c>
      <c r="R354" s="32"/>
      <c r="S354" s="32"/>
      <c r="T354" s="32"/>
      <c r="U354" s="95"/>
      <c r="V354" s="62"/>
      <c r="W354" s="96"/>
      <c r="X354" s="62"/>
      <c r="Y354" s="62"/>
      <c r="Z354" s="33"/>
      <c r="AA354" s="40"/>
      <c r="AB354" s="99"/>
      <c r="AC354" s="98"/>
      <c r="AD354" s="17">
        <f t="shared" si="48"/>
        <v>-1562</v>
      </c>
      <c r="AE354" s="18">
        <f t="shared" si="49"/>
        <v>1562</v>
      </c>
      <c r="AF354" s="98"/>
      <c r="AG354" s="98"/>
      <c r="AH354" s="98"/>
      <c r="AI354" s="98"/>
      <c r="AJ354" s="98"/>
      <c r="AK354" s="98"/>
      <c r="AL354" s="98"/>
      <c r="AM354" s="98"/>
      <c r="AN354" s="98"/>
      <c r="AO354" s="98"/>
      <c r="AP354" s="98"/>
      <c r="AQ354" s="98"/>
      <c r="AR354" s="98"/>
      <c r="AS354" s="98"/>
      <c r="AT354" s="98"/>
      <c r="AU354" s="98"/>
      <c r="AV354" s="98"/>
      <c r="AW354" s="98"/>
      <c r="AX354" s="98"/>
      <c r="AY354" s="98"/>
      <c r="AZ354" s="98"/>
      <c r="BA354" s="98"/>
      <c r="BB354" s="98"/>
      <c r="BC354" s="98"/>
      <c r="BD354" s="98"/>
      <c r="BE354" s="98"/>
      <c r="BF354" s="98"/>
      <c r="BG354" s="98"/>
      <c r="BH354" s="98"/>
      <c r="BI354" s="98"/>
      <c r="BJ354" s="98"/>
      <c r="BK354" s="98"/>
      <c r="BL354" s="98"/>
      <c r="BM354" s="98"/>
      <c r="BN354" s="98"/>
      <c r="BO354" s="98"/>
      <c r="BP354" s="98"/>
      <c r="BQ354" s="98"/>
      <c r="BR354" s="98"/>
      <c r="BS354" s="98"/>
      <c r="BT354" s="98"/>
      <c r="BU354" s="98"/>
      <c r="BV354" s="98"/>
      <c r="BW354" s="98"/>
      <c r="BX354" s="98"/>
      <c r="BY354" s="98"/>
      <c r="BZ354" s="98"/>
      <c r="CA354" s="98"/>
      <c r="CB354" s="98"/>
      <c r="CC354" s="98"/>
      <c r="CD354" s="98"/>
      <c r="CE354" s="98"/>
      <c r="CF354" s="98"/>
      <c r="CG354" s="98"/>
      <c r="CH354" s="98"/>
      <c r="CI354" s="98"/>
      <c r="CJ354" s="98"/>
      <c r="CK354" s="98"/>
      <c r="CL354" s="98"/>
      <c r="CM354" s="98"/>
      <c r="CN354" s="98"/>
      <c r="CO354" s="98"/>
      <c r="CP354" s="98"/>
      <c r="CQ354" s="98"/>
      <c r="CR354" s="98"/>
      <c r="CS354" s="98"/>
      <c r="CT354" s="98"/>
      <c r="CU354" s="98"/>
      <c r="CV354" s="98"/>
      <c r="CW354" s="98"/>
      <c r="CX354" s="98"/>
      <c r="CY354" s="98"/>
      <c r="CZ354" s="98"/>
      <c r="DA354" s="98"/>
      <c r="DB354" s="98"/>
      <c r="DC354" s="98"/>
      <c r="DD354" s="98"/>
      <c r="DE354" s="98"/>
      <c r="DF354" s="98"/>
      <c r="DG354" s="98"/>
      <c r="DH354" s="98"/>
      <c r="DI354" s="98"/>
      <c r="DJ354" s="98"/>
      <c r="DK354" s="98"/>
      <c r="DL354" s="98"/>
      <c r="DM354" s="98"/>
      <c r="DN354" s="98"/>
      <c r="DO354" s="98"/>
      <c r="DP354" s="98"/>
      <c r="DQ354" s="98"/>
      <c r="DR354" s="98"/>
      <c r="DS354" s="98"/>
      <c r="DT354" s="98"/>
      <c r="DU354" s="98"/>
      <c r="DV354" s="98"/>
      <c r="DW354" s="98"/>
      <c r="DX354" s="98"/>
      <c r="DY354" s="98"/>
      <c r="DZ354" s="98"/>
      <c r="EA354" s="98"/>
      <c r="EB354" s="98"/>
      <c r="EC354" s="98"/>
      <c r="ED354" s="98"/>
      <c r="EE354" s="98"/>
      <c r="EF354" s="98"/>
      <c r="EG354" s="98"/>
      <c r="EH354" s="98"/>
      <c r="EI354" s="98"/>
      <c r="EJ354" s="98"/>
      <c r="EK354" s="98"/>
      <c r="EL354" s="98"/>
      <c r="EM354" s="98"/>
      <c r="EN354" s="98"/>
      <c r="EO354" s="98"/>
      <c r="EP354" s="98"/>
      <c r="EQ354" s="98"/>
      <c r="ER354" s="98"/>
      <c r="ES354" s="98"/>
      <c r="ET354" s="98"/>
      <c r="EU354" s="98"/>
      <c r="EV354" s="98"/>
      <c r="EW354" s="98"/>
      <c r="EX354" s="98"/>
      <c r="EY354" s="98"/>
      <c r="EZ354" s="98"/>
      <c r="FA354" s="98"/>
      <c r="FB354" s="98"/>
      <c r="FC354" s="98"/>
      <c r="FD354" s="98"/>
      <c r="FE354" s="98"/>
      <c r="FF354" s="98"/>
      <c r="FG354" s="98"/>
      <c r="FH354" s="98"/>
      <c r="FI354" s="98"/>
      <c r="FJ354" s="98"/>
      <c r="FK354" s="98"/>
      <c r="FL354" s="98"/>
      <c r="FM354" s="98"/>
      <c r="FN354" s="98"/>
      <c r="FO354" s="98"/>
      <c r="FP354" s="98"/>
      <c r="FQ354" s="98"/>
      <c r="FR354" s="98"/>
      <c r="FS354" s="98"/>
      <c r="FT354" s="98"/>
      <c r="FU354" s="98"/>
      <c r="FV354" s="98"/>
      <c r="FW354" s="98"/>
      <c r="FX354" s="98"/>
      <c r="FY354" s="98"/>
      <c r="FZ354" s="98"/>
      <c r="GA354" s="98"/>
      <c r="GB354" s="98"/>
      <c r="GC354" s="98"/>
      <c r="GD354" s="98"/>
      <c r="GE354" s="98"/>
      <c r="GF354" s="98"/>
      <c r="GG354" s="98"/>
      <c r="GH354" s="98"/>
      <c r="GI354" s="98"/>
      <c r="GJ354" s="98"/>
      <c r="GK354" s="98"/>
      <c r="GL354" s="98"/>
      <c r="GM354" s="98"/>
      <c r="GN354" s="98"/>
      <c r="GO354" s="98"/>
      <c r="GP354" s="98"/>
      <c r="GQ354" s="98"/>
      <c r="GR354" s="98"/>
      <c r="GS354" s="98"/>
      <c r="GT354" s="98"/>
      <c r="GU354" s="98"/>
      <c r="GV354" s="98"/>
      <c r="GW354" s="98"/>
      <c r="GX354" s="98"/>
      <c r="GY354" s="98"/>
      <c r="GZ354" s="98"/>
      <c r="HA354" s="98"/>
      <c r="HB354" s="98"/>
      <c r="HC354" s="98"/>
      <c r="HD354" s="98"/>
      <c r="HE354" s="98"/>
      <c r="HF354" s="98"/>
      <c r="HG354" s="98"/>
      <c r="HH354" s="98"/>
      <c r="HI354" s="98"/>
      <c r="HJ354" s="98"/>
      <c r="HK354" s="98"/>
      <c r="HL354" s="98"/>
      <c r="HM354" s="98"/>
      <c r="HN354" s="98"/>
      <c r="HO354" s="98"/>
      <c r="HP354" s="98"/>
      <c r="HQ354" s="98"/>
      <c r="HR354" s="98"/>
      <c r="HS354" s="98"/>
      <c r="HT354" s="98"/>
      <c r="HU354" s="98"/>
      <c r="HV354" s="98"/>
      <c r="HW354" s="98"/>
      <c r="HX354" s="98"/>
      <c r="HY354" s="98"/>
      <c r="HZ354" s="98"/>
      <c r="IA354" s="98"/>
      <c r="IB354" s="98"/>
      <c r="IC354" s="98"/>
      <c r="ID354" s="98"/>
      <c r="IE354" s="98"/>
      <c r="IF354" s="98"/>
      <c r="IG354" s="98"/>
      <c r="IH354" s="98"/>
      <c r="II354" s="98"/>
      <c r="IJ354" s="98"/>
      <c r="IK354" s="98"/>
      <c r="IL354" s="98"/>
      <c r="IM354" s="98"/>
      <c r="IN354" s="98"/>
      <c r="IO354" s="98"/>
      <c r="IP354" s="98"/>
      <c r="IQ354" s="98"/>
      <c r="IR354" s="98"/>
      <c r="IS354" s="98"/>
      <c r="IT354" s="98"/>
      <c r="IU354" s="98"/>
      <c r="IV354" s="98"/>
      <c r="IW354" s="98"/>
      <c r="IX354" s="98"/>
      <c r="IY354" s="98"/>
      <c r="IZ354" s="98"/>
      <c r="JA354" s="98"/>
      <c r="JB354" s="98"/>
      <c r="JC354" s="98"/>
      <c r="JD354" s="98"/>
      <c r="JE354" s="98"/>
      <c r="JF354" s="98"/>
      <c r="JG354" s="98"/>
      <c r="JH354" s="98"/>
      <c r="JI354" s="98"/>
      <c r="JJ354" s="98"/>
      <c r="JK354" s="98"/>
      <c r="JL354" s="98"/>
      <c r="JM354" s="98"/>
      <c r="JN354" s="98"/>
      <c r="JO354" s="98"/>
      <c r="JP354" s="98"/>
      <c r="JQ354" s="98"/>
      <c r="JR354" s="98"/>
      <c r="JS354" s="98"/>
      <c r="JT354" s="98"/>
      <c r="JU354" s="98"/>
      <c r="JV354" s="98"/>
      <c r="JW354" s="98"/>
      <c r="JX354" s="98"/>
      <c r="JY354" s="98"/>
      <c r="JZ354" s="98"/>
      <c r="KA354" s="98"/>
      <c r="KB354" s="98"/>
      <c r="KC354" s="98"/>
      <c r="KD354" s="98"/>
      <c r="KE354" s="98"/>
      <c r="KF354" s="98"/>
      <c r="KG354" s="98"/>
      <c r="KH354" s="98"/>
      <c r="KI354" s="98"/>
      <c r="KJ354" s="98"/>
      <c r="KK354" s="98"/>
      <c r="KL354" s="98"/>
      <c r="KM354" s="98"/>
      <c r="KN354" s="98"/>
      <c r="KO354" s="98"/>
      <c r="KP354" s="98"/>
      <c r="KQ354" s="98"/>
      <c r="KR354" s="98"/>
      <c r="KS354" s="98"/>
      <c r="KT354" s="98"/>
      <c r="KU354" s="98"/>
      <c r="KV354" s="98"/>
      <c r="KW354" s="98"/>
      <c r="KX354" s="98"/>
      <c r="KY354" s="98"/>
      <c r="KZ354" s="98"/>
      <c r="LA354" s="98"/>
      <c r="LB354" s="98"/>
      <c r="LC354" s="98"/>
      <c r="LD354" s="98"/>
      <c r="LE354" s="98"/>
      <c r="LF354" s="98"/>
      <c r="LG354" s="98"/>
      <c r="LH354" s="98"/>
      <c r="LI354" s="98"/>
      <c r="LJ354" s="98"/>
      <c r="LK354" s="98"/>
      <c r="LL354" s="98"/>
      <c r="LM354" s="98"/>
      <c r="LN354" s="98"/>
      <c r="LO354" s="98"/>
      <c r="LP354" s="98"/>
      <c r="LQ354" s="98"/>
      <c r="LR354" s="98"/>
      <c r="LS354" s="98"/>
      <c r="LT354" s="98"/>
      <c r="LU354" s="98"/>
      <c r="LV354" s="98"/>
      <c r="LW354" s="98"/>
      <c r="LX354" s="98"/>
      <c r="LY354" s="98"/>
      <c r="LZ354" s="98"/>
      <c r="MA354" s="98"/>
      <c r="MB354" s="98"/>
      <c r="MC354" s="98"/>
      <c r="MD354" s="98"/>
      <c r="ME354" s="98"/>
      <c r="MF354" s="98"/>
      <c r="MG354" s="98"/>
      <c r="MH354" s="98"/>
      <c r="MI354" s="98"/>
      <c r="MJ354" s="98"/>
      <c r="MK354" s="98"/>
      <c r="ML354" s="98"/>
      <c r="MM354" s="98"/>
      <c r="MN354" s="98"/>
      <c r="MO354" s="98"/>
      <c r="MP354" s="98"/>
      <c r="MQ354" s="98"/>
      <c r="MR354" s="98"/>
      <c r="MS354" s="98"/>
      <c r="MT354" s="98"/>
      <c r="MU354" s="98"/>
      <c r="MV354" s="98"/>
      <c r="MW354" s="98"/>
      <c r="MX354" s="98"/>
      <c r="MY354" s="98"/>
      <c r="MZ354" s="98"/>
      <c r="NA354" s="98"/>
      <c r="NB354" s="98"/>
      <c r="NC354" s="98"/>
      <c r="ND354" s="98"/>
      <c r="NE354" s="98"/>
      <c r="NF354" s="98"/>
      <c r="NG354" s="98"/>
      <c r="NH354" s="98"/>
      <c r="NI354" s="98"/>
      <c r="NJ354" s="98"/>
      <c r="NK354" s="98"/>
      <c r="NL354" s="98"/>
      <c r="NM354" s="98"/>
      <c r="NN354" s="98"/>
      <c r="NO354" s="98"/>
      <c r="NP354" s="98"/>
      <c r="NQ354" s="98"/>
      <c r="NR354" s="98"/>
      <c r="NS354" s="98"/>
      <c r="NT354" s="98"/>
      <c r="NU354" s="98"/>
      <c r="NV354" s="98"/>
      <c r="NW354" s="98"/>
      <c r="NX354" s="98"/>
      <c r="NY354" s="98"/>
      <c r="NZ354" s="98"/>
      <c r="OA354" s="98"/>
      <c r="OB354" s="98"/>
      <c r="OC354" s="98"/>
      <c r="OD354" s="98"/>
      <c r="OE354" s="98"/>
      <c r="OF354" s="98"/>
      <c r="OG354" s="98"/>
      <c r="OH354" s="98"/>
      <c r="OI354" s="98"/>
      <c r="OJ354" s="98"/>
      <c r="OK354" s="98"/>
      <c r="OL354" s="98"/>
      <c r="OM354" s="98"/>
      <c r="ON354" s="98"/>
      <c r="OO354" s="98"/>
      <c r="OP354" s="98"/>
      <c r="OQ354" s="98"/>
      <c r="OR354" s="98"/>
      <c r="OS354" s="98"/>
      <c r="OT354" s="98"/>
      <c r="OU354" s="98"/>
      <c r="OV354" s="98"/>
      <c r="OW354" s="98"/>
      <c r="OX354" s="98"/>
      <c r="OY354" s="98"/>
      <c r="OZ354" s="98"/>
      <c r="PA354" s="98"/>
      <c r="PB354" s="98"/>
      <c r="PC354" s="98"/>
      <c r="PD354" s="98"/>
      <c r="PE354" s="98"/>
      <c r="PF354" s="98"/>
      <c r="PG354" s="98"/>
      <c r="PH354" s="98"/>
      <c r="PI354" s="98"/>
      <c r="PJ354" s="98"/>
      <c r="PK354" s="98"/>
      <c r="PL354" s="98"/>
      <c r="PM354" s="98"/>
      <c r="PN354" s="98"/>
      <c r="PO354" s="98"/>
      <c r="PP354" s="98"/>
      <c r="PQ354" s="98"/>
      <c r="PR354" s="98"/>
      <c r="PS354" s="98"/>
      <c r="PT354" s="98"/>
      <c r="PU354" s="98"/>
      <c r="PV354" s="98"/>
      <c r="PW354" s="98"/>
      <c r="PX354" s="98"/>
      <c r="PY354" s="98"/>
      <c r="PZ354" s="98"/>
      <c r="QA354" s="98"/>
      <c r="QB354" s="98"/>
      <c r="QC354" s="98"/>
      <c r="QD354" s="98"/>
      <c r="QE354" s="98"/>
      <c r="QF354" s="98"/>
      <c r="QG354" s="98"/>
      <c r="QH354" s="98"/>
      <c r="QI354" s="98"/>
      <c r="QJ354" s="98"/>
      <c r="QK354" s="98"/>
      <c r="QL354" s="98"/>
      <c r="QM354" s="98"/>
      <c r="QN354" s="98"/>
      <c r="QO354" s="98"/>
      <c r="QP354" s="98"/>
      <c r="QQ354" s="98"/>
      <c r="QR354" s="98"/>
      <c r="QS354" s="98"/>
      <c r="QT354" s="98"/>
      <c r="QU354" s="98"/>
      <c r="QV354" s="98"/>
      <c r="QW354" s="98"/>
      <c r="QX354" s="98"/>
      <c r="QY354" s="98"/>
      <c r="QZ354" s="98"/>
      <c r="RA354" s="98"/>
      <c r="RB354" s="98"/>
      <c r="RC354" s="98"/>
      <c r="RD354" s="98"/>
      <c r="RE354" s="98"/>
      <c r="RF354" s="98"/>
      <c r="RG354" s="98"/>
      <c r="RH354" s="98"/>
      <c r="RI354" s="98"/>
      <c r="RJ354" s="98"/>
      <c r="RK354" s="98"/>
      <c r="RL354" s="98"/>
      <c r="RM354" s="98"/>
      <c r="RN354" s="98"/>
      <c r="RO354" s="98"/>
      <c r="RP354" s="98"/>
      <c r="RQ354" s="98"/>
      <c r="RR354" s="98"/>
      <c r="RS354" s="98"/>
      <c r="RT354" s="98"/>
      <c r="RU354" s="98"/>
      <c r="RV354" s="98"/>
      <c r="RW354" s="98"/>
      <c r="RX354" s="98"/>
      <c r="RY354" s="98"/>
      <c r="RZ354" s="98"/>
      <c r="SA354" s="98"/>
      <c r="SB354" s="98"/>
      <c r="SC354" s="98"/>
      <c r="SD354" s="98"/>
      <c r="SE354" s="98"/>
      <c r="SF354" s="98"/>
      <c r="SG354" s="98"/>
      <c r="SH354" s="98"/>
      <c r="SI354" s="98"/>
      <c r="SJ354" s="98"/>
      <c r="SK354" s="98"/>
      <c r="SL354" s="98"/>
      <c r="SM354" s="98"/>
      <c r="SN354" s="98"/>
      <c r="SO354" s="98"/>
      <c r="SP354" s="98"/>
      <c r="SQ354" s="98"/>
      <c r="SR354" s="98"/>
    </row>
    <row r="355" spans="1:512" ht="230.25" outlineLevel="4" thickBot="1" x14ac:dyDescent="0.25">
      <c r="A355" s="43" t="s">
        <v>789</v>
      </c>
      <c r="B355" s="174" t="s">
        <v>1020</v>
      </c>
      <c r="C355" s="75" t="s">
        <v>791</v>
      </c>
      <c r="D355" s="147" t="s">
        <v>664</v>
      </c>
      <c r="E355" s="48" t="s">
        <v>256</v>
      </c>
      <c r="F355" s="48" t="s">
        <v>355</v>
      </c>
      <c r="G355" s="48" t="s">
        <v>438</v>
      </c>
      <c r="H355" s="39" t="s">
        <v>439</v>
      </c>
      <c r="I355" s="69">
        <v>1</v>
      </c>
      <c r="J355" s="70" t="s">
        <v>84</v>
      </c>
      <c r="K355" s="93" t="s">
        <v>75</v>
      </c>
      <c r="L355" s="71">
        <v>1</v>
      </c>
      <c r="M355" s="89">
        <v>3</v>
      </c>
      <c r="N355" s="32" t="s">
        <v>39</v>
      </c>
      <c r="O355" s="53" t="s">
        <v>76</v>
      </c>
      <c r="P355" s="71">
        <v>5</v>
      </c>
      <c r="Q355" s="97">
        <f t="shared" si="33"/>
        <v>15</v>
      </c>
      <c r="R355" s="32"/>
      <c r="S355" s="32"/>
      <c r="T355" s="32"/>
      <c r="U355" s="95"/>
      <c r="V355" s="62"/>
      <c r="W355" s="96"/>
      <c r="X355" s="62"/>
      <c r="Y355" s="62"/>
      <c r="Z355" s="33"/>
      <c r="AA355" s="40"/>
      <c r="AB355" s="99"/>
      <c r="AC355" s="98"/>
      <c r="AD355" s="17">
        <f t="shared" si="48"/>
        <v>-1563</v>
      </c>
      <c r="AE355" s="18">
        <f t="shared" si="49"/>
        <v>1563</v>
      </c>
      <c r="AF355" s="98"/>
      <c r="AG355" s="98"/>
      <c r="AH355" s="98"/>
      <c r="AI355" s="98"/>
      <c r="AJ355" s="98"/>
      <c r="AK355" s="98"/>
      <c r="AL355" s="98"/>
      <c r="AM355" s="98"/>
      <c r="AN355" s="98"/>
      <c r="AO355" s="98"/>
      <c r="AP355" s="98"/>
      <c r="AQ355" s="98"/>
      <c r="AR355" s="98"/>
      <c r="AS355" s="98"/>
      <c r="AT355" s="98"/>
      <c r="AU355" s="98"/>
      <c r="AV355" s="98"/>
      <c r="AW355" s="98"/>
      <c r="AX355" s="98"/>
      <c r="AY355" s="98"/>
      <c r="AZ355" s="98"/>
      <c r="BA355" s="98"/>
      <c r="BB355" s="98"/>
      <c r="BC355" s="98"/>
      <c r="BD355" s="98"/>
      <c r="BE355" s="98"/>
      <c r="BF355" s="98"/>
      <c r="BG355" s="98"/>
      <c r="BH355" s="98"/>
      <c r="BI355" s="98"/>
      <c r="BJ355" s="98"/>
      <c r="BK355" s="98"/>
      <c r="BL355" s="98"/>
      <c r="BM355" s="98"/>
      <c r="BN355" s="98"/>
      <c r="BO355" s="98"/>
      <c r="BP355" s="98"/>
      <c r="BQ355" s="98"/>
      <c r="BR355" s="98"/>
      <c r="BS355" s="98"/>
      <c r="BT355" s="98"/>
      <c r="BU355" s="98"/>
      <c r="BV355" s="98"/>
      <c r="BW355" s="98"/>
      <c r="BX355" s="98"/>
      <c r="BY355" s="98"/>
      <c r="BZ355" s="98"/>
      <c r="CA355" s="98"/>
      <c r="CB355" s="98"/>
      <c r="CC355" s="98"/>
      <c r="CD355" s="98"/>
      <c r="CE355" s="98"/>
      <c r="CF355" s="98"/>
      <c r="CG355" s="98"/>
      <c r="CH355" s="98"/>
      <c r="CI355" s="98"/>
      <c r="CJ355" s="98"/>
      <c r="CK355" s="98"/>
      <c r="CL355" s="98"/>
      <c r="CM355" s="98"/>
      <c r="CN355" s="98"/>
      <c r="CO355" s="98"/>
      <c r="CP355" s="98"/>
      <c r="CQ355" s="98"/>
      <c r="CR355" s="98"/>
      <c r="CS355" s="98"/>
      <c r="CT355" s="98"/>
      <c r="CU355" s="98"/>
      <c r="CV355" s="98"/>
      <c r="CW355" s="98"/>
      <c r="CX355" s="98"/>
      <c r="CY355" s="98"/>
      <c r="CZ355" s="98"/>
      <c r="DA355" s="98"/>
      <c r="DB355" s="98"/>
      <c r="DC355" s="98"/>
      <c r="DD355" s="98"/>
      <c r="DE355" s="98"/>
      <c r="DF355" s="98"/>
      <c r="DG355" s="98"/>
      <c r="DH355" s="98"/>
      <c r="DI355" s="98"/>
      <c r="DJ355" s="98"/>
      <c r="DK355" s="98"/>
      <c r="DL355" s="98"/>
      <c r="DM355" s="98"/>
      <c r="DN355" s="98"/>
      <c r="DO355" s="98"/>
      <c r="DP355" s="98"/>
      <c r="DQ355" s="98"/>
      <c r="DR355" s="98"/>
      <c r="DS355" s="98"/>
      <c r="DT355" s="98"/>
      <c r="DU355" s="98"/>
      <c r="DV355" s="98"/>
      <c r="DW355" s="98"/>
      <c r="DX355" s="98"/>
      <c r="DY355" s="98"/>
      <c r="DZ355" s="98"/>
      <c r="EA355" s="98"/>
      <c r="EB355" s="98"/>
      <c r="EC355" s="98"/>
      <c r="ED355" s="98"/>
      <c r="EE355" s="98"/>
      <c r="EF355" s="98"/>
      <c r="EG355" s="98"/>
      <c r="EH355" s="98"/>
      <c r="EI355" s="98"/>
      <c r="EJ355" s="98"/>
      <c r="EK355" s="98"/>
      <c r="EL355" s="98"/>
      <c r="EM355" s="98"/>
      <c r="EN355" s="98"/>
      <c r="EO355" s="98"/>
      <c r="EP355" s="98"/>
      <c r="EQ355" s="98"/>
      <c r="ER355" s="98"/>
      <c r="ES355" s="98"/>
      <c r="ET355" s="98"/>
      <c r="EU355" s="98"/>
      <c r="EV355" s="98"/>
      <c r="EW355" s="98"/>
      <c r="EX355" s="98"/>
      <c r="EY355" s="98"/>
      <c r="EZ355" s="98"/>
      <c r="FA355" s="98"/>
      <c r="FB355" s="98"/>
      <c r="FC355" s="98"/>
      <c r="FD355" s="98"/>
      <c r="FE355" s="98"/>
      <c r="FF355" s="98"/>
      <c r="FG355" s="98"/>
      <c r="FH355" s="98"/>
      <c r="FI355" s="98"/>
      <c r="FJ355" s="98"/>
      <c r="FK355" s="98"/>
      <c r="FL355" s="98"/>
      <c r="FM355" s="98"/>
      <c r="FN355" s="98"/>
      <c r="FO355" s="98"/>
      <c r="FP355" s="98"/>
      <c r="FQ355" s="98"/>
      <c r="FR355" s="98"/>
      <c r="FS355" s="98"/>
      <c r="FT355" s="98"/>
      <c r="FU355" s="98"/>
      <c r="FV355" s="98"/>
      <c r="FW355" s="98"/>
      <c r="FX355" s="98"/>
      <c r="FY355" s="98"/>
      <c r="FZ355" s="98"/>
      <c r="GA355" s="98"/>
      <c r="GB355" s="98"/>
      <c r="GC355" s="98"/>
      <c r="GD355" s="98"/>
      <c r="GE355" s="98"/>
      <c r="GF355" s="98"/>
      <c r="GG355" s="98"/>
      <c r="GH355" s="98"/>
      <c r="GI355" s="98"/>
      <c r="GJ355" s="98"/>
      <c r="GK355" s="98"/>
      <c r="GL355" s="98"/>
      <c r="GM355" s="98"/>
      <c r="GN355" s="98"/>
      <c r="GO355" s="98"/>
      <c r="GP355" s="98"/>
      <c r="GQ355" s="98"/>
      <c r="GR355" s="98"/>
      <c r="GS355" s="98"/>
      <c r="GT355" s="98"/>
      <c r="GU355" s="98"/>
      <c r="GV355" s="98"/>
      <c r="GW355" s="98"/>
      <c r="GX355" s="98"/>
      <c r="GY355" s="98"/>
      <c r="GZ355" s="98"/>
      <c r="HA355" s="98"/>
      <c r="HB355" s="98"/>
      <c r="HC355" s="98"/>
      <c r="HD355" s="98"/>
      <c r="HE355" s="98"/>
      <c r="HF355" s="98"/>
      <c r="HG355" s="98"/>
      <c r="HH355" s="98"/>
      <c r="HI355" s="98"/>
      <c r="HJ355" s="98"/>
      <c r="HK355" s="98"/>
      <c r="HL355" s="98"/>
      <c r="HM355" s="98"/>
      <c r="HN355" s="98"/>
      <c r="HO355" s="98"/>
      <c r="HP355" s="98"/>
      <c r="HQ355" s="98"/>
      <c r="HR355" s="98"/>
      <c r="HS355" s="98"/>
      <c r="HT355" s="98"/>
      <c r="HU355" s="98"/>
      <c r="HV355" s="98"/>
      <c r="HW355" s="98"/>
      <c r="HX355" s="98"/>
      <c r="HY355" s="98"/>
      <c r="HZ355" s="98"/>
      <c r="IA355" s="98"/>
      <c r="IB355" s="98"/>
      <c r="IC355" s="98"/>
      <c r="ID355" s="98"/>
      <c r="IE355" s="98"/>
      <c r="IF355" s="98"/>
      <c r="IG355" s="98"/>
      <c r="IH355" s="98"/>
      <c r="II355" s="98"/>
      <c r="IJ355" s="98"/>
      <c r="IK355" s="98"/>
      <c r="IL355" s="98"/>
      <c r="IM355" s="98"/>
      <c r="IN355" s="98"/>
      <c r="IO355" s="98"/>
      <c r="IP355" s="98"/>
      <c r="IQ355" s="98"/>
      <c r="IR355" s="98"/>
      <c r="IS355" s="98"/>
      <c r="IT355" s="98"/>
      <c r="IU355" s="98"/>
      <c r="IV355" s="98"/>
      <c r="IW355" s="98"/>
      <c r="IX355" s="98"/>
      <c r="IY355" s="98"/>
      <c r="IZ355" s="98"/>
      <c r="JA355" s="98"/>
      <c r="JB355" s="98"/>
      <c r="JC355" s="98"/>
      <c r="JD355" s="98"/>
      <c r="JE355" s="98"/>
      <c r="JF355" s="98"/>
      <c r="JG355" s="98"/>
      <c r="JH355" s="98"/>
      <c r="JI355" s="98"/>
      <c r="JJ355" s="98"/>
      <c r="JK355" s="98"/>
      <c r="JL355" s="98"/>
      <c r="JM355" s="98"/>
      <c r="JN355" s="98"/>
      <c r="JO355" s="98"/>
      <c r="JP355" s="98"/>
      <c r="JQ355" s="98"/>
      <c r="JR355" s="98"/>
      <c r="JS355" s="98"/>
      <c r="JT355" s="98"/>
      <c r="JU355" s="98"/>
      <c r="JV355" s="98"/>
      <c r="JW355" s="98"/>
      <c r="JX355" s="98"/>
      <c r="JY355" s="98"/>
      <c r="JZ355" s="98"/>
      <c r="KA355" s="98"/>
      <c r="KB355" s="98"/>
      <c r="KC355" s="98"/>
      <c r="KD355" s="98"/>
      <c r="KE355" s="98"/>
      <c r="KF355" s="98"/>
      <c r="KG355" s="98"/>
      <c r="KH355" s="98"/>
      <c r="KI355" s="98"/>
      <c r="KJ355" s="98"/>
      <c r="KK355" s="98"/>
      <c r="KL355" s="98"/>
      <c r="KM355" s="98"/>
      <c r="KN355" s="98"/>
      <c r="KO355" s="98"/>
      <c r="KP355" s="98"/>
      <c r="KQ355" s="98"/>
      <c r="KR355" s="98"/>
      <c r="KS355" s="98"/>
      <c r="KT355" s="98"/>
      <c r="KU355" s="98"/>
      <c r="KV355" s="98"/>
      <c r="KW355" s="98"/>
      <c r="KX355" s="98"/>
      <c r="KY355" s="98"/>
      <c r="KZ355" s="98"/>
      <c r="LA355" s="98"/>
      <c r="LB355" s="98"/>
      <c r="LC355" s="98"/>
      <c r="LD355" s="98"/>
      <c r="LE355" s="98"/>
      <c r="LF355" s="98"/>
      <c r="LG355" s="98"/>
      <c r="LH355" s="98"/>
      <c r="LI355" s="98"/>
      <c r="LJ355" s="98"/>
      <c r="LK355" s="98"/>
      <c r="LL355" s="98"/>
      <c r="LM355" s="98"/>
      <c r="LN355" s="98"/>
      <c r="LO355" s="98"/>
      <c r="LP355" s="98"/>
      <c r="LQ355" s="98"/>
      <c r="LR355" s="98"/>
      <c r="LS355" s="98"/>
      <c r="LT355" s="98"/>
      <c r="LU355" s="98"/>
      <c r="LV355" s="98"/>
      <c r="LW355" s="98"/>
      <c r="LX355" s="98"/>
      <c r="LY355" s="98"/>
      <c r="LZ355" s="98"/>
      <c r="MA355" s="98"/>
      <c r="MB355" s="98"/>
      <c r="MC355" s="98"/>
      <c r="MD355" s="98"/>
      <c r="ME355" s="98"/>
      <c r="MF355" s="98"/>
      <c r="MG355" s="98"/>
      <c r="MH355" s="98"/>
      <c r="MI355" s="98"/>
      <c r="MJ355" s="98"/>
      <c r="MK355" s="98"/>
      <c r="ML355" s="98"/>
      <c r="MM355" s="98"/>
      <c r="MN355" s="98"/>
      <c r="MO355" s="98"/>
      <c r="MP355" s="98"/>
      <c r="MQ355" s="98"/>
      <c r="MR355" s="98"/>
      <c r="MS355" s="98"/>
      <c r="MT355" s="98"/>
      <c r="MU355" s="98"/>
      <c r="MV355" s="98"/>
      <c r="MW355" s="98"/>
      <c r="MX355" s="98"/>
      <c r="MY355" s="98"/>
      <c r="MZ355" s="98"/>
      <c r="NA355" s="98"/>
      <c r="NB355" s="98"/>
      <c r="NC355" s="98"/>
      <c r="ND355" s="98"/>
      <c r="NE355" s="98"/>
      <c r="NF355" s="98"/>
      <c r="NG355" s="98"/>
      <c r="NH355" s="98"/>
      <c r="NI355" s="98"/>
      <c r="NJ355" s="98"/>
      <c r="NK355" s="98"/>
      <c r="NL355" s="98"/>
      <c r="NM355" s="98"/>
      <c r="NN355" s="98"/>
      <c r="NO355" s="98"/>
      <c r="NP355" s="98"/>
      <c r="NQ355" s="98"/>
      <c r="NR355" s="98"/>
      <c r="NS355" s="98"/>
      <c r="NT355" s="98"/>
      <c r="NU355" s="98"/>
      <c r="NV355" s="98"/>
      <c r="NW355" s="98"/>
      <c r="NX355" s="98"/>
      <c r="NY355" s="98"/>
      <c r="NZ355" s="98"/>
      <c r="OA355" s="98"/>
      <c r="OB355" s="98"/>
      <c r="OC355" s="98"/>
      <c r="OD355" s="98"/>
      <c r="OE355" s="98"/>
      <c r="OF355" s="98"/>
      <c r="OG355" s="98"/>
      <c r="OH355" s="98"/>
      <c r="OI355" s="98"/>
      <c r="OJ355" s="98"/>
      <c r="OK355" s="98"/>
      <c r="OL355" s="98"/>
      <c r="OM355" s="98"/>
      <c r="ON355" s="98"/>
      <c r="OO355" s="98"/>
      <c r="OP355" s="98"/>
      <c r="OQ355" s="98"/>
      <c r="OR355" s="98"/>
      <c r="OS355" s="98"/>
      <c r="OT355" s="98"/>
      <c r="OU355" s="98"/>
      <c r="OV355" s="98"/>
      <c r="OW355" s="98"/>
      <c r="OX355" s="98"/>
      <c r="OY355" s="98"/>
      <c r="OZ355" s="98"/>
      <c r="PA355" s="98"/>
      <c r="PB355" s="98"/>
      <c r="PC355" s="98"/>
      <c r="PD355" s="98"/>
      <c r="PE355" s="98"/>
      <c r="PF355" s="98"/>
      <c r="PG355" s="98"/>
      <c r="PH355" s="98"/>
      <c r="PI355" s="98"/>
      <c r="PJ355" s="98"/>
      <c r="PK355" s="98"/>
      <c r="PL355" s="98"/>
      <c r="PM355" s="98"/>
      <c r="PN355" s="98"/>
      <c r="PO355" s="98"/>
      <c r="PP355" s="98"/>
      <c r="PQ355" s="98"/>
      <c r="PR355" s="98"/>
      <c r="PS355" s="98"/>
      <c r="PT355" s="98"/>
      <c r="PU355" s="98"/>
      <c r="PV355" s="98"/>
      <c r="PW355" s="98"/>
      <c r="PX355" s="98"/>
      <c r="PY355" s="98"/>
      <c r="PZ355" s="98"/>
      <c r="QA355" s="98"/>
      <c r="QB355" s="98"/>
      <c r="QC355" s="98"/>
      <c r="QD355" s="98"/>
      <c r="QE355" s="98"/>
      <c r="QF355" s="98"/>
      <c r="QG355" s="98"/>
      <c r="QH355" s="98"/>
      <c r="QI355" s="98"/>
      <c r="QJ355" s="98"/>
      <c r="QK355" s="98"/>
      <c r="QL355" s="98"/>
      <c r="QM355" s="98"/>
      <c r="QN355" s="98"/>
      <c r="QO355" s="98"/>
      <c r="QP355" s="98"/>
      <c r="QQ355" s="98"/>
      <c r="QR355" s="98"/>
      <c r="QS355" s="98"/>
      <c r="QT355" s="98"/>
      <c r="QU355" s="98"/>
      <c r="QV355" s="98"/>
      <c r="QW355" s="98"/>
      <c r="QX355" s="98"/>
      <c r="QY355" s="98"/>
      <c r="QZ355" s="98"/>
      <c r="RA355" s="98"/>
      <c r="RB355" s="98"/>
      <c r="RC355" s="98"/>
      <c r="RD355" s="98"/>
      <c r="RE355" s="98"/>
      <c r="RF355" s="98"/>
      <c r="RG355" s="98"/>
      <c r="RH355" s="98"/>
      <c r="RI355" s="98"/>
      <c r="RJ355" s="98"/>
      <c r="RK355" s="98"/>
      <c r="RL355" s="98"/>
      <c r="RM355" s="98"/>
      <c r="RN355" s="98"/>
      <c r="RO355" s="98"/>
      <c r="RP355" s="98"/>
      <c r="RQ355" s="98"/>
      <c r="RR355" s="98"/>
      <c r="RS355" s="98"/>
      <c r="RT355" s="98"/>
      <c r="RU355" s="98"/>
      <c r="RV355" s="98"/>
      <c r="RW355" s="98"/>
      <c r="RX355" s="98"/>
      <c r="RY355" s="98"/>
      <c r="RZ355" s="98"/>
      <c r="SA355" s="98"/>
      <c r="SB355" s="98"/>
      <c r="SC355" s="98"/>
      <c r="SD355" s="98"/>
      <c r="SE355" s="98"/>
      <c r="SF355" s="98"/>
      <c r="SG355" s="98"/>
      <c r="SH355" s="98"/>
      <c r="SI355" s="98"/>
      <c r="SJ355" s="98"/>
      <c r="SK355" s="98"/>
      <c r="SL355" s="98"/>
      <c r="SM355" s="98"/>
      <c r="SN355" s="98"/>
      <c r="SO355" s="98"/>
      <c r="SP355" s="98"/>
      <c r="SQ355" s="98"/>
      <c r="SR355" s="98"/>
    </row>
    <row r="356" spans="1:512" s="100" customFormat="1" ht="230.25" outlineLevel="4" thickBot="1" x14ac:dyDescent="0.25">
      <c r="A356" s="43" t="s">
        <v>792</v>
      </c>
      <c r="B356" s="175"/>
      <c r="C356" s="77"/>
      <c r="D356" s="148"/>
      <c r="E356" s="48" t="s">
        <v>71</v>
      </c>
      <c r="F356" s="48" t="s">
        <v>793</v>
      </c>
      <c r="G356" s="87" t="s">
        <v>615</v>
      </c>
      <c r="H356" s="88" t="s">
        <v>127</v>
      </c>
      <c r="I356" s="69">
        <v>3</v>
      </c>
      <c r="J356" s="70" t="s">
        <v>74</v>
      </c>
      <c r="K356" s="93" t="s">
        <v>75</v>
      </c>
      <c r="L356" s="71">
        <v>1</v>
      </c>
      <c r="M356" s="89">
        <v>3</v>
      </c>
      <c r="N356" s="32" t="s">
        <v>39</v>
      </c>
      <c r="O356" s="33" t="s">
        <v>143</v>
      </c>
      <c r="P356" s="71">
        <v>2</v>
      </c>
      <c r="Q356" s="97">
        <f t="shared" si="33"/>
        <v>6</v>
      </c>
      <c r="R356" s="32"/>
      <c r="S356" s="32"/>
      <c r="T356" s="32"/>
      <c r="U356" s="95"/>
      <c r="V356" s="62"/>
      <c r="W356" s="96"/>
      <c r="X356" s="62"/>
      <c r="Y356" s="62"/>
      <c r="Z356" s="33"/>
      <c r="AA356" s="40"/>
      <c r="AB356" s="99"/>
      <c r="AC356" s="98"/>
      <c r="AD356" s="17">
        <f t="shared" si="48"/>
        <v>-1564</v>
      </c>
      <c r="AE356" s="18">
        <f t="shared" si="49"/>
        <v>1564</v>
      </c>
      <c r="AF356" s="98"/>
      <c r="AG356" s="98"/>
      <c r="AH356" s="98"/>
      <c r="AI356" s="98"/>
      <c r="AJ356" s="98"/>
      <c r="AK356" s="98"/>
      <c r="AL356" s="98"/>
      <c r="AM356" s="98"/>
      <c r="AN356" s="98"/>
      <c r="AO356" s="98"/>
      <c r="AP356" s="98"/>
      <c r="AQ356" s="98"/>
      <c r="AR356" s="98"/>
      <c r="AS356" s="98"/>
      <c r="AT356" s="98"/>
      <c r="AU356" s="98"/>
      <c r="AV356" s="98"/>
      <c r="AW356" s="98"/>
      <c r="AX356" s="98"/>
      <c r="AY356" s="98"/>
      <c r="AZ356" s="98"/>
      <c r="BA356" s="98"/>
      <c r="BB356" s="98"/>
      <c r="BC356" s="98"/>
      <c r="BD356" s="98"/>
      <c r="BE356" s="98"/>
      <c r="BF356" s="98"/>
      <c r="BG356" s="98"/>
      <c r="BH356" s="98"/>
      <c r="BI356" s="98"/>
      <c r="BJ356" s="98"/>
      <c r="BK356" s="98"/>
      <c r="BL356" s="98"/>
      <c r="BM356" s="98"/>
      <c r="BN356" s="98"/>
      <c r="BO356" s="98"/>
      <c r="BP356" s="98"/>
      <c r="BQ356" s="98"/>
      <c r="BR356" s="98"/>
      <c r="BS356" s="98"/>
      <c r="BT356" s="98"/>
      <c r="BU356" s="98"/>
      <c r="BV356" s="98"/>
      <c r="BW356" s="98"/>
      <c r="BX356" s="98"/>
      <c r="BY356" s="98"/>
      <c r="BZ356" s="98"/>
      <c r="CA356" s="98"/>
      <c r="CB356" s="98"/>
      <c r="CC356" s="98"/>
      <c r="CD356" s="98"/>
      <c r="CE356" s="98"/>
      <c r="CF356" s="98"/>
      <c r="CG356" s="98"/>
      <c r="CH356" s="98"/>
      <c r="CI356" s="98"/>
      <c r="CJ356" s="98"/>
      <c r="CK356" s="98"/>
      <c r="CL356" s="98"/>
      <c r="CM356" s="98"/>
      <c r="CN356" s="98"/>
      <c r="CO356" s="98"/>
      <c r="CP356" s="98"/>
      <c r="CQ356" s="98"/>
      <c r="CR356" s="98"/>
      <c r="CS356" s="98"/>
      <c r="CT356" s="98"/>
      <c r="CU356" s="98"/>
      <c r="CV356" s="98"/>
      <c r="CW356" s="98"/>
      <c r="CX356" s="98"/>
      <c r="CY356" s="98"/>
      <c r="CZ356" s="98"/>
      <c r="DA356" s="98"/>
      <c r="DB356" s="98"/>
      <c r="DC356" s="98"/>
      <c r="DD356" s="98"/>
      <c r="DE356" s="98"/>
      <c r="DF356" s="98"/>
      <c r="DG356" s="98"/>
      <c r="DH356" s="98"/>
      <c r="DI356" s="98"/>
      <c r="DJ356" s="98"/>
      <c r="DK356" s="98"/>
      <c r="DL356" s="98"/>
      <c r="DM356" s="98"/>
      <c r="DN356" s="98"/>
      <c r="DO356" s="98"/>
      <c r="DP356" s="98"/>
      <c r="DQ356" s="98"/>
      <c r="DR356" s="98"/>
      <c r="DS356" s="98"/>
      <c r="DT356" s="98"/>
      <c r="DU356" s="98"/>
      <c r="DV356" s="98"/>
      <c r="DW356" s="98"/>
      <c r="DX356" s="98"/>
      <c r="DY356" s="98"/>
      <c r="DZ356" s="98"/>
      <c r="EA356" s="98"/>
      <c r="EB356" s="98"/>
      <c r="EC356" s="98"/>
      <c r="ED356" s="98"/>
      <c r="EE356" s="98"/>
      <c r="EF356" s="98"/>
      <c r="EG356" s="98"/>
      <c r="EH356" s="98"/>
      <c r="EI356" s="98"/>
      <c r="EJ356" s="98"/>
      <c r="EK356" s="98"/>
      <c r="EL356" s="98"/>
      <c r="EM356" s="98"/>
      <c r="EN356" s="98"/>
      <c r="EO356" s="98"/>
      <c r="EP356" s="98"/>
      <c r="EQ356" s="98"/>
      <c r="ER356" s="98"/>
      <c r="ES356" s="98"/>
      <c r="ET356" s="98"/>
      <c r="EU356" s="98"/>
      <c r="EV356" s="98"/>
      <c r="EW356" s="98"/>
      <c r="EX356" s="98"/>
      <c r="EY356" s="98"/>
      <c r="EZ356" s="98"/>
      <c r="FA356" s="98"/>
      <c r="FB356" s="98"/>
      <c r="FC356" s="98"/>
      <c r="FD356" s="98"/>
      <c r="FE356" s="98"/>
      <c r="FF356" s="98"/>
      <c r="FG356" s="98"/>
      <c r="FH356" s="98"/>
      <c r="FI356" s="98"/>
      <c r="FJ356" s="98"/>
      <c r="FK356" s="98"/>
      <c r="FL356" s="98"/>
      <c r="FM356" s="98"/>
      <c r="FN356" s="98"/>
      <c r="FO356" s="98"/>
      <c r="FP356" s="98"/>
      <c r="FQ356" s="98"/>
      <c r="FR356" s="98"/>
      <c r="FS356" s="98"/>
      <c r="FT356" s="98"/>
      <c r="FU356" s="98"/>
      <c r="FV356" s="98"/>
      <c r="FW356" s="98"/>
      <c r="FX356" s="98"/>
      <c r="FY356" s="98"/>
      <c r="FZ356" s="98"/>
      <c r="GA356" s="98"/>
      <c r="GB356" s="98"/>
      <c r="GC356" s="98"/>
      <c r="GD356" s="98"/>
      <c r="GE356" s="98"/>
      <c r="GF356" s="98"/>
      <c r="GG356" s="98"/>
      <c r="GH356" s="98"/>
      <c r="GI356" s="98"/>
      <c r="GJ356" s="98"/>
      <c r="GK356" s="98"/>
      <c r="GL356" s="98"/>
      <c r="GM356" s="98"/>
      <c r="GN356" s="98"/>
      <c r="GO356" s="98"/>
      <c r="GP356" s="98"/>
      <c r="GQ356" s="98"/>
      <c r="GR356" s="98"/>
      <c r="GS356" s="98"/>
      <c r="GT356" s="98"/>
      <c r="GU356" s="98"/>
      <c r="GV356" s="98"/>
      <c r="GW356" s="98"/>
      <c r="GX356" s="98"/>
      <c r="GY356" s="98"/>
      <c r="GZ356" s="98"/>
      <c r="HA356" s="98"/>
      <c r="HB356" s="98"/>
      <c r="HC356" s="98"/>
      <c r="HD356" s="98"/>
      <c r="HE356" s="98"/>
      <c r="HF356" s="98"/>
      <c r="HG356" s="98"/>
      <c r="HH356" s="98"/>
      <c r="HI356" s="98"/>
      <c r="HJ356" s="98"/>
      <c r="HK356" s="98"/>
      <c r="HL356" s="98"/>
      <c r="HM356" s="98"/>
      <c r="HN356" s="98"/>
      <c r="HO356" s="98"/>
      <c r="HP356" s="98"/>
      <c r="HQ356" s="98"/>
      <c r="HR356" s="98"/>
      <c r="HS356" s="98"/>
      <c r="HT356" s="98"/>
      <c r="HU356" s="98"/>
      <c r="HV356" s="98"/>
      <c r="HW356" s="98"/>
      <c r="HX356" s="98"/>
      <c r="HY356" s="98"/>
      <c r="HZ356" s="98"/>
      <c r="IA356" s="98"/>
      <c r="IB356" s="98"/>
      <c r="IC356" s="98"/>
      <c r="ID356" s="98"/>
      <c r="IE356" s="98"/>
      <c r="IF356" s="98"/>
      <c r="IG356" s="98"/>
      <c r="IH356" s="98"/>
      <c r="II356" s="98"/>
      <c r="IJ356" s="98"/>
      <c r="IK356" s="98"/>
      <c r="IL356" s="98"/>
      <c r="IM356" s="98"/>
      <c r="IN356" s="98"/>
      <c r="IO356" s="98"/>
      <c r="IP356" s="98"/>
      <c r="IQ356" s="98"/>
      <c r="IR356" s="98"/>
      <c r="IS356" s="98"/>
      <c r="IT356" s="98"/>
      <c r="IU356" s="98"/>
      <c r="IV356" s="98"/>
      <c r="IW356" s="98"/>
      <c r="IX356" s="98"/>
      <c r="IY356" s="98"/>
      <c r="IZ356" s="98"/>
      <c r="JA356" s="98"/>
      <c r="JB356" s="98"/>
      <c r="JC356" s="98"/>
      <c r="JD356" s="98"/>
      <c r="JE356" s="98"/>
      <c r="JF356" s="98"/>
      <c r="JG356" s="98"/>
      <c r="JH356" s="98"/>
      <c r="JI356" s="98"/>
      <c r="JJ356" s="98"/>
      <c r="JK356" s="98"/>
      <c r="JL356" s="98"/>
      <c r="JM356" s="98"/>
      <c r="JN356" s="98"/>
      <c r="JO356" s="98"/>
      <c r="JP356" s="98"/>
      <c r="JQ356" s="98"/>
      <c r="JR356" s="98"/>
      <c r="JS356" s="98"/>
      <c r="JT356" s="98"/>
      <c r="JU356" s="98"/>
      <c r="JV356" s="98"/>
      <c r="JW356" s="98"/>
      <c r="JX356" s="98"/>
      <c r="JY356" s="98"/>
      <c r="JZ356" s="98"/>
      <c r="KA356" s="98"/>
      <c r="KB356" s="98"/>
      <c r="KC356" s="98"/>
      <c r="KD356" s="98"/>
      <c r="KE356" s="98"/>
      <c r="KF356" s="98"/>
      <c r="KG356" s="98"/>
      <c r="KH356" s="98"/>
      <c r="KI356" s="98"/>
      <c r="KJ356" s="98"/>
      <c r="KK356" s="98"/>
      <c r="KL356" s="98"/>
      <c r="KM356" s="98"/>
      <c r="KN356" s="98"/>
      <c r="KO356" s="98"/>
      <c r="KP356" s="98"/>
      <c r="KQ356" s="98"/>
      <c r="KR356" s="98"/>
      <c r="KS356" s="98"/>
      <c r="KT356" s="98"/>
      <c r="KU356" s="98"/>
      <c r="KV356" s="98"/>
      <c r="KW356" s="98"/>
      <c r="KX356" s="98"/>
      <c r="KY356" s="98"/>
      <c r="KZ356" s="98"/>
      <c r="LA356" s="98"/>
      <c r="LB356" s="98"/>
      <c r="LC356" s="98"/>
      <c r="LD356" s="98"/>
      <c r="LE356" s="98"/>
      <c r="LF356" s="98"/>
      <c r="LG356" s="98"/>
      <c r="LH356" s="98"/>
      <c r="LI356" s="98"/>
      <c r="LJ356" s="98"/>
      <c r="LK356" s="98"/>
      <c r="LL356" s="98"/>
      <c r="LM356" s="98"/>
      <c r="LN356" s="98"/>
      <c r="LO356" s="98"/>
      <c r="LP356" s="98"/>
      <c r="LQ356" s="98"/>
      <c r="LR356" s="98"/>
      <c r="LS356" s="98"/>
      <c r="LT356" s="98"/>
      <c r="LU356" s="98"/>
      <c r="LV356" s="98"/>
      <c r="LW356" s="98"/>
      <c r="LX356" s="98"/>
      <c r="LY356" s="98"/>
      <c r="LZ356" s="98"/>
      <c r="MA356" s="98"/>
      <c r="MB356" s="98"/>
      <c r="MC356" s="98"/>
      <c r="MD356" s="98"/>
      <c r="ME356" s="98"/>
      <c r="MF356" s="98"/>
      <c r="MG356" s="98"/>
      <c r="MH356" s="98"/>
      <c r="MI356" s="98"/>
      <c r="MJ356" s="98"/>
      <c r="MK356" s="98"/>
      <c r="ML356" s="98"/>
      <c r="MM356" s="98"/>
      <c r="MN356" s="98"/>
      <c r="MO356" s="98"/>
      <c r="MP356" s="98"/>
      <c r="MQ356" s="98"/>
      <c r="MR356" s="98"/>
      <c r="MS356" s="98"/>
      <c r="MT356" s="98"/>
      <c r="MU356" s="98"/>
      <c r="MV356" s="98"/>
      <c r="MW356" s="98"/>
      <c r="MX356" s="98"/>
      <c r="MY356" s="98"/>
      <c r="MZ356" s="98"/>
      <c r="NA356" s="98"/>
      <c r="NB356" s="98"/>
      <c r="NC356" s="98"/>
      <c r="ND356" s="98"/>
      <c r="NE356" s="98"/>
      <c r="NF356" s="98"/>
      <c r="NG356" s="98"/>
      <c r="NH356" s="98"/>
      <c r="NI356" s="98"/>
      <c r="NJ356" s="98"/>
      <c r="NK356" s="98"/>
      <c r="NL356" s="98"/>
      <c r="NM356" s="98"/>
      <c r="NN356" s="98"/>
      <c r="NO356" s="98"/>
      <c r="NP356" s="98"/>
      <c r="NQ356" s="98"/>
      <c r="NR356" s="98"/>
      <c r="NS356" s="98"/>
      <c r="NT356" s="98"/>
      <c r="NU356" s="98"/>
      <c r="NV356" s="98"/>
      <c r="NW356" s="98"/>
      <c r="NX356" s="98"/>
      <c r="NY356" s="98"/>
      <c r="NZ356" s="98"/>
      <c r="OA356" s="98"/>
      <c r="OB356" s="98"/>
      <c r="OC356" s="98"/>
      <c r="OD356" s="98"/>
      <c r="OE356" s="98"/>
      <c r="OF356" s="98"/>
      <c r="OG356" s="98"/>
      <c r="OH356" s="98"/>
      <c r="OI356" s="98"/>
      <c r="OJ356" s="98"/>
      <c r="OK356" s="98"/>
      <c r="OL356" s="98"/>
      <c r="OM356" s="98"/>
      <c r="ON356" s="98"/>
      <c r="OO356" s="98"/>
      <c r="OP356" s="98"/>
      <c r="OQ356" s="98"/>
      <c r="OR356" s="98"/>
      <c r="OS356" s="98"/>
      <c r="OT356" s="98"/>
      <c r="OU356" s="98"/>
      <c r="OV356" s="98"/>
      <c r="OW356" s="98"/>
      <c r="OX356" s="98"/>
      <c r="OY356" s="98"/>
      <c r="OZ356" s="98"/>
      <c r="PA356" s="98"/>
      <c r="PB356" s="98"/>
      <c r="PC356" s="98"/>
      <c r="PD356" s="98"/>
      <c r="PE356" s="98"/>
      <c r="PF356" s="98"/>
      <c r="PG356" s="98"/>
      <c r="PH356" s="98"/>
      <c r="PI356" s="98"/>
      <c r="PJ356" s="98"/>
      <c r="PK356" s="98"/>
      <c r="PL356" s="98"/>
      <c r="PM356" s="98"/>
      <c r="PN356" s="98"/>
      <c r="PO356" s="98"/>
      <c r="PP356" s="98"/>
      <c r="PQ356" s="98"/>
      <c r="PR356" s="98"/>
      <c r="PS356" s="98"/>
      <c r="PT356" s="98"/>
      <c r="PU356" s="98"/>
      <c r="PV356" s="98"/>
      <c r="PW356" s="98"/>
      <c r="PX356" s="98"/>
      <c r="PY356" s="98"/>
      <c r="PZ356" s="98"/>
      <c r="QA356" s="98"/>
      <c r="QB356" s="98"/>
      <c r="QC356" s="98"/>
      <c r="QD356" s="98"/>
      <c r="QE356" s="98"/>
      <c r="QF356" s="98"/>
      <c r="QG356" s="98"/>
      <c r="QH356" s="98"/>
      <c r="QI356" s="98"/>
      <c r="QJ356" s="98"/>
      <c r="QK356" s="98"/>
      <c r="QL356" s="98"/>
      <c r="QM356" s="98"/>
      <c r="QN356" s="98"/>
      <c r="QO356" s="98"/>
      <c r="QP356" s="98"/>
      <c r="QQ356" s="98"/>
      <c r="QR356" s="98"/>
      <c r="QS356" s="98"/>
      <c r="QT356" s="98"/>
      <c r="QU356" s="98"/>
      <c r="QV356" s="98"/>
      <c r="QW356" s="98"/>
      <c r="QX356" s="98"/>
      <c r="QY356" s="98"/>
      <c r="QZ356" s="98"/>
      <c r="RA356" s="98"/>
      <c r="RB356" s="98"/>
      <c r="RC356" s="98"/>
      <c r="RD356" s="98"/>
      <c r="RE356" s="98"/>
      <c r="RF356" s="98"/>
      <c r="RG356" s="98"/>
      <c r="RH356" s="98"/>
      <c r="RI356" s="98"/>
      <c r="RJ356" s="98"/>
      <c r="RK356" s="98"/>
      <c r="RL356" s="98"/>
      <c r="RM356" s="98"/>
      <c r="RN356" s="98"/>
      <c r="RO356" s="98"/>
      <c r="RP356" s="98"/>
      <c r="RQ356" s="98"/>
      <c r="RR356" s="98"/>
      <c r="RS356" s="98"/>
      <c r="RT356" s="98"/>
      <c r="RU356" s="98"/>
      <c r="RV356" s="98"/>
      <c r="RW356" s="98"/>
      <c r="RX356" s="98"/>
      <c r="RY356" s="98"/>
      <c r="RZ356" s="98"/>
      <c r="SA356" s="98"/>
      <c r="SB356" s="98"/>
      <c r="SC356" s="98"/>
      <c r="SD356" s="98"/>
      <c r="SE356" s="98"/>
      <c r="SF356" s="98"/>
      <c r="SG356" s="98"/>
      <c r="SH356" s="98"/>
      <c r="SI356" s="98"/>
      <c r="SJ356" s="98"/>
      <c r="SK356" s="98"/>
      <c r="SL356" s="98"/>
      <c r="SM356" s="98"/>
      <c r="SN356" s="98"/>
      <c r="SO356" s="98"/>
      <c r="SP356" s="98"/>
      <c r="SQ356" s="98"/>
      <c r="SR356" s="98"/>
    </row>
    <row r="357" spans="1:512" ht="230.25" outlineLevel="4" thickBot="1" x14ac:dyDescent="0.25">
      <c r="A357" s="43" t="s">
        <v>794</v>
      </c>
      <c r="B357" s="174" t="s">
        <v>1021</v>
      </c>
      <c r="C357" s="75" t="s">
        <v>796</v>
      </c>
      <c r="D357" s="147" t="s">
        <v>670</v>
      </c>
      <c r="E357" s="48" t="s">
        <v>67</v>
      </c>
      <c r="F357" s="48" t="s">
        <v>647</v>
      </c>
      <c r="G357" s="48" t="s">
        <v>648</v>
      </c>
      <c r="H357" s="39" t="s">
        <v>439</v>
      </c>
      <c r="I357" s="69">
        <v>2</v>
      </c>
      <c r="J357" s="70" t="s">
        <v>84</v>
      </c>
      <c r="K357" s="93" t="s">
        <v>75</v>
      </c>
      <c r="L357" s="71">
        <v>1</v>
      </c>
      <c r="M357" s="89">
        <v>3</v>
      </c>
      <c r="N357" s="32" t="s">
        <v>39</v>
      </c>
      <c r="O357" s="53" t="s">
        <v>76</v>
      </c>
      <c r="P357" s="71">
        <v>5</v>
      </c>
      <c r="Q357" s="97">
        <f t="shared" si="33"/>
        <v>15</v>
      </c>
      <c r="R357" s="32"/>
      <c r="S357" s="32"/>
      <c r="T357" s="32"/>
      <c r="U357" s="95"/>
      <c r="V357" s="62"/>
      <c r="W357" s="96"/>
      <c r="X357" s="62"/>
      <c r="Y357" s="62"/>
      <c r="Z357" s="33"/>
      <c r="AA357" s="40"/>
      <c r="AB357" s="99"/>
      <c r="AC357" s="98"/>
      <c r="AD357" s="17">
        <f t="shared" si="48"/>
        <v>-1565</v>
      </c>
      <c r="AE357" s="18">
        <f t="shared" si="49"/>
        <v>1565</v>
      </c>
      <c r="AF357" s="98"/>
      <c r="AG357" s="98"/>
      <c r="AH357" s="98"/>
      <c r="AI357" s="98"/>
      <c r="AJ357" s="98"/>
      <c r="AK357" s="98"/>
      <c r="AL357" s="98"/>
      <c r="AM357" s="98"/>
      <c r="AN357" s="98"/>
      <c r="AO357" s="98"/>
      <c r="AP357" s="98"/>
      <c r="AQ357" s="98"/>
      <c r="AR357" s="98"/>
      <c r="AS357" s="98"/>
      <c r="AT357" s="98"/>
      <c r="AU357" s="98"/>
      <c r="AV357" s="98"/>
      <c r="AW357" s="98"/>
      <c r="AX357" s="98"/>
      <c r="AY357" s="98"/>
      <c r="AZ357" s="98"/>
      <c r="BA357" s="98"/>
      <c r="BB357" s="98"/>
      <c r="BC357" s="98"/>
      <c r="BD357" s="98"/>
      <c r="BE357" s="98"/>
      <c r="BF357" s="98"/>
      <c r="BG357" s="98"/>
      <c r="BH357" s="98"/>
      <c r="BI357" s="98"/>
      <c r="BJ357" s="98"/>
      <c r="BK357" s="98"/>
      <c r="BL357" s="98"/>
      <c r="BM357" s="98"/>
      <c r="BN357" s="98"/>
      <c r="BO357" s="98"/>
      <c r="BP357" s="98"/>
      <c r="BQ357" s="98"/>
      <c r="BR357" s="98"/>
      <c r="BS357" s="98"/>
      <c r="BT357" s="98"/>
      <c r="BU357" s="98"/>
      <c r="BV357" s="98"/>
      <c r="BW357" s="98"/>
      <c r="BX357" s="98"/>
      <c r="BY357" s="98"/>
      <c r="BZ357" s="98"/>
      <c r="CA357" s="98"/>
      <c r="CB357" s="98"/>
      <c r="CC357" s="98"/>
      <c r="CD357" s="98"/>
      <c r="CE357" s="98"/>
      <c r="CF357" s="98"/>
      <c r="CG357" s="98"/>
      <c r="CH357" s="98"/>
      <c r="CI357" s="98"/>
      <c r="CJ357" s="98"/>
      <c r="CK357" s="98"/>
      <c r="CL357" s="98"/>
      <c r="CM357" s="98"/>
      <c r="CN357" s="98"/>
      <c r="CO357" s="98"/>
      <c r="CP357" s="98"/>
      <c r="CQ357" s="98"/>
      <c r="CR357" s="98"/>
      <c r="CS357" s="98"/>
      <c r="CT357" s="98"/>
      <c r="CU357" s="98"/>
      <c r="CV357" s="98"/>
      <c r="CW357" s="98"/>
      <c r="CX357" s="98"/>
      <c r="CY357" s="98"/>
      <c r="CZ357" s="98"/>
      <c r="DA357" s="98"/>
      <c r="DB357" s="98"/>
      <c r="DC357" s="98"/>
      <c r="DD357" s="98"/>
      <c r="DE357" s="98"/>
      <c r="DF357" s="98"/>
      <c r="DG357" s="98"/>
      <c r="DH357" s="98"/>
      <c r="DI357" s="98"/>
      <c r="DJ357" s="98"/>
      <c r="DK357" s="98"/>
      <c r="DL357" s="98"/>
      <c r="DM357" s="98"/>
      <c r="DN357" s="98"/>
      <c r="DO357" s="98"/>
      <c r="DP357" s="98"/>
      <c r="DQ357" s="98"/>
      <c r="DR357" s="98"/>
      <c r="DS357" s="98"/>
      <c r="DT357" s="98"/>
      <c r="DU357" s="98"/>
      <c r="DV357" s="98"/>
      <c r="DW357" s="98"/>
      <c r="DX357" s="98"/>
      <c r="DY357" s="98"/>
      <c r="DZ357" s="98"/>
      <c r="EA357" s="98"/>
      <c r="EB357" s="98"/>
      <c r="EC357" s="98"/>
      <c r="ED357" s="98"/>
      <c r="EE357" s="98"/>
      <c r="EF357" s="98"/>
      <c r="EG357" s="98"/>
      <c r="EH357" s="98"/>
      <c r="EI357" s="98"/>
      <c r="EJ357" s="98"/>
      <c r="EK357" s="98"/>
      <c r="EL357" s="98"/>
      <c r="EM357" s="98"/>
      <c r="EN357" s="98"/>
      <c r="EO357" s="98"/>
      <c r="EP357" s="98"/>
      <c r="EQ357" s="98"/>
      <c r="ER357" s="98"/>
      <c r="ES357" s="98"/>
      <c r="ET357" s="98"/>
      <c r="EU357" s="98"/>
      <c r="EV357" s="98"/>
      <c r="EW357" s="98"/>
      <c r="EX357" s="98"/>
      <c r="EY357" s="98"/>
      <c r="EZ357" s="98"/>
      <c r="FA357" s="98"/>
      <c r="FB357" s="98"/>
      <c r="FC357" s="98"/>
      <c r="FD357" s="98"/>
      <c r="FE357" s="98"/>
      <c r="FF357" s="98"/>
      <c r="FG357" s="98"/>
      <c r="FH357" s="98"/>
      <c r="FI357" s="98"/>
      <c r="FJ357" s="98"/>
      <c r="FK357" s="98"/>
      <c r="FL357" s="98"/>
      <c r="FM357" s="98"/>
      <c r="FN357" s="98"/>
      <c r="FO357" s="98"/>
      <c r="FP357" s="98"/>
      <c r="FQ357" s="98"/>
      <c r="FR357" s="98"/>
      <c r="FS357" s="98"/>
      <c r="FT357" s="98"/>
      <c r="FU357" s="98"/>
      <c r="FV357" s="98"/>
      <c r="FW357" s="98"/>
      <c r="FX357" s="98"/>
      <c r="FY357" s="98"/>
      <c r="FZ357" s="98"/>
      <c r="GA357" s="98"/>
      <c r="GB357" s="98"/>
      <c r="GC357" s="98"/>
      <c r="GD357" s="98"/>
      <c r="GE357" s="98"/>
      <c r="GF357" s="98"/>
      <c r="GG357" s="98"/>
      <c r="GH357" s="98"/>
      <c r="GI357" s="98"/>
      <c r="GJ357" s="98"/>
      <c r="GK357" s="98"/>
      <c r="GL357" s="98"/>
      <c r="GM357" s="98"/>
      <c r="GN357" s="98"/>
      <c r="GO357" s="98"/>
      <c r="GP357" s="98"/>
      <c r="GQ357" s="98"/>
      <c r="GR357" s="98"/>
      <c r="GS357" s="98"/>
      <c r="GT357" s="98"/>
      <c r="GU357" s="98"/>
      <c r="GV357" s="98"/>
      <c r="GW357" s="98"/>
      <c r="GX357" s="98"/>
      <c r="GY357" s="98"/>
      <c r="GZ357" s="98"/>
      <c r="HA357" s="98"/>
      <c r="HB357" s="98"/>
      <c r="HC357" s="98"/>
      <c r="HD357" s="98"/>
      <c r="HE357" s="98"/>
      <c r="HF357" s="98"/>
      <c r="HG357" s="98"/>
      <c r="HH357" s="98"/>
      <c r="HI357" s="98"/>
      <c r="HJ357" s="98"/>
      <c r="HK357" s="98"/>
      <c r="HL357" s="98"/>
      <c r="HM357" s="98"/>
      <c r="HN357" s="98"/>
      <c r="HO357" s="98"/>
      <c r="HP357" s="98"/>
      <c r="HQ357" s="98"/>
      <c r="HR357" s="98"/>
      <c r="HS357" s="98"/>
      <c r="HT357" s="98"/>
      <c r="HU357" s="98"/>
      <c r="HV357" s="98"/>
      <c r="HW357" s="98"/>
      <c r="HX357" s="98"/>
      <c r="HY357" s="98"/>
      <c r="HZ357" s="98"/>
      <c r="IA357" s="98"/>
      <c r="IB357" s="98"/>
      <c r="IC357" s="98"/>
      <c r="ID357" s="98"/>
      <c r="IE357" s="98"/>
      <c r="IF357" s="98"/>
      <c r="IG357" s="98"/>
      <c r="IH357" s="98"/>
      <c r="II357" s="98"/>
      <c r="IJ357" s="98"/>
      <c r="IK357" s="98"/>
      <c r="IL357" s="98"/>
      <c r="IM357" s="98"/>
      <c r="IN357" s="98"/>
      <c r="IO357" s="98"/>
      <c r="IP357" s="98"/>
      <c r="IQ357" s="98"/>
      <c r="IR357" s="98"/>
      <c r="IS357" s="98"/>
      <c r="IT357" s="98"/>
      <c r="IU357" s="98"/>
      <c r="IV357" s="98"/>
      <c r="IW357" s="98"/>
      <c r="IX357" s="98"/>
      <c r="IY357" s="98"/>
      <c r="IZ357" s="98"/>
      <c r="JA357" s="98"/>
      <c r="JB357" s="98"/>
      <c r="JC357" s="98"/>
      <c r="JD357" s="98"/>
      <c r="JE357" s="98"/>
      <c r="JF357" s="98"/>
      <c r="JG357" s="98"/>
      <c r="JH357" s="98"/>
      <c r="JI357" s="98"/>
      <c r="JJ357" s="98"/>
      <c r="JK357" s="98"/>
      <c r="JL357" s="98"/>
      <c r="JM357" s="98"/>
      <c r="JN357" s="98"/>
      <c r="JO357" s="98"/>
      <c r="JP357" s="98"/>
      <c r="JQ357" s="98"/>
      <c r="JR357" s="98"/>
      <c r="JS357" s="98"/>
      <c r="JT357" s="98"/>
      <c r="JU357" s="98"/>
      <c r="JV357" s="98"/>
      <c r="JW357" s="98"/>
      <c r="JX357" s="98"/>
      <c r="JY357" s="98"/>
      <c r="JZ357" s="98"/>
      <c r="KA357" s="98"/>
      <c r="KB357" s="98"/>
      <c r="KC357" s="98"/>
      <c r="KD357" s="98"/>
      <c r="KE357" s="98"/>
      <c r="KF357" s="98"/>
      <c r="KG357" s="98"/>
      <c r="KH357" s="98"/>
      <c r="KI357" s="98"/>
      <c r="KJ357" s="98"/>
      <c r="KK357" s="98"/>
      <c r="KL357" s="98"/>
      <c r="KM357" s="98"/>
      <c r="KN357" s="98"/>
      <c r="KO357" s="98"/>
      <c r="KP357" s="98"/>
      <c r="KQ357" s="98"/>
      <c r="KR357" s="98"/>
      <c r="KS357" s="98"/>
      <c r="KT357" s="98"/>
      <c r="KU357" s="98"/>
      <c r="KV357" s="98"/>
      <c r="KW357" s="98"/>
      <c r="KX357" s="98"/>
      <c r="KY357" s="98"/>
      <c r="KZ357" s="98"/>
      <c r="LA357" s="98"/>
      <c r="LB357" s="98"/>
      <c r="LC357" s="98"/>
      <c r="LD357" s="98"/>
      <c r="LE357" s="98"/>
      <c r="LF357" s="98"/>
      <c r="LG357" s="98"/>
      <c r="LH357" s="98"/>
      <c r="LI357" s="98"/>
      <c r="LJ357" s="98"/>
      <c r="LK357" s="98"/>
      <c r="LL357" s="98"/>
      <c r="LM357" s="98"/>
      <c r="LN357" s="98"/>
      <c r="LO357" s="98"/>
      <c r="LP357" s="98"/>
      <c r="LQ357" s="98"/>
      <c r="LR357" s="98"/>
      <c r="LS357" s="98"/>
      <c r="LT357" s="98"/>
      <c r="LU357" s="98"/>
      <c r="LV357" s="98"/>
      <c r="LW357" s="98"/>
      <c r="LX357" s="98"/>
      <c r="LY357" s="98"/>
      <c r="LZ357" s="98"/>
      <c r="MA357" s="98"/>
      <c r="MB357" s="98"/>
      <c r="MC357" s="98"/>
      <c r="MD357" s="98"/>
      <c r="ME357" s="98"/>
      <c r="MF357" s="98"/>
      <c r="MG357" s="98"/>
      <c r="MH357" s="98"/>
      <c r="MI357" s="98"/>
      <c r="MJ357" s="98"/>
      <c r="MK357" s="98"/>
      <c r="ML357" s="98"/>
      <c r="MM357" s="98"/>
      <c r="MN357" s="98"/>
      <c r="MO357" s="98"/>
      <c r="MP357" s="98"/>
      <c r="MQ357" s="98"/>
      <c r="MR357" s="98"/>
      <c r="MS357" s="98"/>
      <c r="MT357" s="98"/>
      <c r="MU357" s="98"/>
      <c r="MV357" s="98"/>
      <c r="MW357" s="98"/>
      <c r="MX357" s="98"/>
      <c r="MY357" s="98"/>
      <c r="MZ357" s="98"/>
      <c r="NA357" s="98"/>
      <c r="NB357" s="98"/>
      <c r="NC357" s="98"/>
      <c r="ND357" s="98"/>
      <c r="NE357" s="98"/>
      <c r="NF357" s="98"/>
      <c r="NG357" s="98"/>
      <c r="NH357" s="98"/>
      <c r="NI357" s="98"/>
      <c r="NJ357" s="98"/>
      <c r="NK357" s="98"/>
      <c r="NL357" s="98"/>
      <c r="NM357" s="98"/>
      <c r="NN357" s="98"/>
      <c r="NO357" s="98"/>
      <c r="NP357" s="98"/>
      <c r="NQ357" s="98"/>
      <c r="NR357" s="98"/>
      <c r="NS357" s="98"/>
      <c r="NT357" s="98"/>
      <c r="NU357" s="98"/>
      <c r="NV357" s="98"/>
      <c r="NW357" s="98"/>
      <c r="NX357" s="98"/>
      <c r="NY357" s="98"/>
      <c r="NZ357" s="98"/>
      <c r="OA357" s="98"/>
      <c r="OB357" s="98"/>
      <c r="OC357" s="98"/>
      <c r="OD357" s="98"/>
      <c r="OE357" s="98"/>
      <c r="OF357" s="98"/>
      <c r="OG357" s="98"/>
      <c r="OH357" s="98"/>
      <c r="OI357" s="98"/>
      <c r="OJ357" s="98"/>
      <c r="OK357" s="98"/>
      <c r="OL357" s="98"/>
      <c r="OM357" s="98"/>
      <c r="ON357" s="98"/>
      <c r="OO357" s="98"/>
      <c r="OP357" s="98"/>
      <c r="OQ357" s="98"/>
      <c r="OR357" s="98"/>
      <c r="OS357" s="98"/>
      <c r="OT357" s="98"/>
      <c r="OU357" s="98"/>
      <c r="OV357" s="98"/>
      <c r="OW357" s="98"/>
      <c r="OX357" s="98"/>
      <c r="OY357" s="98"/>
      <c r="OZ357" s="98"/>
      <c r="PA357" s="98"/>
      <c r="PB357" s="98"/>
      <c r="PC357" s="98"/>
      <c r="PD357" s="98"/>
      <c r="PE357" s="98"/>
      <c r="PF357" s="98"/>
      <c r="PG357" s="98"/>
      <c r="PH357" s="98"/>
      <c r="PI357" s="98"/>
      <c r="PJ357" s="98"/>
      <c r="PK357" s="98"/>
      <c r="PL357" s="98"/>
      <c r="PM357" s="98"/>
      <c r="PN357" s="98"/>
      <c r="PO357" s="98"/>
      <c r="PP357" s="98"/>
      <c r="PQ357" s="98"/>
      <c r="PR357" s="98"/>
      <c r="PS357" s="98"/>
      <c r="PT357" s="98"/>
      <c r="PU357" s="98"/>
      <c r="PV357" s="98"/>
      <c r="PW357" s="98"/>
      <c r="PX357" s="98"/>
      <c r="PY357" s="98"/>
      <c r="PZ357" s="98"/>
      <c r="QA357" s="98"/>
      <c r="QB357" s="98"/>
      <c r="QC357" s="98"/>
      <c r="QD357" s="98"/>
      <c r="QE357" s="98"/>
      <c r="QF357" s="98"/>
      <c r="QG357" s="98"/>
      <c r="QH357" s="98"/>
      <c r="QI357" s="98"/>
      <c r="QJ357" s="98"/>
      <c r="QK357" s="98"/>
      <c r="QL357" s="98"/>
      <c r="QM357" s="98"/>
      <c r="QN357" s="98"/>
      <c r="QO357" s="98"/>
      <c r="QP357" s="98"/>
      <c r="QQ357" s="98"/>
      <c r="QR357" s="98"/>
      <c r="QS357" s="98"/>
      <c r="QT357" s="98"/>
      <c r="QU357" s="98"/>
      <c r="QV357" s="98"/>
      <c r="QW357" s="98"/>
      <c r="QX357" s="98"/>
      <c r="QY357" s="98"/>
      <c r="QZ357" s="98"/>
      <c r="RA357" s="98"/>
      <c r="RB357" s="98"/>
      <c r="RC357" s="98"/>
      <c r="RD357" s="98"/>
      <c r="RE357" s="98"/>
      <c r="RF357" s="98"/>
      <c r="RG357" s="98"/>
      <c r="RH357" s="98"/>
      <c r="RI357" s="98"/>
      <c r="RJ357" s="98"/>
      <c r="RK357" s="98"/>
      <c r="RL357" s="98"/>
      <c r="RM357" s="98"/>
      <c r="RN357" s="98"/>
      <c r="RO357" s="98"/>
      <c r="RP357" s="98"/>
      <c r="RQ357" s="98"/>
      <c r="RR357" s="98"/>
      <c r="RS357" s="98"/>
      <c r="RT357" s="98"/>
      <c r="RU357" s="98"/>
      <c r="RV357" s="98"/>
      <c r="RW357" s="98"/>
      <c r="RX357" s="98"/>
      <c r="RY357" s="98"/>
      <c r="RZ357" s="98"/>
      <c r="SA357" s="98"/>
      <c r="SB357" s="98"/>
      <c r="SC357" s="98"/>
      <c r="SD357" s="98"/>
      <c r="SE357" s="98"/>
      <c r="SF357" s="98"/>
      <c r="SG357" s="98"/>
      <c r="SH357" s="98"/>
      <c r="SI357" s="98"/>
      <c r="SJ357" s="98"/>
      <c r="SK357" s="98"/>
      <c r="SL357" s="98"/>
      <c r="SM357" s="98"/>
      <c r="SN357" s="98"/>
      <c r="SO357" s="98"/>
      <c r="SP357" s="98"/>
      <c r="SQ357" s="98"/>
      <c r="SR357" s="98"/>
    </row>
    <row r="358" spans="1:512" s="100" customFormat="1" ht="230.25" outlineLevel="4" thickBot="1" x14ac:dyDescent="0.25">
      <c r="A358" s="43" t="s">
        <v>797</v>
      </c>
      <c r="B358" s="175"/>
      <c r="C358" s="77"/>
      <c r="D358" s="148"/>
      <c r="E358" s="48" t="s">
        <v>71</v>
      </c>
      <c r="F358" s="48" t="s">
        <v>798</v>
      </c>
      <c r="G358" s="87" t="s">
        <v>615</v>
      </c>
      <c r="H358" s="88" t="s">
        <v>127</v>
      </c>
      <c r="I358" s="69">
        <v>3</v>
      </c>
      <c r="J358" s="70" t="s">
        <v>74</v>
      </c>
      <c r="K358" s="93" t="s">
        <v>75</v>
      </c>
      <c r="L358" s="71">
        <v>1</v>
      </c>
      <c r="M358" s="89">
        <v>3</v>
      </c>
      <c r="N358" s="32" t="s">
        <v>39</v>
      </c>
      <c r="O358" s="33" t="s">
        <v>143</v>
      </c>
      <c r="P358" s="71">
        <v>2</v>
      </c>
      <c r="Q358" s="97">
        <f t="shared" si="33"/>
        <v>6</v>
      </c>
      <c r="R358" s="32"/>
      <c r="S358" s="32"/>
      <c r="T358" s="32"/>
      <c r="U358" s="95"/>
      <c r="V358" s="62"/>
      <c r="W358" s="96"/>
      <c r="X358" s="62"/>
      <c r="Y358" s="62"/>
      <c r="Z358" s="33"/>
      <c r="AA358" s="40"/>
      <c r="AB358" s="99"/>
      <c r="AC358" s="98"/>
      <c r="AD358" s="17">
        <f t="shared" si="48"/>
        <v>-1566</v>
      </c>
      <c r="AE358" s="18">
        <f t="shared" si="49"/>
        <v>1566</v>
      </c>
      <c r="AF358" s="98"/>
      <c r="AG358" s="98"/>
      <c r="AH358" s="98"/>
      <c r="AI358" s="98"/>
      <c r="AJ358" s="98"/>
      <c r="AK358" s="98"/>
      <c r="AL358" s="98"/>
      <c r="AM358" s="98"/>
      <c r="AN358" s="98"/>
      <c r="AO358" s="98"/>
      <c r="AP358" s="98"/>
      <c r="AQ358" s="98"/>
      <c r="AR358" s="98"/>
      <c r="AS358" s="98"/>
      <c r="AT358" s="98"/>
      <c r="AU358" s="98"/>
      <c r="AV358" s="98"/>
      <c r="AW358" s="98"/>
      <c r="AX358" s="98"/>
      <c r="AY358" s="98"/>
      <c r="AZ358" s="98"/>
      <c r="BA358" s="98"/>
      <c r="BB358" s="98"/>
      <c r="BC358" s="98"/>
      <c r="BD358" s="98"/>
      <c r="BE358" s="98"/>
      <c r="BF358" s="98"/>
      <c r="BG358" s="98"/>
      <c r="BH358" s="98"/>
      <c r="BI358" s="98"/>
      <c r="BJ358" s="98"/>
      <c r="BK358" s="98"/>
      <c r="BL358" s="98"/>
      <c r="BM358" s="98"/>
      <c r="BN358" s="98"/>
      <c r="BO358" s="98"/>
      <c r="BP358" s="98"/>
      <c r="BQ358" s="98"/>
      <c r="BR358" s="98"/>
      <c r="BS358" s="98"/>
      <c r="BT358" s="98"/>
      <c r="BU358" s="98"/>
      <c r="BV358" s="98"/>
      <c r="BW358" s="98"/>
      <c r="BX358" s="98"/>
      <c r="BY358" s="98"/>
      <c r="BZ358" s="98"/>
      <c r="CA358" s="98"/>
      <c r="CB358" s="98"/>
      <c r="CC358" s="98"/>
      <c r="CD358" s="98"/>
      <c r="CE358" s="98"/>
      <c r="CF358" s="98"/>
      <c r="CG358" s="98"/>
      <c r="CH358" s="98"/>
      <c r="CI358" s="98"/>
      <c r="CJ358" s="98"/>
      <c r="CK358" s="98"/>
      <c r="CL358" s="98"/>
      <c r="CM358" s="98"/>
      <c r="CN358" s="98"/>
      <c r="CO358" s="98"/>
      <c r="CP358" s="98"/>
      <c r="CQ358" s="98"/>
      <c r="CR358" s="98"/>
      <c r="CS358" s="98"/>
      <c r="CT358" s="98"/>
      <c r="CU358" s="98"/>
      <c r="CV358" s="98"/>
      <c r="CW358" s="98"/>
      <c r="CX358" s="98"/>
      <c r="CY358" s="98"/>
      <c r="CZ358" s="98"/>
      <c r="DA358" s="98"/>
      <c r="DB358" s="98"/>
      <c r="DC358" s="98"/>
      <c r="DD358" s="98"/>
      <c r="DE358" s="98"/>
      <c r="DF358" s="98"/>
      <c r="DG358" s="98"/>
      <c r="DH358" s="98"/>
      <c r="DI358" s="98"/>
      <c r="DJ358" s="98"/>
      <c r="DK358" s="98"/>
      <c r="DL358" s="98"/>
      <c r="DM358" s="98"/>
      <c r="DN358" s="98"/>
      <c r="DO358" s="98"/>
      <c r="DP358" s="98"/>
      <c r="DQ358" s="98"/>
      <c r="DR358" s="98"/>
      <c r="DS358" s="98"/>
      <c r="DT358" s="98"/>
      <c r="DU358" s="98"/>
      <c r="DV358" s="98"/>
      <c r="DW358" s="98"/>
      <c r="DX358" s="98"/>
      <c r="DY358" s="98"/>
      <c r="DZ358" s="98"/>
      <c r="EA358" s="98"/>
      <c r="EB358" s="98"/>
      <c r="EC358" s="98"/>
      <c r="ED358" s="98"/>
      <c r="EE358" s="98"/>
      <c r="EF358" s="98"/>
      <c r="EG358" s="98"/>
      <c r="EH358" s="98"/>
      <c r="EI358" s="98"/>
      <c r="EJ358" s="98"/>
      <c r="EK358" s="98"/>
      <c r="EL358" s="98"/>
      <c r="EM358" s="98"/>
      <c r="EN358" s="98"/>
      <c r="EO358" s="98"/>
      <c r="EP358" s="98"/>
      <c r="EQ358" s="98"/>
      <c r="ER358" s="98"/>
      <c r="ES358" s="98"/>
      <c r="ET358" s="98"/>
      <c r="EU358" s="98"/>
      <c r="EV358" s="98"/>
      <c r="EW358" s="98"/>
      <c r="EX358" s="98"/>
      <c r="EY358" s="98"/>
      <c r="EZ358" s="98"/>
      <c r="FA358" s="98"/>
      <c r="FB358" s="98"/>
      <c r="FC358" s="98"/>
      <c r="FD358" s="98"/>
      <c r="FE358" s="98"/>
      <c r="FF358" s="98"/>
      <c r="FG358" s="98"/>
      <c r="FH358" s="98"/>
      <c r="FI358" s="98"/>
      <c r="FJ358" s="98"/>
      <c r="FK358" s="98"/>
      <c r="FL358" s="98"/>
      <c r="FM358" s="98"/>
      <c r="FN358" s="98"/>
      <c r="FO358" s="98"/>
      <c r="FP358" s="98"/>
      <c r="FQ358" s="98"/>
      <c r="FR358" s="98"/>
      <c r="FS358" s="98"/>
      <c r="FT358" s="98"/>
      <c r="FU358" s="98"/>
      <c r="FV358" s="98"/>
      <c r="FW358" s="98"/>
      <c r="FX358" s="98"/>
      <c r="FY358" s="98"/>
      <c r="FZ358" s="98"/>
      <c r="GA358" s="98"/>
      <c r="GB358" s="98"/>
      <c r="GC358" s="98"/>
      <c r="GD358" s="98"/>
      <c r="GE358" s="98"/>
      <c r="GF358" s="98"/>
      <c r="GG358" s="98"/>
      <c r="GH358" s="98"/>
      <c r="GI358" s="98"/>
      <c r="GJ358" s="98"/>
      <c r="GK358" s="98"/>
      <c r="GL358" s="98"/>
      <c r="GM358" s="98"/>
      <c r="GN358" s="98"/>
      <c r="GO358" s="98"/>
      <c r="GP358" s="98"/>
      <c r="GQ358" s="98"/>
      <c r="GR358" s="98"/>
      <c r="GS358" s="98"/>
      <c r="GT358" s="98"/>
      <c r="GU358" s="98"/>
      <c r="GV358" s="98"/>
      <c r="GW358" s="98"/>
      <c r="GX358" s="98"/>
      <c r="GY358" s="98"/>
      <c r="GZ358" s="98"/>
      <c r="HA358" s="98"/>
      <c r="HB358" s="98"/>
      <c r="HC358" s="98"/>
      <c r="HD358" s="98"/>
      <c r="HE358" s="98"/>
      <c r="HF358" s="98"/>
      <c r="HG358" s="98"/>
      <c r="HH358" s="98"/>
      <c r="HI358" s="98"/>
      <c r="HJ358" s="98"/>
      <c r="HK358" s="98"/>
      <c r="HL358" s="98"/>
      <c r="HM358" s="98"/>
      <c r="HN358" s="98"/>
      <c r="HO358" s="98"/>
      <c r="HP358" s="98"/>
      <c r="HQ358" s="98"/>
      <c r="HR358" s="98"/>
      <c r="HS358" s="98"/>
      <c r="HT358" s="98"/>
      <c r="HU358" s="98"/>
      <c r="HV358" s="98"/>
      <c r="HW358" s="98"/>
      <c r="HX358" s="98"/>
      <c r="HY358" s="98"/>
      <c r="HZ358" s="98"/>
      <c r="IA358" s="98"/>
      <c r="IB358" s="98"/>
      <c r="IC358" s="98"/>
      <c r="ID358" s="98"/>
      <c r="IE358" s="98"/>
      <c r="IF358" s="98"/>
      <c r="IG358" s="98"/>
      <c r="IH358" s="98"/>
      <c r="II358" s="98"/>
      <c r="IJ358" s="98"/>
      <c r="IK358" s="98"/>
      <c r="IL358" s="98"/>
      <c r="IM358" s="98"/>
      <c r="IN358" s="98"/>
      <c r="IO358" s="98"/>
      <c r="IP358" s="98"/>
      <c r="IQ358" s="98"/>
      <c r="IR358" s="98"/>
      <c r="IS358" s="98"/>
      <c r="IT358" s="98"/>
      <c r="IU358" s="98"/>
      <c r="IV358" s="98"/>
      <c r="IW358" s="98"/>
      <c r="IX358" s="98"/>
      <c r="IY358" s="98"/>
      <c r="IZ358" s="98"/>
      <c r="JA358" s="98"/>
      <c r="JB358" s="98"/>
      <c r="JC358" s="98"/>
      <c r="JD358" s="98"/>
      <c r="JE358" s="98"/>
      <c r="JF358" s="98"/>
      <c r="JG358" s="98"/>
      <c r="JH358" s="98"/>
      <c r="JI358" s="98"/>
      <c r="JJ358" s="98"/>
      <c r="JK358" s="98"/>
      <c r="JL358" s="98"/>
      <c r="JM358" s="98"/>
      <c r="JN358" s="98"/>
      <c r="JO358" s="98"/>
      <c r="JP358" s="98"/>
      <c r="JQ358" s="98"/>
      <c r="JR358" s="98"/>
      <c r="JS358" s="98"/>
      <c r="JT358" s="98"/>
      <c r="JU358" s="98"/>
      <c r="JV358" s="98"/>
      <c r="JW358" s="98"/>
      <c r="JX358" s="98"/>
      <c r="JY358" s="98"/>
      <c r="JZ358" s="98"/>
      <c r="KA358" s="98"/>
      <c r="KB358" s="98"/>
      <c r="KC358" s="98"/>
      <c r="KD358" s="98"/>
      <c r="KE358" s="98"/>
      <c r="KF358" s="98"/>
      <c r="KG358" s="98"/>
      <c r="KH358" s="98"/>
      <c r="KI358" s="98"/>
      <c r="KJ358" s="98"/>
      <c r="KK358" s="98"/>
      <c r="KL358" s="98"/>
      <c r="KM358" s="98"/>
      <c r="KN358" s="98"/>
      <c r="KO358" s="98"/>
      <c r="KP358" s="98"/>
      <c r="KQ358" s="98"/>
      <c r="KR358" s="98"/>
      <c r="KS358" s="98"/>
      <c r="KT358" s="98"/>
      <c r="KU358" s="98"/>
      <c r="KV358" s="98"/>
      <c r="KW358" s="98"/>
      <c r="KX358" s="98"/>
      <c r="KY358" s="98"/>
      <c r="KZ358" s="98"/>
      <c r="LA358" s="98"/>
      <c r="LB358" s="98"/>
      <c r="LC358" s="98"/>
      <c r="LD358" s="98"/>
      <c r="LE358" s="98"/>
      <c r="LF358" s="98"/>
      <c r="LG358" s="98"/>
      <c r="LH358" s="98"/>
      <c r="LI358" s="98"/>
      <c r="LJ358" s="98"/>
      <c r="LK358" s="98"/>
      <c r="LL358" s="98"/>
      <c r="LM358" s="98"/>
      <c r="LN358" s="98"/>
      <c r="LO358" s="98"/>
      <c r="LP358" s="98"/>
      <c r="LQ358" s="98"/>
      <c r="LR358" s="98"/>
      <c r="LS358" s="98"/>
      <c r="LT358" s="98"/>
      <c r="LU358" s="98"/>
      <c r="LV358" s="98"/>
      <c r="LW358" s="98"/>
      <c r="LX358" s="98"/>
      <c r="LY358" s="98"/>
      <c r="LZ358" s="98"/>
      <c r="MA358" s="98"/>
      <c r="MB358" s="98"/>
      <c r="MC358" s="98"/>
      <c r="MD358" s="98"/>
      <c r="ME358" s="98"/>
      <c r="MF358" s="98"/>
      <c r="MG358" s="98"/>
      <c r="MH358" s="98"/>
      <c r="MI358" s="98"/>
      <c r="MJ358" s="98"/>
      <c r="MK358" s="98"/>
      <c r="ML358" s="98"/>
      <c r="MM358" s="98"/>
      <c r="MN358" s="98"/>
      <c r="MO358" s="98"/>
      <c r="MP358" s="98"/>
      <c r="MQ358" s="98"/>
      <c r="MR358" s="98"/>
      <c r="MS358" s="98"/>
      <c r="MT358" s="98"/>
      <c r="MU358" s="98"/>
      <c r="MV358" s="98"/>
      <c r="MW358" s="98"/>
      <c r="MX358" s="98"/>
      <c r="MY358" s="98"/>
      <c r="MZ358" s="98"/>
      <c r="NA358" s="98"/>
      <c r="NB358" s="98"/>
      <c r="NC358" s="98"/>
      <c r="ND358" s="98"/>
      <c r="NE358" s="98"/>
      <c r="NF358" s="98"/>
      <c r="NG358" s="98"/>
      <c r="NH358" s="98"/>
      <c r="NI358" s="98"/>
      <c r="NJ358" s="98"/>
      <c r="NK358" s="98"/>
      <c r="NL358" s="98"/>
      <c r="NM358" s="98"/>
      <c r="NN358" s="98"/>
      <c r="NO358" s="98"/>
      <c r="NP358" s="98"/>
      <c r="NQ358" s="98"/>
      <c r="NR358" s="98"/>
      <c r="NS358" s="98"/>
      <c r="NT358" s="98"/>
      <c r="NU358" s="98"/>
      <c r="NV358" s="98"/>
      <c r="NW358" s="98"/>
      <c r="NX358" s="98"/>
      <c r="NY358" s="98"/>
      <c r="NZ358" s="98"/>
      <c r="OA358" s="98"/>
      <c r="OB358" s="98"/>
      <c r="OC358" s="98"/>
      <c r="OD358" s="98"/>
      <c r="OE358" s="98"/>
      <c r="OF358" s="98"/>
      <c r="OG358" s="98"/>
      <c r="OH358" s="98"/>
      <c r="OI358" s="98"/>
      <c r="OJ358" s="98"/>
      <c r="OK358" s="98"/>
      <c r="OL358" s="98"/>
      <c r="OM358" s="98"/>
      <c r="ON358" s="98"/>
      <c r="OO358" s="98"/>
      <c r="OP358" s="98"/>
      <c r="OQ358" s="98"/>
      <c r="OR358" s="98"/>
      <c r="OS358" s="98"/>
      <c r="OT358" s="98"/>
      <c r="OU358" s="98"/>
      <c r="OV358" s="98"/>
      <c r="OW358" s="98"/>
      <c r="OX358" s="98"/>
      <c r="OY358" s="98"/>
      <c r="OZ358" s="98"/>
      <c r="PA358" s="98"/>
      <c r="PB358" s="98"/>
      <c r="PC358" s="98"/>
      <c r="PD358" s="98"/>
      <c r="PE358" s="98"/>
      <c r="PF358" s="98"/>
      <c r="PG358" s="98"/>
      <c r="PH358" s="98"/>
      <c r="PI358" s="98"/>
      <c r="PJ358" s="98"/>
      <c r="PK358" s="98"/>
      <c r="PL358" s="98"/>
      <c r="PM358" s="98"/>
      <c r="PN358" s="98"/>
      <c r="PO358" s="98"/>
      <c r="PP358" s="98"/>
      <c r="PQ358" s="98"/>
      <c r="PR358" s="98"/>
      <c r="PS358" s="98"/>
      <c r="PT358" s="98"/>
      <c r="PU358" s="98"/>
      <c r="PV358" s="98"/>
      <c r="PW358" s="98"/>
      <c r="PX358" s="98"/>
      <c r="PY358" s="98"/>
      <c r="PZ358" s="98"/>
      <c r="QA358" s="98"/>
      <c r="QB358" s="98"/>
      <c r="QC358" s="98"/>
      <c r="QD358" s="98"/>
      <c r="QE358" s="98"/>
      <c r="QF358" s="98"/>
      <c r="QG358" s="98"/>
      <c r="QH358" s="98"/>
      <c r="QI358" s="98"/>
      <c r="QJ358" s="98"/>
      <c r="QK358" s="98"/>
      <c r="QL358" s="98"/>
      <c r="QM358" s="98"/>
      <c r="QN358" s="98"/>
      <c r="QO358" s="98"/>
      <c r="QP358" s="98"/>
      <c r="QQ358" s="98"/>
      <c r="QR358" s="98"/>
      <c r="QS358" s="98"/>
      <c r="QT358" s="98"/>
      <c r="QU358" s="98"/>
      <c r="QV358" s="98"/>
      <c r="QW358" s="98"/>
      <c r="QX358" s="98"/>
      <c r="QY358" s="98"/>
      <c r="QZ358" s="98"/>
      <c r="RA358" s="98"/>
      <c r="RB358" s="98"/>
      <c r="RC358" s="98"/>
      <c r="RD358" s="98"/>
      <c r="RE358" s="98"/>
      <c r="RF358" s="98"/>
      <c r="RG358" s="98"/>
      <c r="RH358" s="98"/>
      <c r="RI358" s="98"/>
      <c r="RJ358" s="98"/>
      <c r="RK358" s="98"/>
      <c r="RL358" s="98"/>
      <c r="RM358" s="98"/>
      <c r="RN358" s="98"/>
      <c r="RO358" s="98"/>
      <c r="RP358" s="98"/>
      <c r="RQ358" s="98"/>
      <c r="RR358" s="98"/>
      <c r="RS358" s="98"/>
      <c r="RT358" s="98"/>
      <c r="RU358" s="98"/>
      <c r="RV358" s="98"/>
      <c r="RW358" s="98"/>
      <c r="RX358" s="98"/>
      <c r="RY358" s="98"/>
      <c r="RZ358" s="98"/>
      <c r="SA358" s="98"/>
      <c r="SB358" s="98"/>
      <c r="SC358" s="98"/>
      <c r="SD358" s="98"/>
      <c r="SE358" s="98"/>
      <c r="SF358" s="98"/>
      <c r="SG358" s="98"/>
      <c r="SH358" s="98"/>
      <c r="SI358" s="98"/>
      <c r="SJ358" s="98"/>
      <c r="SK358" s="98"/>
      <c r="SL358" s="98"/>
      <c r="SM358" s="98"/>
      <c r="SN358" s="98"/>
      <c r="SO358" s="98"/>
      <c r="SP358" s="98"/>
      <c r="SQ358" s="98"/>
      <c r="SR358" s="98"/>
    </row>
    <row r="359" spans="1:512" ht="230.25" outlineLevel="4" thickBot="1" x14ac:dyDescent="0.25">
      <c r="A359" s="43" t="s">
        <v>799</v>
      </c>
      <c r="B359" s="174" t="s">
        <v>1022</v>
      </c>
      <c r="C359" s="75" t="s">
        <v>801</v>
      </c>
      <c r="D359" s="147" t="s">
        <v>664</v>
      </c>
      <c r="E359" s="48" t="s">
        <v>256</v>
      </c>
      <c r="F359" s="48" t="s">
        <v>355</v>
      </c>
      <c r="G359" s="48" t="s">
        <v>438</v>
      </c>
      <c r="H359" s="39" t="s">
        <v>439</v>
      </c>
      <c r="I359" s="69">
        <v>1</v>
      </c>
      <c r="J359" s="70" t="s">
        <v>84</v>
      </c>
      <c r="K359" s="93" t="s">
        <v>75</v>
      </c>
      <c r="L359" s="71">
        <v>1</v>
      </c>
      <c r="M359" s="89">
        <v>2</v>
      </c>
      <c r="N359" s="32" t="s">
        <v>39</v>
      </c>
      <c r="O359" s="53" t="s">
        <v>76</v>
      </c>
      <c r="P359" s="71">
        <v>5</v>
      </c>
      <c r="Q359" s="97">
        <f t="shared" si="33"/>
        <v>10</v>
      </c>
      <c r="R359" s="32"/>
      <c r="S359" s="32"/>
      <c r="T359" s="32"/>
      <c r="U359" s="95"/>
      <c r="V359" s="62"/>
      <c r="W359" s="96"/>
      <c r="X359" s="62"/>
      <c r="Y359" s="62"/>
      <c r="Z359" s="33"/>
      <c r="AA359" s="40"/>
      <c r="AB359" s="99"/>
      <c r="AC359" s="98"/>
      <c r="AD359" s="17">
        <f t="shared" si="48"/>
        <v>-1567</v>
      </c>
      <c r="AE359" s="18">
        <f t="shared" si="49"/>
        <v>1567</v>
      </c>
      <c r="AF359" s="98"/>
      <c r="AG359" s="98"/>
      <c r="AH359" s="98"/>
      <c r="AI359" s="98"/>
      <c r="AJ359" s="98"/>
      <c r="AK359" s="98"/>
      <c r="AL359" s="98"/>
      <c r="AM359" s="98"/>
      <c r="AN359" s="98"/>
      <c r="AO359" s="98"/>
      <c r="AP359" s="98"/>
      <c r="AQ359" s="98"/>
      <c r="AR359" s="98"/>
      <c r="AS359" s="98"/>
      <c r="AT359" s="98"/>
      <c r="AU359" s="98"/>
      <c r="AV359" s="98"/>
      <c r="AW359" s="98"/>
      <c r="AX359" s="98"/>
      <c r="AY359" s="98"/>
      <c r="AZ359" s="98"/>
      <c r="BA359" s="98"/>
      <c r="BB359" s="98"/>
      <c r="BC359" s="98"/>
      <c r="BD359" s="98"/>
      <c r="BE359" s="98"/>
      <c r="BF359" s="98"/>
      <c r="BG359" s="98"/>
      <c r="BH359" s="98"/>
      <c r="BI359" s="98"/>
      <c r="BJ359" s="98"/>
      <c r="BK359" s="98"/>
      <c r="BL359" s="98"/>
      <c r="BM359" s="98"/>
      <c r="BN359" s="98"/>
      <c r="BO359" s="98"/>
      <c r="BP359" s="98"/>
      <c r="BQ359" s="98"/>
      <c r="BR359" s="98"/>
      <c r="BS359" s="98"/>
      <c r="BT359" s="98"/>
      <c r="BU359" s="98"/>
      <c r="BV359" s="98"/>
      <c r="BW359" s="98"/>
      <c r="BX359" s="98"/>
      <c r="BY359" s="98"/>
      <c r="BZ359" s="98"/>
      <c r="CA359" s="98"/>
      <c r="CB359" s="98"/>
      <c r="CC359" s="98"/>
      <c r="CD359" s="98"/>
      <c r="CE359" s="98"/>
      <c r="CF359" s="98"/>
      <c r="CG359" s="98"/>
      <c r="CH359" s="98"/>
      <c r="CI359" s="98"/>
      <c r="CJ359" s="98"/>
      <c r="CK359" s="98"/>
      <c r="CL359" s="98"/>
      <c r="CM359" s="98"/>
      <c r="CN359" s="98"/>
      <c r="CO359" s="98"/>
      <c r="CP359" s="98"/>
      <c r="CQ359" s="98"/>
      <c r="CR359" s="98"/>
      <c r="CS359" s="98"/>
      <c r="CT359" s="98"/>
      <c r="CU359" s="98"/>
      <c r="CV359" s="98"/>
      <c r="CW359" s="98"/>
      <c r="CX359" s="98"/>
      <c r="CY359" s="98"/>
      <c r="CZ359" s="98"/>
      <c r="DA359" s="98"/>
      <c r="DB359" s="98"/>
      <c r="DC359" s="98"/>
      <c r="DD359" s="98"/>
      <c r="DE359" s="98"/>
      <c r="DF359" s="98"/>
      <c r="DG359" s="98"/>
      <c r="DH359" s="98"/>
      <c r="DI359" s="98"/>
      <c r="DJ359" s="98"/>
      <c r="DK359" s="98"/>
      <c r="DL359" s="98"/>
      <c r="DM359" s="98"/>
      <c r="DN359" s="98"/>
      <c r="DO359" s="98"/>
      <c r="DP359" s="98"/>
      <c r="DQ359" s="98"/>
      <c r="DR359" s="98"/>
      <c r="DS359" s="98"/>
      <c r="DT359" s="98"/>
      <c r="DU359" s="98"/>
      <c r="DV359" s="98"/>
      <c r="DW359" s="98"/>
      <c r="DX359" s="98"/>
      <c r="DY359" s="98"/>
      <c r="DZ359" s="98"/>
      <c r="EA359" s="98"/>
      <c r="EB359" s="98"/>
      <c r="EC359" s="98"/>
      <c r="ED359" s="98"/>
      <c r="EE359" s="98"/>
      <c r="EF359" s="98"/>
      <c r="EG359" s="98"/>
      <c r="EH359" s="98"/>
      <c r="EI359" s="98"/>
      <c r="EJ359" s="98"/>
      <c r="EK359" s="98"/>
      <c r="EL359" s="98"/>
      <c r="EM359" s="98"/>
      <c r="EN359" s="98"/>
      <c r="EO359" s="98"/>
      <c r="EP359" s="98"/>
      <c r="EQ359" s="98"/>
      <c r="ER359" s="98"/>
      <c r="ES359" s="98"/>
      <c r="ET359" s="98"/>
      <c r="EU359" s="98"/>
      <c r="EV359" s="98"/>
      <c r="EW359" s="98"/>
      <c r="EX359" s="98"/>
      <c r="EY359" s="98"/>
      <c r="EZ359" s="98"/>
      <c r="FA359" s="98"/>
      <c r="FB359" s="98"/>
      <c r="FC359" s="98"/>
      <c r="FD359" s="98"/>
      <c r="FE359" s="98"/>
      <c r="FF359" s="98"/>
      <c r="FG359" s="98"/>
      <c r="FH359" s="98"/>
      <c r="FI359" s="98"/>
      <c r="FJ359" s="98"/>
      <c r="FK359" s="98"/>
      <c r="FL359" s="98"/>
      <c r="FM359" s="98"/>
      <c r="FN359" s="98"/>
      <c r="FO359" s="98"/>
      <c r="FP359" s="98"/>
      <c r="FQ359" s="98"/>
      <c r="FR359" s="98"/>
      <c r="FS359" s="98"/>
      <c r="FT359" s="98"/>
      <c r="FU359" s="98"/>
      <c r="FV359" s="98"/>
      <c r="FW359" s="98"/>
      <c r="FX359" s="98"/>
      <c r="FY359" s="98"/>
      <c r="FZ359" s="98"/>
      <c r="GA359" s="98"/>
      <c r="GB359" s="98"/>
      <c r="GC359" s="98"/>
      <c r="GD359" s="98"/>
      <c r="GE359" s="98"/>
      <c r="GF359" s="98"/>
      <c r="GG359" s="98"/>
      <c r="GH359" s="98"/>
      <c r="GI359" s="98"/>
      <c r="GJ359" s="98"/>
      <c r="GK359" s="98"/>
      <c r="GL359" s="98"/>
      <c r="GM359" s="98"/>
      <c r="GN359" s="98"/>
      <c r="GO359" s="98"/>
      <c r="GP359" s="98"/>
      <c r="GQ359" s="98"/>
      <c r="GR359" s="98"/>
      <c r="GS359" s="98"/>
      <c r="GT359" s="98"/>
      <c r="GU359" s="98"/>
      <c r="GV359" s="98"/>
      <c r="GW359" s="98"/>
      <c r="GX359" s="98"/>
      <c r="GY359" s="98"/>
      <c r="GZ359" s="98"/>
      <c r="HA359" s="98"/>
      <c r="HB359" s="98"/>
      <c r="HC359" s="98"/>
      <c r="HD359" s="98"/>
      <c r="HE359" s="98"/>
      <c r="HF359" s="98"/>
      <c r="HG359" s="98"/>
      <c r="HH359" s="98"/>
      <c r="HI359" s="98"/>
      <c r="HJ359" s="98"/>
      <c r="HK359" s="98"/>
      <c r="HL359" s="98"/>
      <c r="HM359" s="98"/>
      <c r="HN359" s="98"/>
      <c r="HO359" s="98"/>
      <c r="HP359" s="98"/>
      <c r="HQ359" s="98"/>
      <c r="HR359" s="98"/>
      <c r="HS359" s="98"/>
      <c r="HT359" s="98"/>
      <c r="HU359" s="98"/>
      <c r="HV359" s="98"/>
      <c r="HW359" s="98"/>
      <c r="HX359" s="98"/>
      <c r="HY359" s="98"/>
      <c r="HZ359" s="98"/>
      <c r="IA359" s="98"/>
      <c r="IB359" s="98"/>
      <c r="IC359" s="98"/>
      <c r="ID359" s="98"/>
      <c r="IE359" s="98"/>
      <c r="IF359" s="98"/>
      <c r="IG359" s="98"/>
      <c r="IH359" s="98"/>
      <c r="II359" s="98"/>
      <c r="IJ359" s="98"/>
      <c r="IK359" s="98"/>
      <c r="IL359" s="98"/>
      <c r="IM359" s="98"/>
      <c r="IN359" s="98"/>
      <c r="IO359" s="98"/>
      <c r="IP359" s="98"/>
      <c r="IQ359" s="98"/>
      <c r="IR359" s="98"/>
      <c r="IS359" s="98"/>
      <c r="IT359" s="98"/>
      <c r="IU359" s="98"/>
      <c r="IV359" s="98"/>
      <c r="IW359" s="98"/>
      <c r="IX359" s="98"/>
      <c r="IY359" s="98"/>
      <c r="IZ359" s="98"/>
      <c r="JA359" s="98"/>
      <c r="JB359" s="98"/>
      <c r="JC359" s="98"/>
      <c r="JD359" s="98"/>
      <c r="JE359" s="98"/>
      <c r="JF359" s="98"/>
      <c r="JG359" s="98"/>
      <c r="JH359" s="98"/>
      <c r="JI359" s="98"/>
      <c r="JJ359" s="98"/>
      <c r="JK359" s="98"/>
      <c r="JL359" s="98"/>
      <c r="JM359" s="98"/>
      <c r="JN359" s="98"/>
      <c r="JO359" s="98"/>
      <c r="JP359" s="98"/>
      <c r="JQ359" s="98"/>
      <c r="JR359" s="98"/>
      <c r="JS359" s="98"/>
      <c r="JT359" s="98"/>
      <c r="JU359" s="98"/>
      <c r="JV359" s="98"/>
      <c r="JW359" s="98"/>
      <c r="JX359" s="98"/>
      <c r="JY359" s="98"/>
      <c r="JZ359" s="98"/>
      <c r="KA359" s="98"/>
      <c r="KB359" s="98"/>
      <c r="KC359" s="98"/>
      <c r="KD359" s="98"/>
      <c r="KE359" s="98"/>
      <c r="KF359" s="98"/>
      <c r="KG359" s="98"/>
      <c r="KH359" s="98"/>
      <c r="KI359" s="98"/>
      <c r="KJ359" s="98"/>
      <c r="KK359" s="98"/>
      <c r="KL359" s="98"/>
      <c r="KM359" s="98"/>
      <c r="KN359" s="98"/>
      <c r="KO359" s="98"/>
      <c r="KP359" s="98"/>
      <c r="KQ359" s="98"/>
      <c r="KR359" s="98"/>
      <c r="KS359" s="98"/>
      <c r="KT359" s="98"/>
      <c r="KU359" s="98"/>
      <c r="KV359" s="98"/>
      <c r="KW359" s="98"/>
      <c r="KX359" s="98"/>
      <c r="KY359" s="98"/>
      <c r="KZ359" s="98"/>
      <c r="LA359" s="98"/>
      <c r="LB359" s="98"/>
      <c r="LC359" s="98"/>
      <c r="LD359" s="98"/>
      <c r="LE359" s="98"/>
      <c r="LF359" s="98"/>
      <c r="LG359" s="98"/>
      <c r="LH359" s="98"/>
      <c r="LI359" s="98"/>
      <c r="LJ359" s="98"/>
      <c r="LK359" s="98"/>
      <c r="LL359" s="98"/>
      <c r="LM359" s="98"/>
      <c r="LN359" s="98"/>
      <c r="LO359" s="98"/>
      <c r="LP359" s="98"/>
      <c r="LQ359" s="98"/>
      <c r="LR359" s="98"/>
      <c r="LS359" s="98"/>
      <c r="LT359" s="98"/>
      <c r="LU359" s="98"/>
      <c r="LV359" s="98"/>
      <c r="LW359" s="98"/>
      <c r="LX359" s="98"/>
      <c r="LY359" s="98"/>
      <c r="LZ359" s="98"/>
      <c r="MA359" s="98"/>
      <c r="MB359" s="98"/>
      <c r="MC359" s="98"/>
      <c r="MD359" s="98"/>
      <c r="ME359" s="98"/>
      <c r="MF359" s="98"/>
      <c r="MG359" s="98"/>
      <c r="MH359" s="98"/>
      <c r="MI359" s="98"/>
      <c r="MJ359" s="98"/>
      <c r="MK359" s="98"/>
      <c r="ML359" s="98"/>
      <c r="MM359" s="98"/>
      <c r="MN359" s="98"/>
      <c r="MO359" s="98"/>
      <c r="MP359" s="98"/>
      <c r="MQ359" s="98"/>
      <c r="MR359" s="98"/>
      <c r="MS359" s="98"/>
      <c r="MT359" s="98"/>
      <c r="MU359" s="98"/>
      <c r="MV359" s="98"/>
      <c r="MW359" s="98"/>
      <c r="MX359" s="98"/>
      <c r="MY359" s="98"/>
      <c r="MZ359" s="98"/>
      <c r="NA359" s="98"/>
      <c r="NB359" s="98"/>
      <c r="NC359" s="98"/>
      <c r="ND359" s="98"/>
      <c r="NE359" s="98"/>
      <c r="NF359" s="98"/>
      <c r="NG359" s="98"/>
      <c r="NH359" s="98"/>
      <c r="NI359" s="98"/>
      <c r="NJ359" s="98"/>
      <c r="NK359" s="98"/>
      <c r="NL359" s="98"/>
      <c r="NM359" s="98"/>
      <c r="NN359" s="98"/>
      <c r="NO359" s="98"/>
      <c r="NP359" s="98"/>
      <c r="NQ359" s="98"/>
      <c r="NR359" s="98"/>
      <c r="NS359" s="98"/>
      <c r="NT359" s="98"/>
      <c r="NU359" s="98"/>
      <c r="NV359" s="98"/>
      <c r="NW359" s="98"/>
      <c r="NX359" s="98"/>
      <c r="NY359" s="98"/>
      <c r="NZ359" s="98"/>
      <c r="OA359" s="98"/>
      <c r="OB359" s="98"/>
      <c r="OC359" s="98"/>
      <c r="OD359" s="98"/>
      <c r="OE359" s="98"/>
      <c r="OF359" s="98"/>
      <c r="OG359" s="98"/>
      <c r="OH359" s="98"/>
      <c r="OI359" s="98"/>
      <c r="OJ359" s="98"/>
      <c r="OK359" s="98"/>
      <c r="OL359" s="98"/>
      <c r="OM359" s="98"/>
      <c r="ON359" s="98"/>
      <c r="OO359" s="98"/>
      <c r="OP359" s="98"/>
      <c r="OQ359" s="98"/>
      <c r="OR359" s="98"/>
      <c r="OS359" s="98"/>
      <c r="OT359" s="98"/>
      <c r="OU359" s="98"/>
      <c r="OV359" s="98"/>
      <c r="OW359" s="98"/>
      <c r="OX359" s="98"/>
      <c r="OY359" s="98"/>
      <c r="OZ359" s="98"/>
      <c r="PA359" s="98"/>
      <c r="PB359" s="98"/>
      <c r="PC359" s="98"/>
      <c r="PD359" s="98"/>
      <c r="PE359" s="98"/>
      <c r="PF359" s="98"/>
      <c r="PG359" s="98"/>
      <c r="PH359" s="98"/>
      <c r="PI359" s="98"/>
      <c r="PJ359" s="98"/>
      <c r="PK359" s="98"/>
      <c r="PL359" s="98"/>
      <c r="PM359" s="98"/>
      <c r="PN359" s="98"/>
      <c r="PO359" s="98"/>
      <c r="PP359" s="98"/>
      <c r="PQ359" s="98"/>
      <c r="PR359" s="98"/>
      <c r="PS359" s="98"/>
      <c r="PT359" s="98"/>
      <c r="PU359" s="98"/>
      <c r="PV359" s="98"/>
      <c r="PW359" s="98"/>
      <c r="PX359" s="98"/>
      <c r="PY359" s="98"/>
      <c r="PZ359" s="98"/>
      <c r="QA359" s="98"/>
      <c r="QB359" s="98"/>
      <c r="QC359" s="98"/>
      <c r="QD359" s="98"/>
      <c r="QE359" s="98"/>
      <c r="QF359" s="98"/>
      <c r="QG359" s="98"/>
      <c r="QH359" s="98"/>
      <c r="QI359" s="98"/>
      <c r="QJ359" s="98"/>
      <c r="QK359" s="98"/>
      <c r="QL359" s="98"/>
      <c r="QM359" s="98"/>
      <c r="QN359" s="98"/>
      <c r="QO359" s="98"/>
      <c r="QP359" s="98"/>
      <c r="QQ359" s="98"/>
      <c r="QR359" s="98"/>
      <c r="QS359" s="98"/>
      <c r="QT359" s="98"/>
      <c r="QU359" s="98"/>
      <c r="QV359" s="98"/>
      <c r="QW359" s="98"/>
      <c r="QX359" s="98"/>
      <c r="QY359" s="98"/>
      <c r="QZ359" s="98"/>
      <c r="RA359" s="98"/>
      <c r="RB359" s="98"/>
      <c r="RC359" s="98"/>
      <c r="RD359" s="98"/>
      <c r="RE359" s="98"/>
      <c r="RF359" s="98"/>
      <c r="RG359" s="98"/>
      <c r="RH359" s="98"/>
      <c r="RI359" s="98"/>
      <c r="RJ359" s="98"/>
      <c r="RK359" s="98"/>
      <c r="RL359" s="98"/>
      <c r="RM359" s="98"/>
      <c r="RN359" s="98"/>
      <c r="RO359" s="98"/>
      <c r="RP359" s="98"/>
      <c r="RQ359" s="98"/>
      <c r="RR359" s="98"/>
      <c r="RS359" s="98"/>
      <c r="RT359" s="98"/>
      <c r="RU359" s="98"/>
      <c r="RV359" s="98"/>
      <c r="RW359" s="98"/>
      <c r="RX359" s="98"/>
      <c r="RY359" s="98"/>
      <c r="RZ359" s="98"/>
      <c r="SA359" s="98"/>
      <c r="SB359" s="98"/>
      <c r="SC359" s="98"/>
      <c r="SD359" s="98"/>
      <c r="SE359" s="98"/>
      <c r="SF359" s="98"/>
      <c r="SG359" s="98"/>
      <c r="SH359" s="98"/>
      <c r="SI359" s="98"/>
      <c r="SJ359" s="98"/>
      <c r="SK359" s="98"/>
      <c r="SL359" s="98"/>
      <c r="SM359" s="98"/>
      <c r="SN359" s="98"/>
      <c r="SO359" s="98"/>
      <c r="SP359" s="98"/>
      <c r="SQ359" s="98"/>
      <c r="SR359" s="98"/>
    </row>
    <row r="360" spans="1:512" ht="230.25" outlineLevel="4" thickBot="1" x14ac:dyDescent="0.25">
      <c r="A360" s="43" t="s">
        <v>802</v>
      </c>
      <c r="B360" s="175"/>
      <c r="C360" s="77"/>
      <c r="D360" s="148"/>
      <c r="E360" s="48" t="s">
        <v>71</v>
      </c>
      <c r="F360" s="48" t="s">
        <v>803</v>
      </c>
      <c r="G360" s="87" t="s">
        <v>615</v>
      </c>
      <c r="H360" s="88" t="s">
        <v>127</v>
      </c>
      <c r="I360" s="69">
        <v>2</v>
      </c>
      <c r="J360" s="70" t="s">
        <v>74</v>
      </c>
      <c r="K360" s="93" t="s">
        <v>804</v>
      </c>
      <c r="L360" s="71">
        <v>1</v>
      </c>
      <c r="M360" s="89">
        <v>2</v>
      </c>
      <c r="N360" s="32" t="s">
        <v>39</v>
      </c>
      <c r="O360" s="60" t="s">
        <v>143</v>
      </c>
      <c r="P360" s="71">
        <v>2</v>
      </c>
      <c r="Q360" s="97">
        <f t="shared" si="33"/>
        <v>4</v>
      </c>
      <c r="R360" s="72"/>
      <c r="S360" s="72"/>
      <c r="T360" s="72"/>
      <c r="U360" s="50"/>
      <c r="V360" s="51"/>
      <c r="W360" s="52"/>
      <c r="X360" s="51"/>
      <c r="Y360" s="51"/>
      <c r="Z360" s="53"/>
      <c r="AA360" s="40"/>
      <c r="AB360" s="41"/>
      <c r="AC360" s="98"/>
      <c r="AD360" s="17">
        <f t="shared" si="48"/>
        <v>-1568</v>
      </c>
      <c r="AE360" s="18">
        <f t="shared" si="49"/>
        <v>1568</v>
      </c>
      <c r="AF360" s="98"/>
      <c r="AG360" s="98"/>
      <c r="AH360" s="98"/>
      <c r="AI360" s="98"/>
      <c r="AJ360" s="98"/>
      <c r="AK360" s="98"/>
      <c r="AL360" s="98"/>
      <c r="AM360" s="98"/>
      <c r="AN360" s="98"/>
      <c r="AO360" s="98"/>
      <c r="AP360" s="98"/>
      <c r="AQ360" s="98"/>
      <c r="AR360" s="98"/>
      <c r="AS360" s="98"/>
      <c r="AT360" s="98"/>
      <c r="AU360" s="98"/>
      <c r="AV360" s="98"/>
      <c r="AW360" s="98"/>
      <c r="AX360" s="98"/>
      <c r="AY360" s="98"/>
      <c r="AZ360" s="98"/>
      <c r="BA360" s="98"/>
      <c r="BB360" s="98"/>
      <c r="BC360" s="98"/>
      <c r="BD360" s="98"/>
      <c r="BE360" s="98"/>
      <c r="BF360" s="98"/>
      <c r="BG360" s="98"/>
      <c r="BH360" s="98"/>
      <c r="BI360" s="98"/>
      <c r="BJ360" s="98"/>
      <c r="BK360" s="98"/>
      <c r="BL360" s="98"/>
      <c r="BM360" s="98"/>
      <c r="BN360" s="98"/>
      <c r="BO360" s="98"/>
      <c r="BP360" s="98"/>
      <c r="BQ360" s="98"/>
      <c r="BR360" s="98"/>
      <c r="BS360" s="98"/>
      <c r="BT360" s="98"/>
      <c r="BU360" s="98"/>
      <c r="BV360" s="98"/>
      <c r="BW360" s="98"/>
      <c r="BX360" s="98"/>
      <c r="BY360" s="98"/>
      <c r="BZ360" s="98"/>
      <c r="CA360" s="98"/>
      <c r="CB360" s="98"/>
      <c r="CC360" s="98"/>
      <c r="CD360" s="98"/>
      <c r="CE360" s="98"/>
      <c r="CF360" s="98"/>
      <c r="CG360" s="98"/>
      <c r="CH360" s="98"/>
      <c r="CI360" s="98"/>
      <c r="CJ360" s="98"/>
      <c r="CK360" s="98"/>
      <c r="CL360" s="98"/>
      <c r="CM360" s="98"/>
      <c r="CN360" s="98"/>
      <c r="CO360" s="98"/>
      <c r="CP360" s="98"/>
      <c r="CQ360" s="98"/>
      <c r="CR360" s="98"/>
      <c r="CS360" s="98"/>
      <c r="CT360" s="98"/>
      <c r="CU360" s="98"/>
      <c r="CV360" s="98"/>
      <c r="CW360" s="98"/>
      <c r="CX360" s="98"/>
      <c r="CY360" s="98"/>
      <c r="CZ360" s="98"/>
      <c r="DA360" s="98"/>
      <c r="DB360" s="98"/>
      <c r="DC360" s="98"/>
      <c r="DD360" s="98"/>
      <c r="DE360" s="98"/>
      <c r="DF360" s="98"/>
      <c r="DG360" s="98"/>
      <c r="DH360" s="98"/>
      <c r="DI360" s="98"/>
      <c r="DJ360" s="98"/>
      <c r="DK360" s="98"/>
      <c r="DL360" s="98"/>
      <c r="DM360" s="98"/>
      <c r="DN360" s="98"/>
      <c r="DO360" s="98"/>
      <c r="DP360" s="98"/>
      <c r="DQ360" s="98"/>
      <c r="DR360" s="98"/>
      <c r="DS360" s="98"/>
      <c r="DT360" s="98"/>
      <c r="DU360" s="98"/>
      <c r="DV360" s="98"/>
      <c r="DW360" s="98"/>
      <c r="DX360" s="98"/>
      <c r="DY360" s="98"/>
      <c r="DZ360" s="98"/>
      <c r="EA360" s="98"/>
      <c r="EB360" s="98"/>
      <c r="EC360" s="98"/>
      <c r="ED360" s="98"/>
      <c r="EE360" s="98"/>
      <c r="EF360" s="98"/>
      <c r="EG360" s="98"/>
      <c r="EH360" s="98"/>
      <c r="EI360" s="98"/>
      <c r="EJ360" s="98"/>
      <c r="EK360" s="98"/>
      <c r="EL360" s="98"/>
      <c r="EM360" s="98"/>
      <c r="EN360" s="98"/>
      <c r="EO360" s="98"/>
      <c r="EP360" s="98"/>
      <c r="EQ360" s="98"/>
      <c r="ER360" s="98"/>
      <c r="ES360" s="98"/>
      <c r="ET360" s="98"/>
      <c r="EU360" s="98"/>
      <c r="EV360" s="98"/>
      <c r="EW360" s="98"/>
      <c r="EX360" s="98"/>
      <c r="EY360" s="98"/>
      <c r="EZ360" s="98"/>
      <c r="FA360" s="98"/>
      <c r="FB360" s="98"/>
      <c r="FC360" s="98"/>
      <c r="FD360" s="98"/>
      <c r="FE360" s="98"/>
      <c r="FF360" s="98"/>
      <c r="FG360" s="98"/>
      <c r="FH360" s="98"/>
      <c r="FI360" s="98"/>
      <c r="FJ360" s="98"/>
      <c r="FK360" s="98"/>
      <c r="FL360" s="98"/>
      <c r="FM360" s="98"/>
      <c r="FN360" s="98"/>
      <c r="FO360" s="98"/>
      <c r="FP360" s="98"/>
      <c r="FQ360" s="98"/>
      <c r="FR360" s="98"/>
      <c r="FS360" s="98"/>
      <c r="FT360" s="98"/>
      <c r="FU360" s="98"/>
      <c r="FV360" s="98"/>
      <c r="FW360" s="98"/>
      <c r="FX360" s="98"/>
      <c r="FY360" s="98"/>
      <c r="FZ360" s="98"/>
      <c r="GA360" s="98"/>
      <c r="GB360" s="98"/>
      <c r="GC360" s="98"/>
      <c r="GD360" s="98"/>
      <c r="GE360" s="98"/>
      <c r="GF360" s="98"/>
      <c r="GG360" s="98"/>
      <c r="GH360" s="98"/>
      <c r="GI360" s="98"/>
      <c r="GJ360" s="98"/>
      <c r="GK360" s="98"/>
      <c r="GL360" s="98"/>
      <c r="GM360" s="98"/>
      <c r="GN360" s="98"/>
      <c r="GO360" s="98"/>
      <c r="GP360" s="98"/>
      <c r="GQ360" s="98"/>
      <c r="GR360" s="98"/>
      <c r="GS360" s="98"/>
      <c r="GT360" s="98"/>
      <c r="GU360" s="98"/>
      <c r="GV360" s="98"/>
      <c r="GW360" s="98"/>
      <c r="GX360" s="98"/>
      <c r="GY360" s="98"/>
      <c r="GZ360" s="98"/>
      <c r="HA360" s="98"/>
      <c r="HB360" s="98"/>
      <c r="HC360" s="98"/>
      <c r="HD360" s="98"/>
      <c r="HE360" s="98"/>
      <c r="HF360" s="98"/>
      <c r="HG360" s="98"/>
      <c r="HH360" s="98"/>
      <c r="HI360" s="98"/>
      <c r="HJ360" s="98"/>
      <c r="HK360" s="98"/>
      <c r="HL360" s="98"/>
      <c r="HM360" s="98"/>
      <c r="HN360" s="98"/>
      <c r="HO360" s="98"/>
      <c r="HP360" s="98"/>
      <c r="HQ360" s="98"/>
      <c r="HR360" s="98"/>
      <c r="HS360" s="98"/>
      <c r="HT360" s="98"/>
      <c r="HU360" s="98"/>
      <c r="HV360" s="98"/>
      <c r="HW360" s="98"/>
      <c r="HX360" s="98"/>
      <c r="HY360" s="98"/>
      <c r="HZ360" s="98"/>
      <c r="IA360" s="98"/>
      <c r="IB360" s="98"/>
      <c r="IC360" s="98"/>
      <c r="ID360" s="98"/>
      <c r="IE360" s="98"/>
      <c r="IF360" s="98"/>
      <c r="IG360" s="98"/>
      <c r="IH360" s="98"/>
      <c r="II360" s="98"/>
      <c r="IJ360" s="98"/>
      <c r="IK360" s="98"/>
      <c r="IL360" s="98"/>
      <c r="IM360" s="98"/>
      <c r="IN360" s="98"/>
      <c r="IO360" s="98"/>
      <c r="IP360" s="98"/>
      <c r="IQ360" s="98"/>
      <c r="IR360" s="98"/>
      <c r="IS360" s="98"/>
      <c r="IT360" s="98"/>
      <c r="IU360" s="98"/>
      <c r="IV360" s="98"/>
      <c r="IW360" s="98"/>
      <c r="IX360" s="98"/>
      <c r="IY360" s="98"/>
      <c r="IZ360" s="98"/>
      <c r="JA360" s="98"/>
      <c r="JB360" s="98"/>
      <c r="JC360" s="98"/>
      <c r="JD360" s="98"/>
      <c r="JE360" s="98"/>
      <c r="JF360" s="98"/>
      <c r="JG360" s="98"/>
      <c r="JH360" s="98"/>
      <c r="JI360" s="98"/>
      <c r="JJ360" s="98"/>
      <c r="JK360" s="98"/>
      <c r="JL360" s="98"/>
      <c r="JM360" s="98"/>
      <c r="JN360" s="98"/>
      <c r="JO360" s="98"/>
      <c r="JP360" s="98"/>
      <c r="JQ360" s="98"/>
      <c r="JR360" s="98"/>
      <c r="JS360" s="98"/>
      <c r="JT360" s="98"/>
      <c r="JU360" s="98"/>
      <c r="JV360" s="98"/>
      <c r="JW360" s="98"/>
      <c r="JX360" s="98"/>
      <c r="JY360" s="98"/>
      <c r="JZ360" s="98"/>
      <c r="KA360" s="98"/>
      <c r="KB360" s="98"/>
      <c r="KC360" s="98"/>
      <c r="KD360" s="98"/>
      <c r="KE360" s="98"/>
      <c r="KF360" s="98"/>
      <c r="KG360" s="98"/>
      <c r="KH360" s="98"/>
      <c r="KI360" s="98"/>
      <c r="KJ360" s="98"/>
      <c r="KK360" s="98"/>
      <c r="KL360" s="98"/>
      <c r="KM360" s="98"/>
      <c r="KN360" s="98"/>
      <c r="KO360" s="98"/>
      <c r="KP360" s="98"/>
      <c r="KQ360" s="98"/>
      <c r="KR360" s="98"/>
      <c r="KS360" s="98"/>
      <c r="KT360" s="98"/>
      <c r="KU360" s="98"/>
      <c r="KV360" s="98"/>
      <c r="KW360" s="98"/>
      <c r="KX360" s="98"/>
      <c r="KY360" s="98"/>
      <c r="KZ360" s="98"/>
      <c r="LA360" s="98"/>
      <c r="LB360" s="98"/>
      <c r="LC360" s="98"/>
      <c r="LD360" s="98"/>
      <c r="LE360" s="98"/>
      <c r="LF360" s="98"/>
      <c r="LG360" s="98"/>
      <c r="LH360" s="98"/>
      <c r="LI360" s="98"/>
      <c r="LJ360" s="98"/>
      <c r="LK360" s="98"/>
      <c r="LL360" s="98"/>
      <c r="LM360" s="98"/>
      <c r="LN360" s="98"/>
      <c r="LO360" s="98"/>
      <c r="LP360" s="98"/>
      <c r="LQ360" s="98"/>
      <c r="LR360" s="98"/>
      <c r="LS360" s="98"/>
      <c r="LT360" s="98"/>
      <c r="LU360" s="98"/>
      <c r="LV360" s="98"/>
      <c r="LW360" s="98"/>
      <c r="LX360" s="98"/>
      <c r="LY360" s="98"/>
      <c r="LZ360" s="98"/>
      <c r="MA360" s="98"/>
      <c r="MB360" s="98"/>
      <c r="MC360" s="98"/>
      <c r="MD360" s="98"/>
      <c r="ME360" s="98"/>
      <c r="MF360" s="98"/>
      <c r="MG360" s="98"/>
      <c r="MH360" s="98"/>
      <c r="MI360" s="98"/>
      <c r="MJ360" s="98"/>
      <c r="MK360" s="98"/>
      <c r="ML360" s="98"/>
      <c r="MM360" s="98"/>
      <c r="MN360" s="98"/>
      <c r="MO360" s="98"/>
      <c r="MP360" s="98"/>
      <c r="MQ360" s="98"/>
      <c r="MR360" s="98"/>
      <c r="MS360" s="98"/>
      <c r="MT360" s="98"/>
      <c r="MU360" s="98"/>
      <c r="MV360" s="98"/>
      <c r="MW360" s="98"/>
      <c r="MX360" s="98"/>
      <c r="MY360" s="98"/>
      <c r="MZ360" s="98"/>
      <c r="NA360" s="98"/>
      <c r="NB360" s="98"/>
      <c r="NC360" s="98"/>
      <c r="ND360" s="98"/>
      <c r="NE360" s="98"/>
      <c r="NF360" s="98"/>
      <c r="NG360" s="98"/>
      <c r="NH360" s="98"/>
      <c r="NI360" s="98"/>
      <c r="NJ360" s="98"/>
      <c r="NK360" s="98"/>
      <c r="NL360" s="98"/>
      <c r="NM360" s="98"/>
      <c r="NN360" s="98"/>
      <c r="NO360" s="98"/>
      <c r="NP360" s="98"/>
      <c r="NQ360" s="98"/>
      <c r="NR360" s="98"/>
      <c r="NS360" s="98"/>
      <c r="NT360" s="98"/>
      <c r="NU360" s="98"/>
      <c r="NV360" s="98"/>
      <c r="NW360" s="98"/>
      <c r="NX360" s="98"/>
      <c r="NY360" s="98"/>
      <c r="NZ360" s="98"/>
      <c r="OA360" s="98"/>
      <c r="OB360" s="98"/>
      <c r="OC360" s="98"/>
      <c r="OD360" s="98"/>
      <c r="OE360" s="98"/>
      <c r="OF360" s="98"/>
      <c r="OG360" s="98"/>
      <c r="OH360" s="98"/>
      <c r="OI360" s="98"/>
      <c r="OJ360" s="98"/>
      <c r="OK360" s="98"/>
      <c r="OL360" s="98"/>
      <c r="OM360" s="98"/>
      <c r="ON360" s="98"/>
      <c r="OO360" s="98"/>
      <c r="OP360" s="98"/>
      <c r="OQ360" s="98"/>
      <c r="OR360" s="98"/>
      <c r="OS360" s="98"/>
      <c r="OT360" s="98"/>
      <c r="OU360" s="98"/>
      <c r="OV360" s="98"/>
      <c r="OW360" s="98"/>
      <c r="OX360" s="98"/>
      <c r="OY360" s="98"/>
      <c r="OZ360" s="98"/>
      <c r="PA360" s="98"/>
      <c r="PB360" s="98"/>
      <c r="PC360" s="98"/>
      <c r="PD360" s="98"/>
      <c r="PE360" s="98"/>
      <c r="PF360" s="98"/>
      <c r="PG360" s="98"/>
      <c r="PH360" s="98"/>
      <c r="PI360" s="98"/>
      <c r="PJ360" s="98"/>
      <c r="PK360" s="98"/>
      <c r="PL360" s="98"/>
      <c r="PM360" s="98"/>
      <c r="PN360" s="98"/>
      <c r="PO360" s="98"/>
      <c r="PP360" s="98"/>
      <c r="PQ360" s="98"/>
      <c r="PR360" s="98"/>
      <c r="PS360" s="98"/>
      <c r="PT360" s="98"/>
      <c r="PU360" s="98"/>
      <c r="PV360" s="98"/>
      <c r="PW360" s="98"/>
      <c r="PX360" s="98"/>
      <c r="PY360" s="98"/>
      <c r="PZ360" s="98"/>
      <c r="QA360" s="98"/>
      <c r="QB360" s="98"/>
      <c r="QC360" s="98"/>
      <c r="QD360" s="98"/>
      <c r="QE360" s="98"/>
      <c r="QF360" s="98"/>
      <c r="QG360" s="98"/>
      <c r="QH360" s="98"/>
      <c r="QI360" s="98"/>
      <c r="QJ360" s="98"/>
      <c r="QK360" s="98"/>
      <c r="QL360" s="98"/>
      <c r="QM360" s="98"/>
      <c r="QN360" s="98"/>
      <c r="QO360" s="98"/>
      <c r="QP360" s="98"/>
      <c r="QQ360" s="98"/>
      <c r="QR360" s="98"/>
      <c r="QS360" s="98"/>
      <c r="QT360" s="98"/>
      <c r="QU360" s="98"/>
      <c r="QV360" s="98"/>
      <c r="QW360" s="98"/>
      <c r="QX360" s="98"/>
      <c r="QY360" s="98"/>
      <c r="QZ360" s="98"/>
      <c r="RA360" s="98"/>
      <c r="RB360" s="98"/>
      <c r="RC360" s="98"/>
      <c r="RD360" s="98"/>
      <c r="RE360" s="98"/>
      <c r="RF360" s="98"/>
      <c r="RG360" s="98"/>
      <c r="RH360" s="98"/>
      <c r="RI360" s="98"/>
      <c r="RJ360" s="98"/>
      <c r="RK360" s="98"/>
      <c r="RL360" s="98"/>
      <c r="RM360" s="98"/>
      <c r="RN360" s="98"/>
      <c r="RO360" s="98"/>
      <c r="RP360" s="98"/>
      <c r="RQ360" s="98"/>
      <c r="RR360" s="98"/>
      <c r="RS360" s="98"/>
      <c r="RT360" s="98"/>
      <c r="RU360" s="98"/>
      <c r="RV360" s="98"/>
      <c r="RW360" s="98"/>
      <c r="RX360" s="98"/>
      <c r="RY360" s="98"/>
      <c r="RZ360" s="98"/>
      <c r="SA360" s="98"/>
      <c r="SB360" s="98"/>
      <c r="SC360" s="98"/>
      <c r="SD360" s="98"/>
      <c r="SE360" s="98"/>
      <c r="SF360" s="98"/>
      <c r="SG360" s="98"/>
      <c r="SH360" s="98"/>
      <c r="SI360" s="98"/>
      <c r="SJ360" s="98"/>
      <c r="SK360" s="98"/>
      <c r="SL360" s="98"/>
      <c r="SM360" s="98"/>
      <c r="SN360" s="98"/>
      <c r="SO360" s="98"/>
      <c r="SP360" s="98"/>
      <c r="SQ360" s="98"/>
      <c r="SR360" s="98"/>
    </row>
    <row r="361" spans="1:512" ht="230.25" outlineLevel="4" thickBot="1" x14ac:dyDescent="0.25">
      <c r="A361" s="43" t="s">
        <v>805</v>
      </c>
      <c r="B361" s="174" t="s">
        <v>1023</v>
      </c>
      <c r="C361" s="75" t="s">
        <v>807</v>
      </c>
      <c r="D361" s="147" t="s">
        <v>670</v>
      </c>
      <c r="E361" s="48" t="s">
        <v>67</v>
      </c>
      <c r="F361" s="48" t="s">
        <v>647</v>
      </c>
      <c r="G361" s="48" t="s">
        <v>648</v>
      </c>
      <c r="H361" s="39" t="s">
        <v>439</v>
      </c>
      <c r="I361" s="69">
        <v>1</v>
      </c>
      <c r="J361" s="70" t="s">
        <v>84</v>
      </c>
      <c r="K361" s="93" t="s">
        <v>75</v>
      </c>
      <c r="L361" s="71">
        <v>1</v>
      </c>
      <c r="M361" s="89">
        <v>2</v>
      </c>
      <c r="N361" s="32" t="s">
        <v>39</v>
      </c>
      <c r="O361" s="53" t="s">
        <v>76</v>
      </c>
      <c r="P361" s="71">
        <v>5</v>
      </c>
      <c r="Q361" s="97">
        <f t="shared" si="33"/>
        <v>10</v>
      </c>
      <c r="R361" s="72"/>
      <c r="S361" s="72"/>
      <c r="T361" s="72"/>
      <c r="U361" s="50"/>
      <c r="V361" s="51"/>
      <c r="W361" s="52"/>
      <c r="X361" s="51"/>
      <c r="Y361" s="51"/>
      <c r="Z361" s="53"/>
      <c r="AA361" s="40"/>
      <c r="AB361" s="41"/>
      <c r="AC361" s="98"/>
      <c r="AD361" s="17">
        <f t="shared" si="48"/>
        <v>-1569</v>
      </c>
      <c r="AE361" s="18">
        <f t="shared" si="49"/>
        <v>1569</v>
      </c>
      <c r="AF361" s="98"/>
      <c r="AG361" s="98"/>
      <c r="AH361" s="98"/>
      <c r="AI361" s="98"/>
      <c r="AJ361" s="98"/>
      <c r="AK361" s="98"/>
      <c r="AL361" s="98"/>
      <c r="AM361" s="98"/>
      <c r="AN361" s="98"/>
      <c r="AO361" s="98"/>
      <c r="AP361" s="98"/>
      <c r="AQ361" s="98"/>
      <c r="AR361" s="98"/>
      <c r="AS361" s="98"/>
      <c r="AT361" s="98"/>
      <c r="AU361" s="98"/>
      <c r="AV361" s="98"/>
      <c r="AW361" s="98"/>
      <c r="AX361" s="98"/>
      <c r="AY361" s="98"/>
      <c r="AZ361" s="98"/>
      <c r="BA361" s="98"/>
      <c r="BB361" s="98"/>
      <c r="BC361" s="98"/>
      <c r="BD361" s="98"/>
      <c r="BE361" s="98"/>
      <c r="BF361" s="98"/>
      <c r="BG361" s="98"/>
      <c r="BH361" s="98"/>
      <c r="BI361" s="98"/>
      <c r="BJ361" s="98"/>
      <c r="BK361" s="98"/>
      <c r="BL361" s="98"/>
      <c r="BM361" s="98"/>
      <c r="BN361" s="98"/>
      <c r="BO361" s="98"/>
      <c r="BP361" s="98"/>
      <c r="BQ361" s="98"/>
      <c r="BR361" s="98"/>
      <c r="BS361" s="98"/>
      <c r="BT361" s="98"/>
      <c r="BU361" s="98"/>
      <c r="BV361" s="98"/>
      <c r="BW361" s="98"/>
      <c r="BX361" s="98"/>
      <c r="BY361" s="98"/>
      <c r="BZ361" s="98"/>
      <c r="CA361" s="98"/>
      <c r="CB361" s="98"/>
      <c r="CC361" s="98"/>
      <c r="CD361" s="98"/>
      <c r="CE361" s="98"/>
      <c r="CF361" s="98"/>
      <c r="CG361" s="98"/>
      <c r="CH361" s="98"/>
      <c r="CI361" s="98"/>
      <c r="CJ361" s="98"/>
      <c r="CK361" s="98"/>
      <c r="CL361" s="98"/>
      <c r="CM361" s="98"/>
      <c r="CN361" s="98"/>
      <c r="CO361" s="98"/>
      <c r="CP361" s="98"/>
      <c r="CQ361" s="98"/>
      <c r="CR361" s="98"/>
      <c r="CS361" s="98"/>
      <c r="CT361" s="98"/>
      <c r="CU361" s="98"/>
      <c r="CV361" s="98"/>
      <c r="CW361" s="98"/>
      <c r="CX361" s="98"/>
      <c r="CY361" s="98"/>
      <c r="CZ361" s="98"/>
      <c r="DA361" s="98"/>
      <c r="DB361" s="98"/>
      <c r="DC361" s="98"/>
      <c r="DD361" s="98"/>
      <c r="DE361" s="98"/>
      <c r="DF361" s="98"/>
      <c r="DG361" s="98"/>
      <c r="DH361" s="98"/>
      <c r="DI361" s="98"/>
      <c r="DJ361" s="98"/>
      <c r="DK361" s="98"/>
      <c r="DL361" s="98"/>
      <c r="DM361" s="98"/>
      <c r="DN361" s="98"/>
      <c r="DO361" s="98"/>
      <c r="DP361" s="98"/>
      <c r="DQ361" s="98"/>
      <c r="DR361" s="98"/>
      <c r="DS361" s="98"/>
      <c r="DT361" s="98"/>
      <c r="DU361" s="98"/>
      <c r="DV361" s="98"/>
      <c r="DW361" s="98"/>
      <c r="DX361" s="98"/>
      <c r="DY361" s="98"/>
      <c r="DZ361" s="98"/>
      <c r="EA361" s="98"/>
      <c r="EB361" s="98"/>
      <c r="EC361" s="98"/>
      <c r="ED361" s="98"/>
      <c r="EE361" s="98"/>
      <c r="EF361" s="98"/>
      <c r="EG361" s="98"/>
      <c r="EH361" s="98"/>
      <c r="EI361" s="98"/>
      <c r="EJ361" s="98"/>
      <c r="EK361" s="98"/>
      <c r="EL361" s="98"/>
      <c r="EM361" s="98"/>
      <c r="EN361" s="98"/>
      <c r="EO361" s="98"/>
      <c r="EP361" s="98"/>
      <c r="EQ361" s="98"/>
      <c r="ER361" s="98"/>
      <c r="ES361" s="98"/>
      <c r="ET361" s="98"/>
      <c r="EU361" s="98"/>
      <c r="EV361" s="98"/>
      <c r="EW361" s="98"/>
      <c r="EX361" s="98"/>
      <c r="EY361" s="98"/>
      <c r="EZ361" s="98"/>
      <c r="FA361" s="98"/>
      <c r="FB361" s="98"/>
      <c r="FC361" s="98"/>
      <c r="FD361" s="98"/>
      <c r="FE361" s="98"/>
      <c r="FF361" s="98"/>
      <c r="FG361" s="98"/>
      <c r="FH361" s="98"/>
      <c r="FI361" s="98"/>
      <c r="FJ361" s="98"/>
      <c r="FK361" s="98"/>
      <c r="FL361" s="98"/>
      <c r="FM361" s="98"/>
      <c r="FN361" s="98"/>
      <c r="FO361" s="98"/>
      <c r="FP361" s="98"/>
      <c r="FQ361" s="98"/>
      <c r="FR361" s="98"/>
      <c r="FS361" s="98"/>
      <c r="FT361" s="98"/>
      <c r="FU361" s="98"/>
      <c r="FV361" s="98"/>
      <c r="FW361" s="98"/>
      <c r="FX361" s="98"/>
      <c r="FY361" s="98"/>
      <c r="FZ361" s="98"/>
      <c r="GA361" s="98"/>
      <c r="GB361" s="98"/>
      <c r="GC361" s="98"/>
      <c r="GD361" s="98"/>
      <c r="GE361" s="98"/>
      <c r="GF361" s="98"/>
      <c r="GG361" s="98"/>
      <c r="GH361" s="98"/>
      <c r="GI361" s="98"/>
      <c r="GJ361" s="98"/>
      <c r="GK361" s="98"/>
      <c r="GL361" s="98"/>
      <c r="GM361" s="98"/>
      <c r="GN361" s="98"/>
      <c r="GO361" s="98"/>
      <c r="GP361" s="98"/>
      <c r="GQ361" s="98"/>
      <c r="GR361" s="98"/>
      <c r="GS361" s="98"/>
      <c r="GT361" s="98"/>
      <c r="GU361" s="98"/>
      <c r="GV361" s="98"/>
      <c r="GW361" s="98"/>
      <c r="GX361" s="98"/>
      <c r="GY361" s="98"/>
      <c r="GZ361" s="98"/>
      <c r="HA361" s="98"/>
      <c r="HB361" s="98"/>
      <c r="HC361" s="98"/>
      <c r="HD361" s="98"/>
      <c r="HE361" s="98"/>
      <c r="HF361" s="98"/>
      <c r="HG361" s="98"/>
      <c r="HH361" s="98"/>
      <c r="HI361" s="98"/>
      <c r="HJ361" s="98"/>
      <c r="HK361" s="98"/>
      <c r="HL361" s="98"/>
      <c r="HM361" s="98"/>
      <c r="HN361" s="98"/>
      <c r="HO361" s="98"/>
      <c r="HP361" s="98"/>
      <c r="HQ361" s="98"/>
      <c r="HR361" s="98"/>
      <c r="HS361" s="98"/>
      <c r="HT361" s="98"/>
      <c r="HU361" s="98"/>
      <c r="HV361" s="98"/>
      <c r="HW361" s="98"/>
      <c r="HX361" s="98"/>
      <c r="HY361" s="98"/>
      <c r="HZ361" s="98"/>
      <c r="IA361" s="98"/>
      <c r="IB361" s="98"/>
      <c r="IC361" s="98"/>
      <c r="ID361" s="98"/>
      <c r="IE361" s="98"/>
      <c r="IF361" s="98"/>
      <c r="IG361" s="98"/>
      <c r="IH361" s="98"/>
      <c r="II361" s="98"/>
      <c r="IJ361" s="98"/>
      <c r="IK361" s="98"/>
      <c r="IL361" s="98"/>
      <c r="IM361" s="98"/>
      <c r="IN361" s="98"/>
      <c r="IO361" s="98"/>
      <c r="IP361" s="98"/>
      <c r="IQ361" s="98"/>
      <c r="IR361" s="98"/>
      <c r="IS361" s="98"/>
      <c r="IT361" s="98"/>
      <c r="IU361" s="98"/>
      <c r="IV361" s="98"/>
      <c r="IW361" s="98"/>
      <c r="IX361" s="98"/>
      <c r="IY361" s="98"/>
      <c r="IZ361" s="98"/>
      <c r="JA361" s="98"/>
      <c r="JB361" s="98"/>
      <c r="JC361" s="98"/>
      <c r="JD361" s="98"/>
      <c r="JE361" s="98"/>
      <c r="JF361" s="98"/>
      <c r="JG361" s="98"/>
      <c r="JH361" s="98"/>
      <c r="JI361" s="98"/>
      <c r="JJ361" s="98"/>
      <c r="JK361" s="98"/>
      <c r="JL361" s="98"/>
      <c r="JM361" s="98"/>
      <c r="JN361" s="98"/>
      <c r="JO361" s="98"/>
      <c r="JP361" s="98"/>
      <c r="JQ361" s="98"/>
      <c r="JR361" s="98"/>
      <c r="JS361" s="98"/>
      <c r="JT361" s="98"/>
      <c r="JU361" s="98"/>
      <c r="JV361" s="98"/>
      <c r="JW361" s="98"/>
      <c r="JX361" s="98"/>
      <c r="JY361" s="98"/>
      <c r="JZ361" s="98"/>
      <c r="KA361" s="98"/>
      <c r="KB361" s="98"/>
      <c r="KC361" s="98"/>
      <c r="KD361" s="98"/>
      <c r="KE361" s="98"/>
      <c r="KF361" s="98"/>
      <c r="KG361" s="98"/>
      <c r="KH361" s="98"/>
      <c r="KI361" s="98"/>
      <c r="KJ361" s="98"/>
      <c r="KK361" s="98"/>
      <c r="KL361" s="98"/>
      <c r="KM361" s="98"/>
      <c r="KN361" s="98"/>
      <c r="KO361" s="98"/>
      <c r="KP361" s="98"/>
      <c r="KQ361" s="98"/>
      <c r="KR361" s="98"/>
      <c r="KS361" s="98"/>
      <c r="KT361" s="98"/>
      <c r="KU361" s="98"/>
      <c r="KV361" s="98"/>
      <c r="KW361" s="98"/>
      <c r="KX361" s="98"/>
      <c r="KY361" s="98"/>
      <c r="KZ361" s="98"/>
      <c r="LA361" s="98"/>
      <c r="LB361" s="98"/>
      <c r="LC361" s="98"/>
      <c r="LD361" s="98"/>
      <c r="LE361" s="98"/>
      <c r="LF361" s="98"/>
      <c r="LG361" s="98"/>
      <c r="LH361" s="98"/>
      <c r="LI361" s="98"/>
      <c r="LJ361" s="98"/>
      <c r="LK361" s="98"/>
      <c r="LL361" s="98"/>
      <c r="LM361" s="98"/>
      <c r="LN361" s="98"/>
      <c r="LO361" s="98"/>
      <c r="LP361" s="98"/>
      <c r="LQ361" s="98"/>
      <c r="LR361" s="98"/>
      <c r="LS361" s="98"/>
      <c r="LT361" s="98"/>
      <c r="LU361" s="98"/>
      <c r="LV361" s="98"/>
      <c r="LW361" s="98"/>
      <c r="LX361" s="98"/>
      <c r="LY361" s="98"/>
      <c r="LZ361" s="98"/>
      <c r="MA361" s="98"/>
      <c r="MB361" s="98"/>
      <c r="MC361" s="98"/>
      <c r="MD361" s="98"/>
      <c r="ME361" s="98"/>
      <c r="MF361" s="98"/>
      <c r="MG361" s="98"/>
      <c r="MH361" s="98"/>
      <c r="MI361" s="98"/>
      <c r="MJ361" s="98"/>
      <c r="MK361" s="98"/>
      <c r="ML361" s="98"/>
      <c r="MM361" s="98"/>
      <c r="MN361" s="98"/>
      <c r="MO361" s="98"/>
      <c r="MP361" s="98"/>
      <c r="MQ361" s="98"/>
      <c r="MR361" s="98"/>
      <c r="MS361" s="98"/>
      <c r="MT361" s="98"/>
      <c r="MU361" s="98"/>
      <c r="MV361" s="98"/>
      <c r="MW361" s="98"/>
      <c r="MX361" s="98"/>
      <c r="MY361" s="98"/>
      <c r="MZ361" s="98"/>
      <c r="NA361" s="98"/>
      <c r="NB361" s="98"/>
      <c r="NC361" s="98"/>
      <c r="ND361" s="98"/>
      <c r="NE361" s="98"/>
      <c r="NF361" s="98"/>
      <c r="NG361" s="98"/>
      <c r="NH361" s="98"/>
      <c r="NI361" s="98"/>
      <c r="NJ361" s="98"/>
      <c r="NK361" s="98"/>
      <c r="NL361" s="98"/>
      <c r="NM361" s="98"/>
      <c r="NN361" s="98"/>
      <c r="NO361" s="98"/>
      <c r="NP361" s="98"/>
      <c r="NQ361" s="98"/>
      <c r="NR361" s="98"/>
      <c r="NS361" s="98"/>
      <c r="NT361" s="98"/>
      <c r="NU361" s="98"/>
      <c r="NV361" s="98"/>
      <c r="NW361" s="98"/>
      <c r="NX361" s="98"/>
      <c r="NY361" s="98"/>
      <c r="NZ361" s="98"/>
      <c r="OA361" s="98"/>
      <c r="OB361" s="98"/>
      <c r="OC361" s="98"/>
      <c r="OD361" s="98"/>
      <c r="OE361" s="98"/>
      <c r="OF361" s="98"/>
      <c r="OG361" s="98"/>
      <c r="OH361" s="98"/>
      <c r="OI361" s="98"/>
      <c r="OJ361" s="98"/>
      <c r="OK361" s="98"/>
      <c r="OL361" s="98"/>
      <c r="OM361" s="98"/>
      <c r="ON361" s="98"/>
      <c r="OO361" s="98"/>
      <c r="OP361" s="98"/>
      <c r="OQ361" s="98"/>
      <c r="OR361" s="98"/>
      <c r="OS361" s="98"/>
      <c r="OT361" s="98"/>
      <c r="OU361" s="98"/>
      <c r="OV361" s="98"/>
      <c r="OW361" s="98"/>
      <c r="OX361" s="98"/>
      <c r="OY361" s="98"/>
      <c r="OZ361" s="98"/>
      <c r="PA361" s="98"/>
      <c r="PB361" s="98"/>
      <c r="PC361" s="98"/>
      <c r="PD361" s="98"/>
      <c r="PE361" s="98"/>
      <c r="PF361" s="98"/>
      <c r="PG361" s="98"/>
      <c r="PH361" s="98"/>
      <c r="PI361" s="98"/>
      <c r="PJ361" s="98"/>
      <c r="PK361" s="98"/>
      <c r="PL361" s="98"/>
      <c r="PM361" s="98"/>
      <c r="PN361" s="98"/>
      <c r="PO361" s="98"/>
      <c r="PP361" s="98"/>
      <c r="PQ361" s="98"/>
      <c r="PR361" s="98"/>
      <c r="PS361" s="98"/>
      <c r="PT361" s="98"/>
      <c r="PU361" s="98"/>
      <c r="PV361" s="98"/>
      <c r="PW361" s="98"/>
      <c r="PX361" s="98"/>
      <c r="PY361" s="98"/>
      <c r="PZ361" s="98"/>
      <c r="QA361" s="98"/>
      <c r="QB361" s="98"/>
      <c r="QC361" s="98"/>
      <c r="QD361" s="98"/>
      <c r="QE361" s="98"/>
      <c r="QF361" s="98"/>
      <c r="QG361" s="98"/>
      <c r="QH361" s="98"/>
      <c r="QI361" s="98"/>
      <c r="QJ361" s="98"/>
      <c r="QK361" s="98"/>
      <c r="QL361" s="98"/>
      <c r="QM361" s="98"/>
      <c r="QN361" s="98"/>
      <c r="QO361" s="98"/>
      <c r="QP361" s="98"/>
      <c r="QQ361" s="98"/>
      <c r="QR361" s="98"/>
      <c r="QS361" s="98"/>
      <c r="QT361" s="98"/>
      <c r="QU361" s="98"/>
      <c r="QV361" s="98"/>
      <c r="QW361" s="98"/>
      <c r="QX361" s="98"/>
      <c r="QY361" s="98"/>
      <c r="QZ361" s="98"/>
      <c r="RA361" s="98"/>
      <c r="RB361" s="98"/>
      <c r="RC361" s="98"/>
      <c r="RD361" s="98"/>
      <c r="RE361" s="98"/>
      <c r="RF361" s="98"/>
      <c r="RG361" s="98"/>
      <c r="RH361" s="98"/>
      <c r="RI361" s="98"/>
      <c r="RJ361" s="98"/>
      <c r="RK361" s="98"/>
      <c r="RL361" s="98"/>
      <c r="RM361" s="98"/>
      <c r="RN361" s="98"/>
      <c r="RO361" s="98"/>
      <c r="RP361" s="98"/>
      <c r="RQ361" s="98"/>
      <c r="RR361" s="98"/>
      <c r="RS361" s="98"/>
      <c r="RT361" s="98"/>
      <c r="RU361" s="98"/>
      <c r="RV361" s="98"/>
      <c r="RW361" s="98"/>
      <c r="RX361" s="98"/>
      <c r="RY361" s="98"/>
      <c r="RZ361" s="98"/>
      <c r="SA361" s="98"/>
      <c r="SB361" s="98"/>
      <c r="SC361" s="98"/>
      <c r="SD361" s="98"/>
      <c r="SE361" s="98"/>
      <c r="SF361" s="98"/>
      <c r="SG361" s="98"/>
      <c r="SH361" s="98"/>
      <c r="SI361" s="98"/>
      <c r="SJ361" s="98"/>
      <c r="SK361" s="98"/>
      <c r="SL361" s="98"/>
      <c r="SM361" s="98"/>
      <c r="SN361" s="98"/>
      <c r="SO361" s="98"/>
      <c r="SP361" s="98"/>
      <c r="SQ361" s="98"/>
      <c r="SR361" s="98"/>
    </row>
    <row r="362" spans="1:512" ht="230.25" outlineLevel="4" thickBot="1" x14ac:dyDescent="0.25">
      <c r="A362" s="43" t="s">
        <v>808</v>
      </c>
      <c r="B362" s="178"/>
      <c r="C362" s="83"/>
      <c r="D362" s="176"/>
      <c r="E362" s="48" t="s">
        <v>71</v>
      </c>
      <c r="F362" s="48" t="s">
        <v>809</v>
      </c>
      <c r="G362" s="48" t="s">
        <v>648</v>
      </c>
      <c r="H362" s="39" t="s">
        <v>439</v>
      </c>
      <c r="I362" s="69">
        <v>2</v>
      </c>
      <c r="J362" s="70" t="s">
        <v>74</v>
      </c>
      <c r="K362" s="93" t="s">
        <v>62</v>
      </c>
      <c r="L362" s="71">
        <v>1</v>
      </c>
      <c r="M362" s="89">
        <v>2</v>
      </c>
      <c r="N362" s="32" t="s">
        <v>39</v>
      </c>
      <c r="O362" s="53" t="s">
        <v>76</v>
      </c>
      <c r="P362" s="71">
        <v>5</v>
      </c>
      <c r="Q362" s="97">
        <f t="shared" si="33"/>
        <v>10</v>
      </c>
      <c r="R362" s="72"/>
      <c r="S362" s="72"/>
      <c r="T362" s="72"/>
      <c r="U362" s="50"/>
      <c r="V362" s="51"/>
      <c r="W362" s="52"/>
      <c r="X362" s="51"/>
      <c r="Y362" s="51"/>
      <c r="Z362" s="53"/>
      <c r="AA362" s="40"/>
      <c r="AB362" s="41"/>
      <c r="AC362" s="98"/>
      <c r="AD362" s="17">
        <f t="shared" si="48"/>
        <v>-1570</v>
      </c>
      <c r="AE362" s="18">
        <f t="shared" si="49"/>
        <v>1570</v>
      </c>
      <c r="AF362" s="98"/>
      <c r="AG362" s="98"/>
      <c r="AH362" s="98"/>
      <c r="AI362" s="98"/>
      <c r="AJ362" s="98"/>
      <c r="AK362" s="98"/>
      <c r="AL362" s="98"/>
      <c r="AM362" s="98"/>
      <c r="AN362" s="98"/>
      <c r="AO362" s="98"/>
      <c r="AP362" s="98"/>
      <c r="AQ362" s="98"/>
      <c r="AR362" s="98"/>
      <c r="AS362" s="98"/>
      <c r="AT362" s="98"/>
      <c r="AU362" s="98"/>
      <c r="AV362" s="98"/>
      <c r="AW362" s="98"/>
      <c r="AX362" s="98"/>
      <c r="AY362" s="98"/>
      <c r="AZ362" s="98"/>
      <c r="BA362" s="98"/>
      <c r="BB362" s="98"/>
      <c r="BC362" s="98"/>
      <c r="BD362" s="98"/>
      <c r="BE362" s="98"/>
      <c r="BF362" s="98"/>
      <c r="BG362" s="98"/>
      <c r="BH362" s="98"/>
      <c r="BI362" s="98"/>
      <c r="BJ362" s="98"/>
      <c r="BK362" s="98"/>
      <c r="BL362" s="98"/>
      <c r="BM362" s="98"/>
      <c r="BN362" s="98"/>
      <c r="BO362" s="98"/>
      <c r="BP362" s="98"/>
      <c r="BQ362" s="98"/>
      <c r="BR362" s="98"/>
      <c r="BS362" s="98"/>
      <c r="BT362" s="98"/>
      <c r="BU362" s="98"/>
      <c r="BV362" s="98"/>
      <c r="BW362" s="98"/>
      <c r="BX362" s="98"/>
      <c r="BY362" s="98"/>
      <c r="BZ362" s="98"/>
      <c r="CA362" s="98"/>
      <c r="CB362" s="98"/>
      <c r="CC362" s="98"/>
      <c r="CD362" s="98"/>
      <c r="CE362" s="98"/>
      <c r="CF362" s="98"/>
      <c r="CG362" s="98"/>
      <c r="CH362" s="98"/>
      <c r="CI362" s="98"/>
      <c r="CJ362" s="98"/>
      <c r="CK362" s="98"/>
      <c r="CL362" s="98"/>
      <c r="CM362" s="98"/>
      <c r="CN362" s="98"/>
      <c r="CO362" s="98"/>
      <c r="CP362" s="98"/>
      <c r="CQ362" s="98"/>
      <c r="CR362" s="98"/>
      <c r="CS362" s="98"/>
      <c r="CT362" s="98"/>
      <c r="CU362" s="98"/>
      <c r="CV362" s="98"/>
      <c r="CW362" s="98"/>
      <c r="CX362" s="98"/>
      <c r="CY362" s="98"/>
      <c r="CZ362" s="98"/>
      <c r="DA362" s="98"/>
      <c r="DB362" s="98"/>
      <c r="DC362" s="98"/>
      <c r="DD362" s="98"/>
      <c r="DE362" s="98"/>
      <c r="DF362" s="98"/>
      <c r="DG362" s="98"/>
      <c r="DH362" s="98"/>
      <c r="DI362" s="98"/>
      <c r="DJ362" s="98"/>
      <c r="DK362" s="98"/>
      <c r="DL362" s="98"/>
      <c r="DM362" s="98"/>
      <c r="DN362" s="98"/>
      <c r="DO362" s="98"/>
      <c r="DP362" s="98"/>
      <c r="DQ362" s="98"/>
      <c r="DR362" s="98"/>
      <c r="DS362" s="98"/>
      <c r="DT362" s="98"/>
      <c r="DU362" s="98"/>
      <c r="DV362" s="98"/>
      <c r="DW362" s="98"/>
      <c r="DX362" s="98"/>
      <c r="DY362" s="98"/>
      <c r="DZ362" s="98"/>
      <c r="EA362" s="98"/>
      <c r="EB362" s="98"/>
      <c r="EC362" s="98"/>
      <c r="ED362" s="98"/>
      <c r="EE362" s="98"/>
      <c r="EF362" s="98"/>
      <c r="EG362" s="98"/>
      <c r="EH362" s="98"/>
      <c r="EI362" s="98"/>
      <c r="EJ362" s="98"/>
      <c r="EK362" s="98"/>
      <c r="EL362" s="98"/>
      <c r="EM362" s="98"/>
      <c r="EN362" s="98"/>
      <c r="EO362" s="98"/>
      <c r="EP362" s="98"/>
      <c r="EQ362" s="98"/>
      <c r="ER362" s="98"/>
      <c r="ES362" s="98"/>
      <c r="ET362" s="98"/>
      <c r="EU362" s="98"/>
      <c r="EV362" s="98"/>
      <c r="EW362" s="98"/>
      <c r="EX362" s="98"/>
      <c r="EY362" s="98"/>
      <c r="EZ362" s="98"/>
      <c r="FA362" s="98"/>
      <c r="FB362" s="98"/>
      <c r="FC362" s="98"/>
      <c r="FD362" s="98"/>
      <c r="FE362" s="98"/>
      <c r="FF362" s="98"/>
      <c r="FG362" s="98"/>
      <c r="FH362" s="98"/>
      <c r="FI362" s="98"/>
      <c r="FJ362" s="98"/>
      <c r="FK362" s="98"/>
      <c r="FL362" s="98"/>
      <c r="FM362" s="98"/>
      <c r="FN362" s="98"/>
      <c r="FO362" s="98"/>
      <c r="FP362" s="98"/>
      <c r="FQ362" s="98"/>
      <c r="FR362" s="98"/>
      <c r="FS362" s="98"/>
      <c r="FT362" s="98"/>
      <c r="FU362" s="98"/>
      <c r="FV362" s="98"/>
      <c r="FW362" s="98"/>
      <c r="FX362" s="98"/>
      <c r="FY362" s="98"/>
      <c r="FZ362" s="98"/>
      <c r="GA362" s="98"/>
      <c r="GB362" s="98"/>
      <c r="GC362" s="98"/>
      <c r="GD362" s="98"/>
      <c r="GE362" s="98"/>
      <c r="GF362" s="98"/>
      <c r="GG362" s="98"/>
      <c r="GH362" s="98"/>
      <c r="GI362" s="98"/>
      <c r="GJ362" s="98"/>
      <c r="GK362" s="98"/>
      <c r="GL362" s="98"/>
      <c r="GM362" s="98"/>
      <c r="GN362" s="98"/>
      <c r="GO362" s="98"/>
      <c r="GP362" s="98"/>
      <c r="GQ362" s="98"/>
      <c r="GR362" s="98"/>
      <c r="GS362" s="98"/>
      <c r="GT362" s="98"/>
      <c r="GU362" s="98"/>
      <c r="GV362" s="98"/>
      <c r="GW362" s="98"/>
      <c r="GX362" s="98"/>
      <c r="GY362" s="98"/>
      <c r="GZ362" s="98"/>
      <c r="HA362" s="98"/>
      <c r="HB362" s="98"/>
      <c r="HC362" s="98"/>
      <c r="HD362" s="98"/>
      <c r="HE362" s="98"/>
      <c r="HF362" s="98"/>
      <c r="HG362" s="98"/>
      <c r="HH362" s="98"/>
      <c r="HI362" s="98"/>
      <c r="HJ362" s="98"/>
      <c r="HK362" s="98"/>
      <c r="HL362" s="98"/>
      <c r="HM362" s="98"/>
      <c r="HN362" s="98"/>
      <c r="HO362" s="98"/>
      <c r="HP362" s="98"/>
      <c r="HQ362" s="98"/>
      <c r="HR362" s="98"/>
      <c r="HS362" s="98"/>
      <c r="HT362" s="98"/>
      <c r="HU362" s="98"/>
      <c r="HV362" s="98"/>
      <c r="HW362" s="98"/>
      <c r="HX362" s="98"/>
      <c r="HY362" s="98"/>
      <c r="HZ362" s="98"/>
      <c r="IA362" s="98"/>
      <c r="IB362" s="98"/>
      <c r="IC362" s="98"/>
      <c r="ID362" s="98"/>
      <c r="IE362" s="98"/>
      <c r="IF362" s="98"/>
      <c r="IG362" s="98"/>
      <c r="IH362" s="98"/>
      <c r="II362" s="98"/>
      <c r="IJ362" s="98"/>
      <c r="IK362" s="98"/>
      <c r="IL362" s="98"/>
      <c r="IM362" s="98"/>
      <c r="IN362" s="98"/>
      <c r="IO362" s="98"/>
      <c r="IP362" s="98"/>
      <c r="IQ362" s="98"/>
      <c r="IR362" s="98"/>
      <c r="IS362" s="98"/>
      <c r="IT362" s="98"/>
      <c r="IU362" s="98"/>
      <c r="IV362" s="98"/>
      <c r="IW362" s="98"/>
      <c r="IX362" s="98"/>
      <c r="IY362" s="98"/>
      <c r="IZ362" s="98"/>
      <c r="JA362" s="98"/>
      <c r="JB362" s="98"/>
      <c r="JC362" s="98"/>
      <c r="JD362" s="98"/>
      <c r="JE362" s="98"/>
      <c r="JF362" s="98"/>
      <c r="JG362" s="98"/>
      <c r="JH362" s="98"/>
      <c r="JI362" s="98"/>
      <c r="JJ362" s="98"/>
      <c r="JK362" s="98"/>
      <c r="JL362" s="98"/>
      <c r="JM362" s="98"/>
      <c r="JN362" s="98"/>
      <c r="JO362" s="98"/>
      <c r="JP362" s="98"/>
      <c r="JQ362" s="98"/>
      <c r="JR362" s="98"/>
      <c r="JS362" s="98"/>
      <c r="JT362" s="98"/>
      <c r="JU362" s="98"/>
      <c r="JV362" s="98"/>
      <c r="JW362" s="98"/>
      <c r="JX362" s="98"/>
      <c r="JY362" s="98"/>
      <c r="JZ362" s="98"/>
      <c r="KA362" s="98"/>
      <c r="KB362" s="98"/>
      <c r="KC362" s="98"/>
      <c r="KD362" s="98"/>
      <c r="KE362" s="98"/>
      <c r="KF362" s="98"/>
      <c r="KG362" s="98"/>
      <c r="KH362" s="98"/>
      <c r="KI362" s="98"/>
      <c r="KJ362" s="98"/>
      <c r="KK362" s="98"/>
      <c r="KL362" s="98"/>
      <c r="KM362" s="98"/>
      <c r="KN362" s="98"/>
      <c r="KO362" s="98"/>
      <c r="KP362" s="98"/>
      <c r="KQ362" s="98"/>
      <c r="KR362" s="98"/>
      <c r="KS362" s="98"/>
      <c r="KT362" s="98"/>
      <c r="KU362" s="98"/>
      <c r="KV362" s="98"/>
      <c r="KW362" s="98"/>
      <c r="KX362" s="98"/>
      <c r="KY362" s="98"/>
      <c r="KZ362" s="98"/>
      <c r="LA362" s="98"/>
      <c r="LB362" s="98"/>
      <c r="LC362" s="98"/>
      <c r="LD362" s="98"/>
      <c r="LE362" s="98"/>
      <c r="LF362" s="98"/>
      <c r="LG362" s="98"/>
      <c r="LH362" s="98"/>
      <c r="LI362" s="98"/>
      <c r="LJ362" s="98"/>
      <c r="LK362" s="98"/>
      <c r="LL362" s="98"/>
      <c r="LM362" s="98"/>
      <c r="LN362" s="98"/>
      <c r="LO362" s="98"/>
      <c r="LP362" s="98"/>
      <c r="LQ362" s="98"/>
      <c r="LR362" s="98"/>
      <c r="LS362" s="98"/>
      <c r="LT362" s="98"/>
      <c r="LU362" s="98"/>
      <c r="LV362" s="98"/>
      <c r="LW362" s="98"/>
      <c r="LX362" s="98"/>
      <c r="LY362" s="98"/>
      <c r="LZ362" s="98"/>
      <c r="MA362" s="98"/>
      <c r="MB362" s="98"/>
      <c r="MC362" s="98"/>
      <c r="MD362" s="98"/>
      <c r="ME362" s="98"/>
      <c r="MF362" s="98"/>
      <c r="MG362" s="98"/>
      <c r="MH362" s="98"/>
      <c r="MI362" s="98"/>
      <c r="MJ362" s="98"/>
      <c r="MK362" s="98"/>
      <c r="ML362" s="98"/>
      <c r="MM362" s="98"/>
      <c r="MN362" s="98"/>
      <c r="MO362" s="98"/>
      <c r="MP362" s="98"/>
      <c r="MQ362" s="98"/>
      <c r="MR362" s="98"/>
      <c r="MS362" s="98"/>
      <c r="MT362" s="98"/>
      <c r="MU362" s="98"/>
      <c r="MV362" s="98"/>
      <c r="MW362" s="98"/>
      <c r="MX362" s="98"/>
      <c r="MY362" s="98"/>
      <c r="MZ362" s="98"/>
      <c r="NA362" s="98"/>
      <c r="NB362" s="98"/>
      <c r="NC362" s="98"/>
      <c r="ND362" s="98"/>
      <c r="NE362" s="98"/>
      <c r="NF362" s="98"/>
      <c r="NG362" s="98"/>
      <c r="NH362" s="98"/>
      <c r="NI362" s="98"/>
      <c r="NJ362" s="98"/>
      <c r="NK362" s="98"/>
      <c r="NL362" s="98"/>
      <c r="NM362" s="98"/>
      <c r="NN362" s="98"/>
      <c r="NO362" s="98"/>
      <c r="NP362" s="98"/>
      <c r="NQ362" s="98"/>
      <c r="NR362" s="98"/>
      <c r="NS362" s="98"/>
      <c r="NT362" s="98"/>
      <c r="NU362" s="98"/>
      <c r="NV362" s="98"/>
      <c r="NW362" s="98"/>
      <c r="NX362" s="98"/>
      <c r="NY362" s="98"/>
      <c r="NZ362" s="98"/>
      <c r="OA362" s="98"/>
      <c r="OB362" s="98"/>
      <c r="OC362" s="98"/>
      <c r="OD362" s="98"/>
      <c r="OE362" s="98"/>
      <c r="OF362" s="98"/>
      <c r="OG362" s="98"/>
      <c r="OH362" s="98"/>
      <c r="OI362" s="98"/>
      <c r="OJ362" s="98"/>
      <c r="OK362" s="98"/>
      <c r="OL362" s="98"/>
      <c r="OM362" s="98"/>
      <c r="ON362" s="98"/>
      <c r="OO362" s="98"/>
      <c r="OP362" s="98"/>
      <c r="OQ362" s="98"/>
      <c r="OR362" s="98"/>
      <c r="OS362" s="98"/>
      <c r="OT362" s="98"/>
      <c r="OU362" s="98"/>
      <c r="OV362" s="98"/>
      <c r="OW362" s="98"/>
      <c r="OX362" s="98"/>
      <c r="OY362" s="98"/>
      <c r="OZ362" s="98"/>
      <c r="PA362" s="98"/>
      <c r="PB362" s="98"/>
      <c r="PC362" s="98"/>
      <c r="PD362" s="98"/>
      <c r="PE362" s="98"/>
      <c r="PF362" s="98"/>
      <c r="PG362" s="98"/>
      <c r="PH362" s="98"/>
      <c r="PI362" s="98"/>
      <c r="PJ362" s="98"/>
      <c r="PK362" s="98"/>
      <c r="PL362" s="98"/>
      <c r="PM362" s="98"/>
      <c r="PN362" s="98"/>
      <c r="PO362" s="98"/>
      <c r="PP362" s="98"/>
      <c r="PQ362" s="98"/>
      <c r="PR362" s="98"/>
      <c r="PS362" s="98"/>
      <c r="PT362" s="98"/>
      <c r="PU362" s="98"/>
      <c r="PV362" s="98"/>
      <c r="PW362" s="98"/>
      <c r="PX362" s="98"/>
      <c r="PY362" s="98"/>
      <c r="PZ362" s="98"/>
      <c r="QA362" s="98"/>
      <c r="QB362" s="98"/>
      <c r="QC362" s="98"/>
      <c r="QD362" s="98"/>
      <c r="QE362" s="98"/>
      <c r="QF362" s="98"/>
      <c r="QG362" s="98"/>
      <c r="QH362" s="98"/>
      <c r="QI362" s="98"/>
      <c r="QJ362" s="98"/>
      <c r="QK362" s="98"/>
      <c r="QL362" s="98"/>
      <c r="QM362" s="98"/>
      <c r="QN362" s="98"/>
      <c r="QO362" s="98"/>
      <c r="QP362" s="98"/>
      <c r="QQ362" s="98"/>
      <c r="QR362" s="98"/>
      <c r="QS362" s="98"/>
      <c r="QT362" s="98"/>
      <c r="QU362" s="98"/>
      <c r="QV362" s="98"/>
      <c r="QW362" s="98"/>
      <c r="QX362" s="98"/>
      <c r="QY362" s="98"/>
      <c r="QZ362" s="98"/>
      <c r="RA362" s="98"/>
      <c r="RB362" s="98"/>
      <c r="RC362" s="98"/>
      <c r="RD362" s="98"/>
      <c r="RE362" s="98"/>
      <c r="RF362" s="98"/>
      <c r="RG362" s="98"/>
      <c r="RH362" s="98"/>
      <c r="RI362" s="98"/>
      <c r="RJ362" s="98"/>
      <c r="RK362" s="98"/>
      <c r="RL362" s="98"/>
      <c r="RM362" s="98"/>
      <c r="RN362" s="98"/>
      <c r="RO362" s="98"/>
      <c r="RP362" s="98"/>
      <c r="RQ362" s="98"/>
      <c r="RR362" s="98"/>
      <c r="RS362" s="98"/>
      <c r="RT362" s="98"/>
      <c r="RU362" s="98"/>
      <c r="RV362" s="98"/>
      <c r="RW362" s="98"/>
      <c r="RX362" s="98"/>
      <c r="RY362" s="98"/>
      <c r="RZ362" s="98"/>
      <c r="SA362" s="98"/>
      <c r="SB362" s="98"/>
      <c r="SC362" s="98"/>
      <c r="SD362" s="98"/>
      <c r="SE362" s="98"/>
      <c r="SF362" s="98"/>
      <c r="SG362" s="98"/>
      <c r="SH362" s="98"/>
      <c r="SI362" s="98"/>
      <c r="SJ362" s="98"/>
      <c r="SK362" s="98"/>
      <c r="SL362" s="98"/>
      <c r="SM362" s="98"/>
      <c r="SN362" s="98"/>
      <c r="SO362" s="98"/>
      <c r="SP362" s="98"/>
      <c r="SQ362" s="98"/>
      <c r="SR362" s="98"/>
    </row>
    <row r="363" spans="1:512" ht="230.25" outlineLevel="4" thickBot="1" x14ac:dyDescent="0.25">
      <c r="A363" s="43" t="s">
        <v>810</v>
      </c>
      <c r="B363" s="177" t="s">
        <v>811</v>
      </c>
      <c r="C363" s="138" t="s">
        <v>812</v>
      </c>
      <c r="D363" s="149" t="s">
        <v>1024</v>
      </c>
      <c r="E363" s="87" t="s">
        <v>33</v>
      </c>
      <c r="F363" s="62" t="s">
        <v>814</v>
      </c>
      <c r="G363" s="66" t="s">
        <v>457</v>
      </c>
      <c r="H363" s="26" t="s">
        <v>127</v>
      </c>
      <c r="I363" s="27">
        <v>3</v>
      </c>
      <c r="J363" s="70" t="s">
        <v>463</v>
      </c>
      <c r="K363" s="29" t="s">
        <v>487</v>
      </c>
      <c r="L363" s="30">
        <v>2</v>
      </c>
      <c r="M363" s="89">
        <f t="shared" ref="M363:M394" si="50">I363*L363</f>
        <v>6</v>
      </c>
      <c r="N363" s="32" t="s">
        <v>39</v>
      </c>
      <c r="O363" s="60" t="s">
        <v>123</v>
      </c>
      <c r="P363" s="90">
        <v>2</v>
      </c>
      <c r="Q363" s="97">
        <f t="shared" si="33"/>
        <v>12</v>
      </c>
      <c r="R363" s="72"/>
      <c r="S363" s="72"/>
      <c r="T363" s="72"/>
      <c r="U363" s="50"/>
      <c r="V363" s="51"/>
      <c r="W363" s="52"/>
      <c r="X363" s="51"/>
      <c r="Y363" s="51"/>
      <c r="Z363" s="53"/>
      <c r="AA363" s="40"/>
      <c r="AB363" s="41"/>
      <c r="AD363" s="17">
        <f t="shared" si="48"/>
        <v>6004</v>
      </c>
      <c r="AE363" s="18">
        <f t="shared" si="49"/>
        <v>6004</v>
      </c>
    </row>
    <row r="364" spans="1:512" ht="230.25" outlineLevel="4" thickBot="1" x14ac:dyDescent="0.25">
      <c r="A364" s="43" t="s">
        <v>815</v>
      </c>
      <c r="B364" s="177"/>
      <c r="C364" s="138"/>
      <c r="D364" s="149"/>
      <c r="E364" s="87" t="s">
        <v>43</v>
      </c>
      <c r="F364" s="62" t="s">
        <v>816</v>
      </c>
      <c r="G364" s="74" t="s">
        <v>648</v>
      </c>
      <c r="H364" s="26" t="s">
        <v>107</v>
      </c>
      <c r="I364" s="27">
        <v>1</v>
      </c>
      <c r="J364" s="70" t="s">
        <v>463</v>
      </c>
      <c r="K364" s="29" t="s">
        <v>487</v>
      </c>
      <c r="L364" s="30">
        <v>2</v>
      </c>
      <c r="M364" s="89">
        <f t="shared" si="50"/>
        <v>2</v>
      </c>
      <c r="N364" s="32" t="s">
        <v>39</v>
      </c>
      <c r="O364" s="53" t="s">
        <v>76</v>
      </c>
      <c r="P364" s="90">
        <v>5</v>
      </c>
      <c r="Q364" s="97">
        <f t="shared" si="33"/>
        <v>10</v>
      </c>
      <c r="R364" s="72"/>
      <c r="S364" s="72"/>
      <c r="T364" s="72"/>
      <c r="U364" s="50"/>
      <c r="V364" s="51"/>
      <c r="W364" s="52"/>
      <c r="X364" s="51"/>
      <c r="Y364" s="51"/>
      <c r="Z364" s="53"/>
      <c r="AA364" s="40"/>
      <c r="AB364" s="41"/>
      <c r="AD364" s="17">
        <f t="shared" si="48"/>
        <v>6005</v>
      </c>
      <c r="AE364" s="18">
        <f t="shared" si="49"/>
        <v>6005</v>
      </c>
    </row>
    <row r="365" spans="1:512" ht="230.25" outlineLevel="4" thickBot="1" x14ac:dyDescent="0.25">
      <c r="A365" s="43" t="s">
        <v>1025</v>
      </c>
      <c r="B365" s="177"/>
      <c r="C365" s="138"/>
      <c r="D365" s="149"/>
      <c r="E365" s="87" t="s">
        <v>466</v>
      </c>
      <c r="F365" s="51" t="s">
        <v>818</v>
      </c>
      <c r="G365" s="37" t="s">
        <v>457</v>
      </c>
      <c r="H365" s="26" t="s">
        <v>819</v>
      </c>
      <c r="I365" s="27">
        <v>3</v>
      </c>
      <c r="J365" s="70" t="s">
        <v>468</v>
      </c>
      <c r="K365" s="93" t="s">
        <v>469</v>
      </c>
      <c r="L365" s="71">
        <v>2</v>
      </c>
      <c r="M365" s="89">
        <f t="shared" si="50"/>
        <v>6</v>
      </c>
      <c r="N365" s="32" t="s">
        <v>39</v>
      </c>
      <c r="O365" s="60" t="s">
        <v>123</v>
      </c>
      <c r="P365" s="90">
        <v>2</v>
      </c>
      <c r="Q365" s="91">
        <f t="shared" ref="Q365:Q374" si="51">P365*M365</f>
        <v>12</v>
      </c>
      <c r="R365" s="72"/>
      <c r="S365" s="72"/>
      <c r="T365" s="72"/>
      <c r="U365" s="50"/>
      <c r="V365" s="51"/>
      <c r="W365" s="52"/>
      <c r="X365" s="51"/>
      <c r="Y365" s="51"/>
      <c r="Z365" s="53"/>
      <c r="AA365" s="40"/>
      <c r="AB365" s="41"/>
      <c r="AD365" s="17">
        <f t="shared" si="48"/>
        <v>16660</v>
      </c>
      <c r="AE365" s="18"/>
    </row>
    <row r="366" spans="1:512" ht="230.25" outlineLevel="4" thickBot="1" x14ac:dyDescent="0.25">
      <c r="A366" s="43" t="s">
        <v>1026</v>
      </c>
      <c r="B366" s="177" t="s">
        <v>811</v>
      </c>
      <c r="C366" s="138" t="s">
        <v>812</v>
      </c>
      <c r="D366" s="149" t="s">
        <v>822</v>
      </c>
      <c r="E366" s="87" t="s">
        <v>33</v>
      </c>
      <c r="F366" s="51" t="s">
        <v>823</v>
      </c>
      <c r="G366" s="66" t="s">
        <v>457</v>
      </c>
      <c r="H366" s="26" t="s">
        <v>127</v>
      </c>
      <c r="I366" s="27">
        <v>3</v>
      </c>
      <c r="J366" s="70" t="s">
        <v>463</v>
      </c>
      <c r="K366" s="93" t="s">
        <v>616</v>
      </c>
      <c r="L366" s="30">
        <v>2</v>
      </c>
      <c r="M366" s="89">
        <f t="shared" si="50"/>
        <v>6</v>
      </c>
      <c r="N366" s="32" t="s">
        <v>39</v>
      </c>
      <c r="O366" s="60" t="s">
        <v>143</v>
      </c>
      <c r="P366" s="90">
        <v>2</v>
      </c>
      <c r="Q366" s="91">
        <f t="shared" si="51"/>
        <v>12</v>
      </c>
      <c r="R366" s="72"/>
      <c r="S366" s="72"/>
      <c r="T366" s="72"/>
      <c r="U366" s="50"/>
      <c r="V366" s="51"/>
      <c r="W366" s="52"/>
      <c r="X366" s="51"/>
      <c r="Y366" s="51"/>
      <c r="Z366" s="53"/>
      <c r="AA366" s="40"/>
      <c r="AB366" s="41"/>
      <c r="AD366" s="17">
        <f t="shared" si="48"/>
        <v>16661</v>
      </c>
      <c r="AE366" s="18"/>
    </row>
    <row r="367" spans="1:512" ht="230.25" outlineLevel="4" thickBot="1" x14ac:dyDescent="0.25">
      <c r="A367" s="43" t="s">
        <v>1027</v>
      </c>
      <c r="B367" s="177"/>
      <c r="C367" s="138"/>
      <c r="D367" s="149"/>
      <c r="E367" s="87" t="s">
        <v>43</v>
      </c>
      <c r="F367" s="51" t="s">
        <v>825</v>
      </c>
      <c r="G367" s="66" t="s">
        <v>689</v>
      </c>
      <c r="H367" s="26" t="s">
        <v>690</v>
      </c>
      <c r="I367" s="27">
        <v>2</v>
      </c>
      <c r="J367" s="70" t="s">
        <v>463</v>
      </c>
      <c r="K367" s="29" t="s">
        <v>487</v>
      </c>
      <c r="L367" s="30">
        <v>1</v>
      </c>
      <c r="M367" s="89">
        <f>I367*L367</f>
        <v>2</v>
      </c>
      <c r="N367" s="32" t="s">
        <v>39</v>
      </c>
      <c r="O367" s="60" t="s">
        <v>395</v>
      </c>
      <c r="P367" s="90">
        <v>2</v>
      </c>
      <c r="Q367" s="91">
        <f t="shared" si="51"/>
        <v>4</v>
      </c>
      <c r="R367" s="72"/>
      <c r="S367" s="72"/>
      <c r="T367" s="72"/>
      <c r="U367" s="50"/>
      <c r="V367" s="51"/>
      <c r="W367" s="52"/>
      <c r="X367" s="51"/>
      <c r="Y367" s="51"/>
      <c r="Z367" s="53"/>
      <c r="AA367" s="40"/>
      <c r="AB367" s="41"/>
      <c r="AD367" s="17">
        <f t="shared" si="48"/>
        <v>16662</v>
      </c>
      <c r="AE367" s="18"/>
    </row>
    <row r="368" spans="1:512" ht="230.25" outlineLevel="4" thickBot="1" x14ac:dyDescent="0.25">
      <c r="A368" s="43" t="s">
        <v>1028</v>
      </c>
      <c r="B368" s="177"/>
      <c r="C368" s="138"/>
      <c r="D368" s="149"/>
      <c r="E368" s="87" t="s">
        <v>466</v>
      </c>
      <c r="F368" s="51" t="s">
        <v>827</v>
      </c>
      <c r="G368" s="37" t="s">
        <v>457</v>
      </c>
      <c r="H368" s="26" t="s">
        <v>127</v>
      </c>
      <c r="I368" s="27">
        <v>3</v>
      </c>
      <c r="J368" s="70" t="s">
        <v>468</v>
      </c>
      <c r="K368" s="93" t="s">
        <v>469</v>
      </c>
      <c r="L368" s="71">
        <v>2</v>
      </c>
      <c r="M368" s="89">
        <f t="shared" si="50"/>
        <v>6</v>
      </c>
      <c r="N368" s="32" t="s">
        <v>39</v>
      </c>
      <c r="O368" s="53" t="s">
        <v>143</v>
      </c>
      <c r="P368" s="90">
        <v>2</v>
      </c>
      <c r="Q368" s="91">
        <f t="shared" si="51"/>
        <v>12</v>
      </c>
      <c r="R368" s="72"/>
      <c r="S368" s="72"/>
      <c r="T368" s="72"/>
      <c r="U368" s="50"/>
      <c r="V368" s="51"/>
      <c r="W368" s="52"/>
      <c r="X368" s="51"/>
      <c r="Y368" s="51"/>
      <c r="Z368" s="53"/>
      <c r="AA368" s="40"/>
      <c r="AB368" s="41"/>
      <c r="AD368" s="17">
        <f t="shared" si="48"/>
        <v>16663</v>
      </c>
      <c r="AE368" s="18"/>
    </row>
    <row r="369" spans="1:31" ht="230.25" outlineLevel="4" thickBot="1" x14ac:dyDescent="0.25">
      <c r="A369" s="43" t="s">
        <v>1029</v>
      </c>
      <c r="B369" s="177" t="s">
        <v>811</v>
      </c>
      <c r="C369" s="138" t="s">
        <v>812</v>
      </c>
      <c r="D369" s="149" t="s">
        <v>1030</v>
      </c>
      <c r="E369" s="87" t="s">
        <v>33</v>
      </c>
      <c r="F369" s="51" t="s">
        <v>831</v>
      </c>
      <c r="G369" s="66" t="s">
        <v>832</v>
      </c>
      <c r="H369" s="26" t="s">
        <v>127</v>
      </c>
      <c r="I369" s="27">
        <v>3</v>
      </c>
      <c r="J369" s="70" t="s">
        <v>463</v>
      </c>
      <c r="K369" s="29" t="s">
        <v>496</v>
      </c>
      <c r="L369" s="71">
        <v>1</v>
      </c>
      <c r="M369" s="89">
        <f t="shared" si="50"/>
        <v>3</v>
      </c>
      <c r="N369" s="32" t="s">
        <v>39</v>
      </c>
      <c r="O369" s="53" t="s">
        <v>76</v>
      </c>
      <c r="P369" s="90">
        <v>5</v>
      </c>
      <c r="Q369" s="91">
        <f t="shared" si="51"/>
        <v>15</v>
      </c>
      <c r="R369" s="72"/>
      <c r="S369" s="72"/>
      <c r="T369" s="72"/>
      <c r="U369" s="50"/>
      <c r="V369" s="51"/>
      <c r="W369" s="52"/>
      <c r="X369" s="51"/>
      <c r="Y369" s="51"/>
      <c r="Z369" s="53"/>
      <c r="AA369" s="40"/>
      <c r="AB369" s="41"/>
      <c r="AD369" s="17">
        <f t="shared" si="48"/>
        <v>16664</v>
      </c>
      <c r="AE369" s="18"/>
    </row>
    <row r="370" spans="1:31" ht="230.25" outlineLevel="4" thickBot="1" x14ac:dyDescent="0.25">
      <c r="A370" s="43" t="s">
        <v>1031</v>
      </c>
      <c r="B370" s="177"/>
      <c r="C370" s="138"/>
      <c r="D370" s="149"/>
      <c r="E370" s="87" t="s">
        <v>43</v>
      </c>
      <c r="F370" s="51" t="s">
        <v>834</v>
      </c>
      <c r="G370" s="37" t="s">
        <v>457</v>
      </c>
      <c r="H370" s="88" t="s">
        <v>127</v>
      </c>
      <c r="I370" s="92">
        <v>3</v>
      </c>
      <c r="J370" s="70" t="s">
        <v>463</v>
      </c>
      <c r="K370" s="29" t="s">
        <v>487</v>
      </c>
      <c r="L370" s="30">
        <v>1</v>
      </c>
      <c r="M370" s="89">
        <f t="shared" si="50"/>
        <v>3</v>
      </c>
      <c r="N370" s="32" t="s">
        <v>39</v>
      </c>
      <c r="O370" s="60" t="s">
        <v>123</v>
      </c>
      <c r="P370" s="90">
        <v>2</v>
      </c>
      <c r="Q370" s="91">
        <f t="shared" si="51"/>
        <v>6</v>
      </c>
      <c r="R370" s="72"/>
      <c r="S370" s="72"/>
      <c r="T370" s="72"/>
      <c r="U370" s="50"/>
      <c r="V370" s="51"/>
      <c r="W370" s="52"/>
      <c r="X370" s="51"/>
      <c r="Y370" s="51"/>
      <c r="Z370" s="53"/>
      <c r="AA370" s="40"/>
      <c r="AB370" s="41"/>
      <c r="AD370" s="17">
        <f t="shared" si="48"/>
        <v>16665</v>
      </c>
      <c r="AE370" s="18"/>
    </row>
    <row r="371" spans="1:31" ht="230.25" outlineLevel="4" thickBot="1" x14ac:dyDescent="0.25">
      <c r="A371" s="43" t="s">
        <v>1032</v>
      </c>
      <c r="B371" s="177"/>
      <c r="C371" s="138"/>
      <c r="D371" s="149"/>
      <c r="E371" s="87" t="s">
        <v>466</v>
      </c>
      <c r="F371" s="51" t="s">
        <v>836</v>
      </c>
      <c r="G371" s="37" t="s">
        <v>457</v>
      </c>
      <c r="H371" s="88" t="s">
        <v>127</v>
      </c>
      <c r="I371" s="92">
        <v>3</v>
      </c>
      <c r="J371" s="70" t="s">
        <v>468</v>
      </c>
      <c r="K371" s="93" t="s">
        <v>469</v>
      </c>
      <c r="L371" s="71">
        <v>2</v>
      </c>
      <c r="M371" s="89">
        <f t="shared" si="50"/>
        <v>6</v>
      </c>
      <c r="N371" s="32" t="s">
        <v>39</v>
      </c>
      <c r="O371" s="60" t="s">
        <v>123</v>
      </c>
      <c r="P371" s="90">
        <v>2</v>
      </c>
      <c r="Q371" s="91">
        <f t="shared" si="51"/>
        <v>12</v>
      </c>
      <c r="R371" s="72"/>
      <c r="S371" s="72"/>
      <c r="T371" s="72"/>
      <c r="U371" s="50"/>
      <c r="V371" s="51"/>
      <c r="W371" s="52"/>
      <c r="X371" s="51"/>
      <c r="Y371" s="51"/>
      <c r="Z371" s="53"/>
      <c r="AA371" s="40"/>
      <c r="AB371" s="41"/>
      <c r="AD371" s="17">
        <f t="shared" si="48"/>
        <v>16666</v>
      </c>
      <c r="AE371" s="18"/>
    </row>
    <row r="372" spans="1:31" ht="230.25" outlineLevel="4" thickBot="1" x14ac:dyDescent="0.25">
      <c r="A372" s="43" t="s">
        <v>1033</v>
      </c>
      <c r="B372" s="177" t="s">
        <v>811</v>
      </c>
      <c r="C372" s="138" t="s">
        <v>812</v>
      </c>
      <c r="D372" s="149" t="s">
        <v>839</v>
      </c>
      <c r="E372" s="87" t="s">
        <v>33</v>
      </c>
      <c r="F372" s="62" t="s">
        <v>840</v>
      </c>
      <c r="G372" s="66" t="s">
        <v>832</v>
      </c>
      <c r="H372" s="26" t="s">
        <v>127</v>
      </c>
      <c r="I372" s="27">
        <v>3</v>
      </c>
      <c r="J372" s="70" t="s">
        <v>463</v>
      </c>
      <c r="K372" s="29" t="s">
        <v>487</v>
      </c>
      <c r="L372" s="30">
        <v>2</v>
      </c>
      <c r="M372" s="89">
        <f t="shared" si="50"/>
        <v>6</v>
      </c>
      <c r="N372" s="32" t="s">
        <v>39</v>
      </c>
      <c r="O372" s="53" t="s">
        <v>76</v>
      </c>
      <c r="P372" s="90">
        <v>5</v>
      </c>
      <c r="Q372" s="91">
        <f t="shared" si="51"/>
        <v>30</v>
      </c>
      <c r="R372" s="72"/>
      <c r="S372" s="72"/>
      <c r="T372" s="72"/>
      <c r="U372" s="50"/>
      <c r="V372" s="51"/>
      <c r="W372" s="52"/>
      <c r="X372" s="51"/>
      <c r="Y372" s="51"/>
      <c r="Z372" s="53"/>
      <c r="AA372" s="40"/>
      <c r="AB372" s="41"/>
      <c r="AD372" s="17">
        <f t="shared" si="48"/>
        <v>16667</v>
      </c>
      <c r="AE372" s="18"/>
    </row>
    <row r="373" spans="1:31" ht="230.25" outlineLevel="4" thickBot="1" x14ac:dyDescent="0.25">
      <c r="A373" s="43" t="s">
        <v>1034</v>
      </c>
      <c r="B373" s="177"/>
      <c r="C373" s="138"/>
      <c r="D373" s="149"/>
      <c r="E373" s="87" t="s">
        <v>43</v>
      </c>
      <c r="F373" s="62" t="s">
        <v>834</v>
      </c>
      <c r="G373" s="66" t="s">
        <v>457</v>
      </c>
      <c r="H373" s="26" t="s">
        <v>127</v>
      </c>
      <c r="I373" s="27">
        <v>3</v>
      </c>
      <c r="J373" s="70" t="s">
        <v>463</v>
      </c>
      <c r="K373" s="29" t="s">
        <v>487</v>
      </c>
      <c r="L373" s="30">
        <v>2</v>
      </c>
      <c r="M373" s="89">
        <f t="shared" si="50"/>
        <v>6</v>
      </c>
      <c r="N373" s="32" t="s">
        <v>39</v>
      </c>
      <c r="O373" s="60" t="s">
        <v>123</v>
      </c>
      <c r="P373" s="90">
        <v>2</v>
      </c>
      <c r="Q373" s="91">
        <f t="shared" si="51"/>
        <v>12</v>
      </c>
      <c r="R373" s="72"/>
      <c r="S373" s="72"/>
      <c r="T373" s="72"/>
      <c r="U373" s="50"/>
      <c r="V373" s="51"/>
      <c r="W373" s="52"/>
      <c r="X373" s="51"/>
      <c r="Y373" s="51"/>
      <c r="Z373" s="53"/>
      <c r="AA373" s="40"/>
      <c r="AB373" s="41"/>
      <c r="AD373" s="17">
        <f t="shared" si="48"/>
        <v>16668</v>
      </c>
      <c r="AE373" s="18"/>
    </row>
    <row r="374" spans="1:31" ht="230.25" outlineLevel="4" thickBot="1" x14ac:dyDescent="0.25">
      <c r="A374" s="43" t="s">
        <v>1035</v>
      </c>
      <c r="B374" s="177"/>
      <c r="C374" s="138"/>
      <c r="D374" s="149"/>
      <c r="E374" s="87" t="s">
        <v>466</v>
      </c>
      <c r="F374" s="51" t="s">
        <v>836</v>
      </c>
      <c r="G374" s="37" t="s">
        <v>457</v>
      </c>
      <c r="H374" s="26" t="s">
        <v>127</v>
      </c>
      <c r="I374" s="27">
        <v>3</v>
      </c>
      <c r="J374" s="70" t="s">
        <v>468</v>
      </c>
      <c r="K374" s="93" t="s">
        <v>469</v>
      </c>
      <c r="L374" s="71">
        <v>2</v>
      </c>
      <c r="M374" s="89">
        <f t="shared" si="50"/>
        <v>6</v>
      </c>
      <c r="N374" s="32" t="s">
        <v>39</v>
      </c>
      <c r="O374" s="60" t="s">
        <v>123</v>
      </c>
      <c r="P374" s="90">
        <v>2</v>
      </c>
      <c r="Q374" s="91">
        <f t="shared" si="51"/>
        <v>12</v>
      </c>
      <c r="R374" s="72"/>
      <c r="S374" s="72"/>
      <c r="T374" s="72"/>
      <c r="U374" s="50"/>
      <c r="V374" s="51"/>
      <c r="W374" s="52"/>
      <c r="X374" s="51"/>
      <c r="Y374" s="51"/>
      <c r="Z374" s="53"/>
      <c r="AA374" s="40"/>
      <c r="AB374" s="41"/>
      <c r="AD374" s="17">
        <f t="shared" si="48"/>
        <v>16669</v>
      </c>
      <c r="AE374" s="18"/>
    </row>
    <row r="375" spans="1:31" ht="230.25" outlineLevel="4" thickBot="1" x14ac:dyDescent="0.25">
      <c r="A375" s="43" t="s">
        <v>843</v>
      </c>
      <c r="B375" s="174" t="s">
        <v>844</v>
      </c>
      <c r="C375" s="75" t="s">
        <v>845</v>
      </c>
      <c r="D375" s="147" t="s">
        <v>846</v>
      </c>
      <c r="E375" s="48" t="s">
        <v>847</v>
      </c>
      <c r="F375" s="48" t="s">
        <v>848</v>
      </c>
      <c r="G375" s="48" t="s">
        <v>438</v>
      </c>
      <c r="H375" s="39" t="s">
        <v>439</v>
      </c>
      <c r="I375" s="69">
        <v>1</v>
      </c>
      <c r="J375" s="70" t="s">
        <v>84</v>
      </c>
      <c r="K375" s="93" t="s">
        <v>849</v>
      </c>
      <c r="L375" s="71">
        <v>1</v>
      </c>
      <c r="M375" s="89">
        <f t="shared" si="50"/>
        <v>1</v>
      </c>
      <c r="N375" s="32" t="s">
        <v>39</v>
      </c>
      <c r="O375" s="53" t="s">
        <v>76</v>
      </c>
      <c r="P375" s="71">
        <v>5</v>
      </c>
      <c r="Q375" s="97">
        <f t="shared" si="33"/>
        <v>5</v>
      </c>
      <c r="R375" s="72"/>
      <c r="S375" s="72"/>
      <c r="T375" s="72"/>
      <c r="U375" s="50"/>
      <c r="V375" s="51"/>
      <c r="W375" s="52"/>
      <c r="X375" s="51"/>
      <c r="Y375" s="51"/>
      <c r="Z375" s="53"/>
      <c r="AA375" s="40"/>
      <c r="AB375" s="41"/>
      <c r="AD375" s="17">
        <f t="shared" si="48"/>
        <v>6006</v>
      </c>
      <c r="AE375" s="18">
        <f t="shared" si="49"/>
        <v>6006</v>
      </c>
    </row>
    <row r="376" spans="1:31" ht="230.25" outlineLevel="4" thickBot="1" x14ac:dyDescent="0.25">
      <c r="A376" s="43" t="s">
        <v>850</v>
      </c>
      <c r="B376" s="175"/>
      <c r="C376" s="77"/>
      <c r="D376" s="148"/>
      <c r="E376" s="48" t="s">
        <v>851</v>
      </c>
      <c r="F376" s="48" t="s">
        <v>852</v>
      </c>
      <c r="G376" s="48" t="s">
        <v>191</v>
      </c>
      <c r="H376" s="88" t="s">
        <v>127</v>
      </c>
      <c r="I376" s="69">
        <v>3</v>
      </c>
      <c r="J376" s="70" t="s">
        <v>74</v>
      </c>
      <c r="K376" s="93" t="s">
        <v>616</v>
      </c>
      <c r="L376" s="71">
        <v>1</v>
      </c>
      <c r="M376" s="89">
        <f t="shared" si="50"/>
        <v>3</v>
      </c>
      <c r="N376" s="32" t="s">
        <v>39</v>
      </c>
      <c r="O376" s="60" t="s">
        <v>123</v>
      </c>
      <c r="P376" s="71">
        <v>3</v>
      </c>
      <c r="Q376" s="97">
        <f t="shared" si="33"/>
        <v>9</v>
      </c>
      <c r="R376" s="72"/>
      <c r="S376" s="72"/>
      <c r="T376" s="72"/>
      <c r="U376" s="50"/>
      <c r="V376" s="51"/>
      <c r="W376" s="52"/>
      <c r="X376" s="51"/>
      <c r="Y376" s="51"/>
      <c r="Z376" s="53"/>
      <c r="AA376" s="40"/>
      <c r="AB376" s="41"/>
      <c r="AD376" s="17">
        <f t="shared" si="48"/>
        <v>6007</v>
      </c>
      <c r="AE376" s="18">
        <f t="shared" si="49"/>
        <v>6007</v>
      </c>
    </row>
    <row r="377" spans="1:31" ht="230.25" outlineLevel="4" thickBot="1" x14ac:dyDescent="0.25">
      <c r="A377" s="43" t="s">
        <v>853</v>
      </c>
      <c r="B377" s="150" t="s">
        <v>854</v>
      </c>
      <c r="C377" s="75" t="s">
        <v>855</v>
      </c>
      <c r="D377" s="147" t="s">
        <v>856</v>
      </c>
      <c r="E377" s="48" t="s">
        <v>198</v>
      </c>
      <c r="F377" s="48" t="s">
        <v>857</v>
      </c>
      <c r="G377" s="48" t="s">
        <v>563</v>
      </c>
      <c r="H377" s="39" t="s">
        <v>61</v>
      </c>
      <c r="I377" s="69">
        <v>1</v>
      </c>
      <c r="J377" s="70" t="s">
        <v>186</v>
      </c>
      <c r="K377" s="93" t="s">
        <v>75</v>
      </c>
      <c r="L377" s="71">
        <v>2</v>
      </c>
      <c r="M377" s="89">
        <f t="shared" si="50"/>
        <v>2</v>
      </c>
      <c r="N377" s="32" t="s">
        <v>39</v>
      </c>
      <c r="O377" s="53" t="s">
        <v>76</v>
      </c>
      <c r="P377" s="71">
        <v>5</v>
      </c>
      <c r="Q377" s="97">
        <f t="shared" si="33"/>
        <v>10</v>
      </c>
      <c r="R377" s="72"/>
      <c r="S377" s="72"/>
      <c r="T377" s="72"/>
      <c r="U377" s="50"/>
      <c r="V377" s="51"/>
      <c r="W377" s="52"/>
      <c r="X377" s="51"/>
      <c r="Y377" s="51"/>
      <c r="Z377" s="53"/>
      <c r="AA377" s="40"/>
      <c r="AB377" s="41"/>
      <c r="AD377" s="17">
        <f t="shared" si="48"/>
        <v>10549</v>
      </c>
      <c r="AE377" s="18"/>
    </row>
    <row r="378" spans="1:31" ht="230.25" outlineLevel="4" thickBot="1" x14ac:dyDescent="0.25">
      <c r="A378" s="43" t="s">
        <v>858</v>
      </c>
      <c r="B378" s="173"/>
      <c r="C378" s="83"/>
      <c r="D378" s="176"/>
      <c r="E378" s="48" t="s">
        <v>565</v>
      </c>
      <c r="F378" s="48" t="s">
        <v>859</v>
      </c>
      <c r="G378" s="37" t="s">
        <v>860</v>
      </c>
      <c r="H378" s="88" t="s">
        <v>127</v>
      </c>
      <c r="I378" s="69">
        <v>3</v>
      </c>
      <c r="J378" s="70" t="s">
        <v>192</v>
      </c>
      <c r="K378" s="93" t="s">
        <v>75</v>
      </c>
      <c r="L378" s="71">
        <v>2</v>
      </c>
      <c r="M378" s="89">
        <f t="shared" si="50"/>
        <v>6</v>
      </c>
      <c r="N378" s="32" t="s">
        <v>39</v>
      </c>
      <c r="O378" s="33" t="s">
        <v>143</v>
      </c>
      <c r="P378" s="71">
        <v>1</v>
      </c>
      <c r="Q378" s="97">
        <f t="shared" si="33"/>
        <v>6</v>
      </c>
      <c r="R378" s="72"/>
      <c r="S378" s="72"/>
      <c r="T378" s="72"/>
      <c r="U378" s="50"/>
      <c r="V378" s="51"/>
      <c r="W378" s="52"/>
      <c r="X378" s="51"/>
      <c r="Y378" s="51"/>
      <c r="Z378" s="53"/>
      <c r="AA378" s="40"/>
      <c r="AB378" s="41"/>
      <c r="AD378" s="17">
        <f t="shared" si="48"/>
        <v>10550</v>
      </c>
      <c r="AE378" s="18"/>
    </row>
    <row r="379" spans="1:31" ht="230.25" outlineLevel="4" thickBot="1" x14ac:dyDescent="0.25">
      <c r="A379" s="43" t="s">
        <v>861</v>
      </c>
      <c r="B379" s="151"/>
      <c r="C379" s="77"/>
      <c r="D379" s="148"/>
      <c r="E379" s="48" t="s">
        <v>570</v>
      </c>
      <c r="F379" s="48" t="s">
        <v>859</v>
      </c>
      <c r="G379" s="37" t="s">
        <v>598</v>
      </c>
      <c r="H379" s="88" t="s">
        <v>127</v>
      </c>
      <c r="I379" s="69">
        <v>3</v>
      </c>
      <c r="J379" s="70" t="s">
        <v>192</v>
      </c>
      <c r="K379" s="93" t="s">
        <v>75</v>
      </c>
      <c r="L379" s="71">
        <v>2</v>
      </c>
      <c r="M379" s="89">
        <f t="shared" si="50"/>
        <v>6</v>
      </c>
      <c r="N379" s="32" t="s">
        <v>39</v>
      </c>
      <c r="O379" s="33" t="s">
        <v>143</v>
      </c>
      <c r="P379" s="71">
        <v>2</v>
      </c>
      <c r="Q379" s="91">
        <f t="shared" si="33"/>
        <v>12</v>
      </c>
      <c r="R379" s="72"/>
      <c r="S379" s="72"/>
      <c r="T379" s="72"/>
      <c r="U379" s="50"/>
      <c r="V379" s="51"/>
      <c r="W379" s="52"/>
      <c r="X379" s="51"/>
      <c r="Y379" s="51"/>
      <c r="Z379" s="53"/>
      <c r="AA379" s="40"/>
      <c r="AB379" s="41"/>
      <c r="AD379" s="17">
        <f t="shared" si="48"/>
        <v>10551</v>
      </c>
      <c r="AE379" s="18"/>
    </row>
    <row r="380" spans="1:31" ht="230.25" outlineLevel="4" thickBot="1" x14ac:dyDescent="0.25">
      <c r="A380" s="43" t="s">
        <v>862</v>
      </c>
      <c r="B380" s="150" t="s">
        <v>863</v>
      </c>
      <c r="C380" s="75" t="s">
        <v>864</v>
      </c>
      <c r="D380" s="147" t="s">
        <v>865</v>
      </c>
      <c r="E380" s="48" t="s">
        <v>198</v>
      </c>
      <c r="F380" s="48" t="s">
        <v>857</v>
      </c>
      <c r="G380" s="48" t="s">
        <v>563</v>
      </c>
      <c r="H380" s="39" t="s">
        <v>61</v>
      </c>
      <c r="I380" s="69">
        <v>1</v>
      </c>
      <c r="J380" s="70" t="s">
        <v>186</v>
      </c>
      <c r="K380" s="93" t="s">
        <v>75</v>
      </c>
      <c r="L380" s="71">
        <v>2</v>
      </c>
      <c r="M380" s="89">
        <f t="shared" si="50"/>
        <v>2</v>
      </c>
      <c r="N380" s="32" t="s">
        <v>39</v>
      </c>
      <c r="O380" s="53" t="s">
        <v>76</v>
      </c>
      <c r="P380" s="71">
        <v>5</v>
      </c>
      <c r="Q380" s="97">
        <f t="shared" si="33"/>
        <v>10</v>
      </c>
      <c r="R380" s="72"/>
      <c r="S380" s="72"/>
      <c r="T380" s="72"/>
      <c r="U380" s="50"/>
      <c r="V380" s="51"/>
      <c r="W380" s="52"/>
      <c r="X380" s="51"/>
      <c r="Y380" s="51"/>
      <c r="Z380" s="53"/>
      <c r="AA380" s="40"/>
      <c r="AB380" s="41"/>
      <c r="AD380" s="17">
        <f t="shared" si="48"/>
        <v>6008</v>
      </c>
      <c r="AE380" s="18">
        <f t="shared" si="49"/>
        <v>6008</v>
      </c>
    </row>
    <row r="381" spans="1:31" ht="230.25" outlineLevel="4" thickBot="1" x14ac:dyDescent="0.25">
      <c r="A381" s="43" t="s">
        <v>866</v>
      </c>
      <c r="B381" s="173"/>
      <c r="C381" s="83"/>
      <c r="D381" s="176"/>
      <c r="E381" s="48" t="s">
        <v>565</v>
      </c>
      <c r="F381" s="48" t="s">
        <v>867</v>
      </c>
      <c r="G381" s="48" t="s">
        <v>868</v>
      </c>
      <c r="H381" s="39" t="s">
        <v>869</v>
      </c>
      <c r="I381" s="69">
        <v>2</v>
      </c>
      <c r="J381" s="70" t="s">
        <v>192</v>
      </c>
      <c r="K381" s="93" t="s">
        <v>75</v>
      </c>
      <c r="L381" s="71">
        <v>2</v>
      </c>
      <c r="M381" s="89">
        <f t="shared" si="50"/>
        <v>4</v>
      </c>
      <c r="N381" s="32" t="s">
        <v>39</v>
      </c>
      <c r="O381" s="53" t="s">
        <v>76</v>
      </c>
      <c r="P381" s="71">
        <v>5</v>
      </c>
      <c r="Q381" s="97">
        <f t="shared" si="33"/>
        <v>20</v>
      </c>
      <c r="R381" s="72"/>
      <c r="S381" s="72"/>
      <c r="T381" s="72"/>
      <c r="U381" s="50"/>
      <c r="V381" s="51"/>
      <c r="W381" s="52"/>
      <c r="X381" s="51"/>
      <c r="Y381" s="51"/>
      <c r="Z381" s="53"/>
      <c r="AA381" s="40"/>
      <c r="AB381" s="41"/>
      <c r="AD381" s="17">
        <f t="shared" si="48"/>
        <v>6009</v>
      </c>
      <c r="AE381" s="18">
        <f t="shared" si="49"/>
        <v>6009</v>
      </c>
    </row>
    <row r="382" spans="1:31" ht="332.25" outlineLevel="4" thickBot="1" x14ac:dyDescent="0.25">
      <c r="A382" s="43" t="s">
        <v>870</v>
      </c>
      <c r="B382" s="151"/>
      <c r="C382" s="77"/>
      <c r="D382" s="148"/>
      <c r="E382" s="48" t="s">
        <v>570</v>
      </c>
      <c r="F382" s="48" t="s">
        <v>867</v>
      </c>
      <c r="G382" s="48" t="s">
        <v>868</v>
      </c>
      <c r="H382" s="39" t="s">
        <v>869</v>
      </c>
      <c r="I382" s="69">
        <v>2</v>
      </c>
      <c r="J382" s="70" t="s">
        <v>192</v>
      </c>
      <c r="K382" s="93" t="s">
        <v>871</v>
      </c>
      <c r="L382" s="71">
        <v>2</v>
      </c>
      <c r="M382" s="89">
        <f t="shared" si="50"/>
        <v>4</v>
      </c>
      <c r="N382" s="32" t="s">
        <v>39</v>
      </c>
      <c r="O382" s="33" t="s">
        <v>166</v>
      </c>
      <c r="P382" s="71">
        <v>2</v>
      </c>
      <c r="Q382" s="91">
        <f t="shared" si="33"/>
        <v>8</v>
      </c>
      <c r="R382" s="72"/>
      <c r="S382" s="72"/>
      <c r="T382" s="72"/>
      <c r="U382" s="50"/>
      <c r="V382" s="51"/>
      <c r="W382" s="52"/>
      <c r="X382" s="51"/>
      <c r="Y382" s="51"/>
      <c r="Z382" s="53"/>
      <c r="AA382" s="40"/>
      <c r="AB382" s="41"/>
      <c r="AD382" s="17">
        <f t="shared" si="48"/>
        <v>-9809</v>
      </c>
      <c r="AE382" s="18">
        <f t="shared" si="49"/>
        <v>9809</v>
      </c>
    </row>
    <row r="383" spans="1:31" ht="230.25" outlineLevel="4" thickBot="1" x14ac:dyDescent="0.25">
      <c r="A383" s="43" t="s">
        <v>872</v>
      </c>
      <c r="B383" s="150" t="s">
        <v>873</v>
      </c>
      <c r="C383" s="75" t="s">
        <v>1036</v>
      </c>
      <c r="D383" s="147" t="s">
        <v>362</v>
      </c>
      <c r="E383" s="48" t="s">
        <v>875</v>
      </c>
      <c r="F383" s="87" t="s">
        <v>876</v>
      </c>
      <c r="G383" s="87" t="s">
        <v>877</v>
      </c>
      <c r="H383" s="88" t="s">
        <v>107</v>
      </c>
      <c r="I383" s="69">
        <v>1</v>
      </c>
      <c r="J383" s="70" t="s">
        <v>174</v>
      </c>
      <c r="K383" s="93" t="s">
        <v>878</v>
      </c>
      <c r="L383" s="71">
        <v>1</v>
      </c>
      <c r="M383" s="89">
        <f t="shared" si="50"/>
        <v>1</v>
      </c>
      <c r="N383" s="32" t="s">
        <v>39</v>
      </c>
      <c r="O383" s="101" t="s">
        <v>76</v>
      </c>
      <c r="P383" s="71">
        <v>5</v>
      </c>
      <c r="Q383" s="91">
        <f t="shared" si="33"/>
        <v>5</v>
      </c>
      <c r="R383" s="72"/>
      <c r="S383" s="72"/>
      <c r="T383" s="72"/>
      <c r="U383" s="50"/>
      <c r="V383" s="51"/>
      <c r="W383" s="52"/>
      <c r="X383" s="51"/>
      <c r="Y383" s="51"/>
      <c r="Z383" s="53"/>
      <c r="AA383" s="40"/>
      <c r="AB383" s="41"/>
      <c r="AD383" s="17">
        <f t="shared" si="48"/>
        <v>-9810</v>
      </c>
      <c r="AE383" s="18">
        <f t="shared" si="49"/>
        <v>9810</v>
      </c>
    </row>
    <row r="384" spans="1:31" ht="230.25" outlineLevel="4" thickBot="1" x14ac:dyDescent="0.25">
      <c r="A384" s="43" t="s">
        <v>879</v>
      </c>
      <c r="B384" s="173"/>
      <c r="C384" s="83"/>
      <c r="D384" s="148"/>
      <c r="E384" s="48" t="s">
        <v>880</v>
      </c>
      <c r="F384" s="87" t="s">
        <v>881</v>
      </c>
      <c r="G384" s="87" t="s">
        <v>860</v>
      </c>
      <c r="H384" s="88" t="s">
        <v>127</v>
      </c>
      <c r="I384" s="69">
        <v>3</v>
      </c>
      <c r="J384" s="70" t="s">
        <v>882</v>
      </c>
      <c r="K384" s="93" t="s">
        <v>883</v>
      </c>
      <c r="L384" s="71">
        <v>1</v>
      </c>
      <c r="M384" s="89">
        <f t="shared" si="50"/>
        <v>3</v>
      </c>
      <c r="N384" s="32" t="s">
        <v>39</v>
      </c>
      <c r="O384" s="60" t="s">
        <v>884</v>
      </c>
      <c r="P384" s="71">
        <v>1</v>
      </c>
      <c r="Q384" s="91">
        <f t="shared" si="33"/>
        <v>3</v>
      </c>
      <c r="R384" s="72"/>
      <c r="S384" s="72"/>
      <c r="T384" s="72"/>
      <c r="U384" s="50"/>
      <c r="V384" s="51"/>
      <c r="W384" s="52"/>
      <c r="X384" s="51"/>
      <c r="Y384" s="51"/>
      <c r="Z384" s="53"/>
      <c r="AA384" s="40"/>
      <c r="AB384" s="41"/>
      <c r="AD384" s="17">
        <f t="shared" si="48"/>
        <v>-9811</v>
      </c>
      <c r="AE384" s="18">
        <f t="shared" si="49"/>
        <v>9811</v>
      </c>
    </row>
    <row r="385" spans="1:512" ht="230.25" outlineLevel="4" thickBot="1" x14ac:dyDescent="0.25">
      <c r="A385" s="43" t="s">
        <v>885</v>
      </c>
      <c r="B385" s="149" t="s">
        <v>886</v>
      </c>
      <c r="C385" s="171" t="s">
        <v>887</v>
      </c>
      <c r="D385" s="149" t="s">
        <v>888</v>
      </c>
      <c r="E385" s="48" t="s">
        <v>889</v>
      </c>
      <c r="F385" s="48" t="s">
        <v>890</v>
      </c>
      <c r="G385" s="87" t="s">
        <v>860</v>
      </c>
      <c r="H385" s="88" t="s">
        <v>127</v>
      </c>
      <c r="I385" s="69">
        <v>2</v>
      </c>
      <c r="J385" s="48" t="s">
        <v>463</v>
      </c>
      <c r="K385" s="48" t="s">
        <v>891</v>
      </c>
      <c r="L385" s="71">
        <v>1</v>
      </c>
      <c r="M385" s="103">
        <f t="shared" si="50"/>
        <v>2</v>
      </c>
      <c r="N385" s="32" t="s">
        <v>39</v>
      </c>
      <c r="O385" s="33" t="s">
        <v>143</v>
      </c>
      <c r="P385" s="51">
        <v>2</v>
      </c>
      <c r="Q385" s="91">
        <f>M385*P385</f>
        <v>4</v>
      </c>
      <c r="R385" s="72"/>
      <c r="S385" s="72"/>
      <c r="T385" s="72"/>
      <c r="U385" s="50"/>
      <c r="V385" s="51"/>
      <c r="W385" s="52"/>
      <c r="X385" s="51"/>
      <c r="Y385" s="51"/>
      <c r="Z385" s="53"/>
      <c r="AA385" s="40"/>
      <c r="AB385" s="41"/>
      <c r="AD385" s="17">
        <f t="shared" si="48"/>
        <v>-9812</v>
      </c>
      <c r="AE385" s="18"/>
    </row>
    <row r="386" spans="1:512" ht="230.25" outlineLevel="4" thickBot="1" x14ac:dyDescent="0.25">
      <c r="A386" s="43" t="s">
        <v>892</v>
      </c>
      <c r="B386" s="149"/>
      <c r="C386" s="172"/>
      <c r="D386" s="149"/>
      <c r="E386" s="48" t="s">
        <v>893</v>
      </c>
      <c r="F386" s="48" t="s">
        <v>894</v>
      </c>
      <c r="G386" s="48" t="s">
        <v>648</v>
      </c>
      <c r="H386" s="48" t="s">
        <v>107</v>
      </c>
      <c r="I386" s="69">
        <v>1</v>
      </c>
      <c r="J386" s="48" t="s">
        <v>463</v>
      </c>
      <c r="K386" s="48" t="s">
        <v>464</v>
      </c>
      <c r="L386" s="71">
        <v>1</v>
      </c>
      <c r="M386" s="103">
        <f t="shared" si="50"/>
        <v>1</v>
      </c>
      <c r="N386" s="32" t="s">
        <v>39</v>
      </c>
      <c r="O386" s="51" t="s">
        <v>76</v>
      </c>
      <c r="P386" s="71">
        <v>5</v>
      </c>
      <c r="Q386" s="91">
        <f>M386*P386</f>
        <v>5</v>
      </c>
      <c r="R386" s="72"/>
      <c r="S386" s="72"/>
      <c r="T386" s="72"/>
      <c r="U386" s="50"/>
      <c r="V386" s="51"/>
      <c r="W386" s="52"/>
      <c r="X386" s="51"/>
      <c r="Y386" s="51"/>
      <c r="Z386" s="53"/>
      <c r="AA386" s="40"/>
      <c r="AB386" s="41"/>
      <c r="AD386" s="17">
        <f t="shared" si="48"/>
        <v>-9813</v>
      </c>
      <c r="AE386" s="18"/>
    </row>
    <row r="387" spans="1:512" ht="230.25" outlineLevel="4" thickBot="1" x14ac:dyDescent="0.25">
      <c r="A387" s="43" t="s">
        <v>1037</v>
      </c>
      <c r="B387" s="149" t="s">
        <v>1038</v>
      </c>
      <c r="C387" s="171" t="s">
        <v>1039</v>
      </c>
      <c r="D387" s="149" t="s">
        <v>888</v>
      </c>
      <c r="E387" s="48" t="s">
        <v>889</v>
      </c>
      <c r="F387" s="48" t="s">
        <v>894</v>
      </c>
      <c r="G387" s="48" t="s">
        <v>648</v>
      </c>
      <c r="H387" s="48" t="s">
        <v>107</v>
      </c>
      <c r="I387" s="69">
        <v>1</v>
      </c>
      <c r="J387" s="48" t="s">
        <v>463</v>
      </c>
      <c r="K387" s="48" t="s">
        <v>464</v>
      </c>
      <c r="L387" s="71">
        <v>1</v>
      </c>
      <c r="M387" s="103">
        <f t="shared" si="50"/>
        <v>1</v>
      </c>
      <c r="N387" s="32" t="s">
        <v>39</v>
      </c>
      <c r="O387" s="51" t="s">
        <v>76</v>
      </c>
      <c r="P387" s="71">
        <v>5</v>
      </c>
      <c r="Q387" s="91">
        <f>M387*P387</f>
        <v>5</v>
      </c>
      <c r="R387" s="72"/>
      <c r="S387" s="72"/>
      <c r="T387" s="72"/>
      <c r="U387" s="50"/>
      <c r="V387" s="51"/>
      <c r="W387" s="52"/>
      <c r="X387" s="51"/>
      <c r="Y387" s="51"/>
      <c r="Z387" s="53"/>
      <c r="AA387" s="40"/>
      <c r="AB387" s="41"/>
      <c r="AD387" s="17">
        <f t="shared" si="48"/>
        <v>10574</v>
      </c>
      <c r="AE387" s="18">
        <f t="shared" si="49"/>
        <v>574</v>
      </c>
    </row>
    <row r="388" spans="1:512" ht="230.25" outlineLevel="4" thickBot="1" x14ac:dyDescent="0.25">
      <c r="A388" s="43" t="s">
        <v>1040</v>
      </c>
      <c r="B388" s="149"/>
      <c r="C388" s="172"/>
      <c r="D388" s="149"/>
      <c r="E388" s="48" t="s">
        <v>893</v>
      </c>
      <c r="F388" s="48" t="s">
        <v>890</v>
      </c>
      <c r="G388" s="87" t="s">
        <v>860</v>
      </c>
      <c r="H388" s="88" t="s">
        <v>127</v>
      </c>
      <c r="I388" s="69">
        <v>2</v>
      </c>
      <c r="J388" s="48" t="s">
        <v>463</v>
      </c>
      <c r="K388" s="48" t="s">
        <v>891</v>
      </c>
      <c r="L388" s="71">
        <v>1</v>
      </c>
      <c r="M388" s="103">
        <f t="shared" si="50"/>
        <v>2</v>
      </c>
      <c r="N388" s="32" t="s">
        <v>39</v>
      </c>
      <c r="O388" s="33" t="s">
        <v>143</v>
      </c>
      <c r="P388" s="51">
        <v>2</v>
      </c>
      <c r="Q388" s="91">
        <f>M388*P388</f>
        <v>4</v>
      </c>
      <c r="R388" s="72"/>
      <c r="S388" s="72"/>
      <c r="T388" s="72"/>
      <c r="U388" s="50"/>
      <c r="V388" s="51"/>
      <c r="W388" s="52"/>
      <c r="X388" s="51"/>
      <c r="Y388" s="51"/>
      <c r="Z388" s="53"/>
      <c r="AA388" s="40"/>
      <c r="AB388" s="41"/>
      <c r="AD388" s="17">
        <f t="shared" si="48"/>
        <v>10575</v>
      </c>
      <c r="AE388" s="18">
        <f t="shared" si="49"/>
        <v>575</v>
      </c>
    </row>
    <row r="389" spans="1:512" ht="332.25" outlineLevel="4" thickBot="1" x14ac:dyDescent="0.25">
      <c r="A389" s="43" t="s">
        <v>1041</v>
      </c>
      <c r="B389" s="149" t="s">
        <v>1042</v>
      </c>
      <c r="C389" s="171" t="s">
        <v>1043</v>
      </c>
      <c r="D389" s="149" t="s">
        <v>1044</v>
      </c>
      <c r="E389" s="48" t="s">
        <v>889</v>
      </c>
      <c r="F389" s="48" t="s">
        <v>1045</v>
      </c>
      <c r="G389" s="48" t="s">
        <v>868</v>
      </c>
      <c r="H389" s="39" t="s">
        <v>869</v>
      </c>
      <c r="I389" s="69">
        <v>2</v>
      </c>
      <c r="J389" s="70" t="s">
        <v>192</v>
      </c>
      <c r="K389" s="93" t="s">
        <v>871</v>
      </c>
      <c r="L389" s="71">
        <v>1</v>
      </c>
      <c r="M389" s="89">
        <v>3</v>
      </c>
      <c r="N389" s="32" t="s">
        <v>39</v>
      </c>
      <c r="O389" s="33" t="s">
        <v>166</v>
      </c>
      <c r="P389" s="51">
        <v>2</v>
      </c>
      <c r="Q389" s="91">
        <f t="shared" ref="Q389:Q394" si="52">M389*P389</f>
        <v>6</v>
      </c>
      <c r="R389" s="72"/>
      <c r="S389" s="72"/>
      <c r="T389" s="72"/>
      <c r="U389" s="50"/>
      <c r="V389" s="51"/>
      <c r="W389" s="52"/>
      <c r="X389" s="51"/>
      <c r="Y389" s="51"/>
      <c r="Z389" s="53"/>
      <c r="AA389" s="40"/>
      <c r="AB389" s="41"/>
      <c r="AD389" s="17">
        <f t="shared" ref="AD389:AD452" si="53">VALUE(RIGHT((IF(A389="",0,A389)),5))</f>
        <v>-9814</v>
      </c>
      <c r="AE389" s="18">
        <f t="shared" si="49"/>
        <v>9814</v>
      </c>
    </row>
    <row r="390" spans="1:512" ht="230.25" outlineLevel="4" thickBot="1" x14ac:dyDescent="0.25">
      <c r="A390" s="43" t="s">
        <v>895</v>
      </c>
      <c r="B390" s="149"/>
      <c r="C390" s="172"/>
      <c r="D390" s="149"/>
      <c r="E390" s="48" t="s">
        <v>893</v>
      </c>
      <c r="F390" s="48" t="s">
        <v>894</v>
      </c>
      <c r="G390" s="48" t="s">
        <v>648</v>
      </c>
      <c r="H390" s="48" t="s">
        <v>107</v>
      </c>
      <c r="I390" s="69">
        <v>1</v>
      </c>
      <c r="J390" s="48" t="s">
        <v>463</v>
      </c>
      <c r="K390" s="48" t="s">
        <v>464</v>
      </c>
      <c r="L390" s="71">
        <v>1</v>
      </c>
      <c r="M390" s="103">
        <f t="shared" si="50"/>
        <v>1</v>
      </c>
      <c r="N390" s="32" t="s">
        <v>39</v>
      </c>
      <c r="O390" s="51" t="s">
        <v>76</v>
      </c>
      <c r="P390" s="71">
        <v>5</v>
      </c>
      <c r="Q390" s="91">
        <f t="shared" si="52"/>
        <v>5</v>
      </c>
      <c r="R390" s="72"/>
      <c r="S390" s="72"/>
      <c r="T390" s="72"/>
      <c r="U390" s="50"/>
      <c r="V390" s="51"/>
      <c r="W390" s="52"/>
      <c r="X390" s="51"/>
      <c r="Y390" s="51"/>
      <c r="Z390" s="53"/>
      <c r="AA390" s="40"/>
      <c r="AB390" s="41"/>
      <c r="AD390" s="17">
        <f t="shared" si="53"/>
        <v>-9815</v>
      </c>
      <c r="AE390" s="18">
        <f t="shared" si="49"/>
        <v>9815</v>
      </c>
    </row>
    <row r="391" spans="1:512" ht="230.25" outlineLevel="4" thickBot="1" x14ac:dyDescent="0.25">
      <c r="A391" s="10" t="s">
        <v>1046</v>
      </c>
      <c r="B391" s="149" t="s">
        <v>1047</v>
      </c>
      <c r="C391" s="171" t="s">
        <v>1048</v>
      </c>
      <c r="D391" s="149" t="s">
        <v>1044</v>
      </c>
      <c r="E391" s="48" t="s">
        <v>889</v>
      </c>
      <c r="F391" s="48" t="s">
        <v>894</v>
      </c>
      <c r="G391" s="48" t="s">
        <v>648</v>
      </c>
      <c r="H391" s="48" t="s">
        <v>107</v>
      </c>
      <c r="I391" s="69">
        <v>1</v>
      </c>
      <c r="J391" s="48" t="s">
        <v>463</v>
      </c>
      <c r="K391" s="48" t="s">
        <v>464</v>
      </c>
      <c r="L391" s="71">
        <v>1</v>
      </c>
      <c r="M391" s="103">
        <f t="shared" si="50"/>
        <v>1</v>
      </c>
      <c r="N391" s="32" t="s">
        <v>39</v>
      </c>
      <c r="O391" s="51" t="s">
        <v>76</v>
      </c>
      <c r="P391" s="71">
        <v>5</v>
      </c>
      <c r="Q391" s="91">
        <f t="shared" si="52"/>
        <v>5</v>
      </c>
      <c r="R391" s="72"/>
      <c r="S391" s="72"/>
      <c r="T391" s="72"/>
      <c r="U391" s="50"/>
      <c r="V391" s="51"/>
      <c r="W391" s="52"/>
      <c r="X391" s="51"/>
      <c r="Y391" s="51"/>
      <c r="Z391" s="53"/>
      <c r="AA391" s="40"/>
      <c r="AB391" s="41"/>
      <c r="AD391" s="17">
        <f t="shared" si="53"/>
        <v>10576</v>
      </c>
      <c r="AE391" s="18"/>
    </row>
    <row r="392" spans="1:512" ht="294" outlineLevel="4" thickBot="1" x14ac:dyDescent="0.25">
      <c r="A392" s="10" t="s">
        <v>1049</v>
      </c>
      <c r="B392" s="149"/>
      <c r="C392" s="172"/>
      <c r="D392" s="149"/>
      <c r="E392" s="48" t="s">
        <v>893</v>
      </c>
      <c r="F392" s="48" t="s">
        <v>1045</v>
      </c>
      <c r="G392" s="48" t="s">
        <v>868</v>
      </c>
      <c r="H392" s="39" t="s">
        <v>869</v>
      </c>
      <c r="I392" s="69">
        <v>2</v>
      </c>
      <c r="J392" s="70" t="s">
        <v>192</v>
      </c>
      <c r="K392" s="93" t="s">
        <v>1050</v>
      </c>
      <c r="L392" s="71">
        <v>1</v>
      </c>
      <c r="M392" s="89">
        <v>3</v>
      </c>
      <c r="N392" s="32" t="s">
        <v>39</v>
      </c>
      <c r="O392" s="33" t="s">
        <v>166</v>
      </c>
      <c r="P392" s="71">
        <v>2</v>
      </c>
      <c r="Q392" s="91">
        <f t="shared" si="52"/>
        <v>6</v>
      </c>
      <c r="R392" s="72"/>
      <c r="S392" s="72"/>
      <c r="T392" s="72"/>
      <c r="U392" s="50"/>
      <c r="V392" s="51"/>
      <c r="W392" s="52"/>
      <c r="X392" s="51"/>
      <c r="Y392" s="51"/>
      <c r="Z392" s="53"/>
      <c r="AA392" s="40"/>
      <c r="AB392" s="41"/>
      <c r="AD392" s="17">
        <f t="shared" si="53"/>
        <v>10577</v>
      </c>
      <c r="AE392" s="18"/>
    </row>
    <row r="393" spans="1:512" ht="230.25" outlineLevel="4" thickBot="1" x14ac:dyDescent="0.25">
      <c r="A393" s="10" t="s">
        <v>896</v>
      </c>
      <c r="B393" s="149" t="s">
        <v>897</v>
      </c>
      <c r="C393" s="80" t="s">
        <v>898</v>
      </c>
      <c r="D393" s="147" t="s">
        <v>899</v>
      </c>
      <c r="E393" s="104" t="s">
        <v>900</v>
      </c>
      <c r="F393" s="48" t="s">
        <v>901</v>
      </c>
      <c r="G393" s="48" t="s">
        <v>648</v>
      </c>
      <c r="H393" s="48" t="s">
        <v>107</v>
      </c>
      <c r="I393" s="69">
        <v>1</v>
      </c>
      <c r="J393" s="48" t="s">
        <v>463</v>
      </c>
      <c r="K393" s="48" t="s">
        <v>464</v>
      </c>
      <c r="L393" s="71">
        <v>1</v>
      </c>
      <c r="M393" s="103">
        <f t="shared" si="50"/>
        <v>1</v>
      </c>
      <c r="N393" s="32" t="s">
        <v>39</v>
      </c>
      <c r="O393" s="51" t="s">
        <v>76</v>
      </c>
      <c r="P393" s="71">
        <v>5</v>
      </c>
      <c r="Q393" s="91">
        <f t="shared" si="52"/>
        <v>5</v>
      </c>
      <c r="R393" s="72"/>
      <c r="S393" s="72"/>
      <c r="T393" s="72"/>
      <c r="U393" s="50"/>
      <c r="V393" s="51"/>
      <c r="W393" s="52"/>
      <c r="X393" s="51"/>
      <c r="Y393" s="51"/>
      <c r="Z393" s="53"/>
      <c r="AA393" s="40"/>
      <c r="AB393" s="41"/>
      <c r="AD393" s="17">
        <f t="shared" si="53"/>
        <v>-9816</v>
      </c>
      <c r="AE393" s="18">
        <f t="shared" si="49"/>
        <v>9816</v>
      </c>
    </row>
    <row r="394" spans="1:512" ht="230.25" outlineLevel="4" thickBot="1" x14ac:dyDescent="0.25">
      <c r="A394" s="10" t="s">
        <v>902</v>
      </c>
      <c r="B394" s="149"/>
      <c r="C394" s="107"/>
      <c r="D394" s="148"/>
      <c r="E394" s="104" t="s">
        <v>903</v>
      </c>
      <c r="F394" s="48" t="s">
        <v>904</v>
      </c>
      <c r="G394" s="48" t="s">
        <v>905</v>
      </c>
      <c r="H394" s="48" t="s">
        <v>869</v>
      </c>
      <c r="I394" s="69">
        <v>2</v>
      </c>
      <c r="J394" s="48" t="s">
        <v>463</v>
      </c>
      <c r="K394" s="48" t="s">
        <v>906</v>
      </c>
      <c r="L394" s="71">
        <v>1</v>
      </c>
      <c r="M394" s="103">
        <f t="shared" si="50"/>
        <v>2</v>
      </c>
      <c r="N394" s="32" t="s">
        <v>39</v>
      </c>
      <c r="O394" s="51" t="s">
        <v>76</v>
      </c>
      <c r="P394" s="71">
        <v>5</v>
      </c>
      <c r="Q394" s="91">
        <f t="shared" si="52"/>
        <v>10</v>
      </c>
      <c r="R394" s="72"/>
      <c r="S394" s="72"/>
      <c r="T394" s="72"/>
      <c r="U394" s="50"/>
      <c r="V394" s="51"/>
      <c r="W394" s="52"/>
      <c r="X394" s="51"/>
      <c r="Y394" s="51"/>
      <c r="Z394" s="53"/>
      <c r="AA394" s="40"/>
      <c r="AB394" s="41"/>
      <c r="AD394" s="17">
        <f t="shared" si="53"/>
        <v>-9817</v>
      </c>
      <c r="AE394" s="18">
        <f t="shared" si="49"/>
        <v>9817</v>
      </c>
    </row>
    <row r="395" spans="1:512" ht="21" outlineLevel="1" thickBot="1" x14ac:dyDescent="0.25">
      <c r="A395" s="19"/>
      <c r="B395" s="20" t="s">
        <v>1051</v>
      </c>
      <c r="C395" s="21"/>
      <c r="D395" s="22"/>
      <c r="E395" s="22"/>
      <c r="F395" s="22"/>
      <c r="G395" s="22"/>
      <c r="H395" s="22"/>
      <c r="I395" s="22"/>
      <c r="J395" s="22"/>
      <c r="K395" s="22"/>
      <c r="L395" s="22"/>
      <c r="M395" s="22"/>
      <c r="N395" s="22"/>
      <c r="O395" s="22"/>
      <c r="P395" s="22"/>
      <c r="Q395" s="22"/>
      <c r="R395" s="22"/>
      <c r="S395" s="22"/>
      <c r="T395" s="22"/>
      <c r="U395" s="23"/>
      <c r="V395" s="22"/>
      <c r="W395" s="22"/>
      <c r="X395" s="22"/>
      <c r="Y395" s="22"/>
      <c r="Z395" s="22"/>
      <c r="AA395" s="22"/>
      <c r="AB395" s="24"/>
      <c r="AC395" s="98"/>
      <c r="AD395" s="17">
        <f t="shared" si="53"/>
        <v>0</v>
      </c>
      <c r="AE395" s="18">
        <f t="shared" si="49"/>
        <v>0</v>
      </c>
      <c r="AF395" s="98"/>
      <c r="AG395" s="98"/>
      <c r="AH395" s="98"/>
      <c r="AI395" s="98"/>
      <c r="AJ395" s="98"/>
      <c r="AK395" s="98"/>
      <c r="AL395" s="98"/>
      <c r="AM395" s="98"/>
      <c r="AN395" s="98"/>
      <c r="AO395" s="98"/>
      <c r="AP395" s="98"/>
      <c r="AQ395" s="98"/>
      <c r="AR395" s="98"/>
      <c r="AS395" s="98"/>
      <c r="AT395" s="98"/>
      <c r="AU395" s="98"/>
      <c r="AV395" s="98"/>
      <c r="AW395" s="98"/>
      <c r="AX395" s="98"/>
      <c r="AY395" s="98"/>
      <c r="AZ395" s="98"/>
      <c r="BA395" s="98"/>
      <c r="BB395" s="98"/>
      <c r="BC395" s="98"/>
      <c r="BD395" s="98"/>
      <c r="BE395" s="98"/>
      <c r="BF395" s="98"/>
      <c r="BG395" s="98"/>
      <c r="BH395" s="98"/>
      <c r="BI395" s="98"/>
      <c r="BJ395" s="98"/>
      <c r="BK395" s="98"/>
      <c r="BL395" s="98"/>
      <c r="BM395" s="98"/>
      <c r="BN395" s="98"/>
      <c r="BO395" s="98"/>
      <c r="BP395" s="98"/>
      <c r="BQ395" s="98"/>
      <c r="BR395" s="98"/>
      <c r="BS395" s="98"/>
      <c r="BT395" s="98"/>
      <c r="BU395" s="98"/>
      <c r="BV395" s="98"/>
      <c r="BW395" s="98"/>
      <c r="BX395" s="98"/>
      <c r="BY395" s="98"/>
      <c r="BZ395" s="98"/>
      <c r="CA395" s="98"/>
      <c r="CB395" s="98"/>
      <c r="CC395" s="98"/>
      <c r="CD395" s="98"/>
      <c r="CE395" s="98"/>
      <c r="CF395" s="98"/>
      <c r="CG395" s="98"/>
      <c r="CH395" s="98"/>
      <c r="CI395" s="98"/>
      <c r="CJ395" s="98"/>
      <c r="CK395" s="98"/>
      <c r="CL395" s="98"/>
      <c r="CM395" s="98"/>
      <c r="CN395" s="98"/>
      <c r="CO395" s="98"/>
      <c r="CP395" s="98"/>
      <c r="CQ395" s="98"/>
      <c r="CR395" s="98"/>
      <c r="CS395" s="98"/>
      <c r="CT395" s="98"/>
      <c r="CU395" s="98"/>
      <c r="CV395" s="98"/>
      <c r="CW395" s="98"/>
      <c r="CX395" s="98"/>
      <c r="CY395" s="98"/>
      <c r="CZ395" s="98"/>
      <c r="DA395" s="98"/>
      <c r="DB395" s="98"/>
      <c r="DC395" s="98"/>
      <c r="DD395" s="98"/>
      <c r="DE395" s="98"/>
      <c r="DF395" s="98"/>
      <c r="DG395" s="98"/>
      <c r="DH395" s="98"/>
      <c r="DI395" s="98"/>
      <c r="DJ395" s="98"/>
      <c r="DK395" s="98"/>
      <c r="DL395" s="98"/>
      <c r="DM395" s="98"/>
      <c r="DN395" s="98"/>
      <c r="DO395" s="98"/>
      <c r="DP395" s="98"/>
      <c r="DQ395" s="98"/>
      <c r="DR395" s="98"/>
      <c r="DS395" s="98"/>
      <c r="DT395" s="98"/>
      <c r="DU395" s="98"/>
      <c r="DV395" s="98"/>
      <c r="DW395" s="98"/>
      <c r="DX395" s="98"/>
      <c r="DY395" s="98"/>
      <c r="DZ395" s="98"/>
      <c r="EA395" s="98"/>
      <c r="EB395" s="98"/>
      <c r="EC395" s="98"/>
      <c r="ED395" s="98"/>
      <c r="EE395" s="98"/>
      <c r="EF395" s="98"/>
      <c r="EG395" s="98"/>
      <c r="EH395" s="98"/>
      <c r="EI395" s="98"/>
      <c r="EJ395" s="98"/>
      <c r="EK395" s="98"/>
      <c r="EL395" s="98"/>
      <c r="EM395" s="98"/>
      <c r="EN395" s="98"/>
      <c r="EO395" s="98"/>
      <c r="EP395" s="98"/>
      <c r="EQ395" s="98"/>
      <c r="ER395" s="98"/>
      <c r="ES395" s="98"/>
      <c r="ET395" s="98"/>
      <c r="EU395" s="98"/>
      <c r="EV395" s="98"/>
      <c r="EW395" s="98"/>
      <c r="EX395" s="98"/>
      <c r="EY395" s="98"/>
      <c r="EZ395" s="98"/>
      <c r="FA395" s="98"/>
      <c r="FB395" s="98"/>
      <c r="FC395" s="98"/>
      <c r="FD395" s="98"/>
      <c r="FE395" s="98"/>
      <c r="FF395" s="98"/>
      <c r="FG395" s="98"/>
      <c r="FH395" s="98"/>
      <c r="FI395" s="98"/>
      <c r="FJ395" s="98"/>
      <c r="FK395" s="98"/>
      <c r="FL395" s="98"/>
      <c r="FM395" s="98"/>
      <c r="FN395" s="98"/>
      <c r="FO395" s="98"/>
      <c r="FP395" s="98"/>
      <c r="FQ395" s="98"/>
      <c r="FR395" s="98"/>
      <c r="FS395" s="98"/>
      <c r="FT395" s="98"/>
      <c r="FU395" s="98"/>
      <c r="FV395" s="98"/>
      <c r="FW395" s="98"/>
      <c r="FX395" s="98"/>
      <c r="FY395" s="98"/>
      <c r="FZ395" s="98"/>
      <c r="GA395" s="98"/>
      <c r="GB395" s="98"/>
      <c r="GC395" s="98"/>
      <c r="GD395" s="98"/>
      <c r="GE395" s="98"/>
      <c r="GF395" s="98"/>
      <c r="GG395" s="98"/>
      <c r="GH395" s="98"/>
      <c r="GI395" s="98"/>
      <c r="GJ395" s="98"/>
      <c r="GK395" s="98"/>
      <c r="GL395" s="98"/>
      <c r="GM395" s="98"/>
      <c r="GN395" s="98"/>
      <c r="GO395" s="98"/>
      <c r="GP395" s="98"/>
      <c r="GQ395" s="98"/>
      <c r="GR395" s="98"/>
      <c r="GS395" s="98"/>
      <c r="GT395" s="98"/>
      <c r="GU395" s="98"/>
      <c r="GV395" s="98"/>
      <c r="GW395" s="98"/>
      <c r="GX395" s="98"/>
      <c r="GY395" s="98"/>
      <c r="GZ395" s="98"/>
      <c r="HA395" s="98"/>
      <c r="HB395" s="98"/>
      <c r="HC395" s="98"/>
      <c r="HD395" s="98"/>
      <c r="HE395" s="98"/>
      <c r="HF395" s="98"/>
      <c r="HG395" s="98"/>
      <c r="HH395" s="98"/>
      <c r="HI395" s="98"/>
      <c r="HJ395" s="98"/>
      <c r="HK395" s="98"/>
      <c r="HL395" s="98"/>
      <c r="HM395" s="98"/>
      <c r="HN395" s="98"/>
      <c r="HO395" s="98"/>
      <c r="HP395" s="98"/>
      <c r="HQ395" s="98"/>
      <c r="HR395" s="98"/>
      <c r="HS395" s="98"/>
      <c r="HT395" s="98"/>
      <c r="HU395" s="98"/>
      <c r="HV395" s="98"/>
      <c r="HW395" s="98"/>
      <c r="HX395" s="98"/>
      <c r="HY395" s="98"/>
      <c r="HZ395" s="98"/>
      <c r="IA395" s="98"/>
      <c r="IB395" s="98"/>
      <c r="IC395" s="98"/>
      <c r="ID395" s="98"/>
      <c r="IE395" s="98"/>
      <c r="IF395" s="98"/>
      <c r="IG395" s="98"/>
      <c r="IH395" s="98"/>
      <c r="II395" s="98"/>
      <c r="IJ395" s="98"/>
      <c r="IK395" s="98"/>
      <c r="IL395" s="98"/>
      <c r="IM395" s="98"/>
      <c r="IN395" s="98"/>
      <c r="IO395" s="98"/>
      <c r="IP395" s="98"/>
      <c r="IQ395" s="98"/>
      <c r="IR395" s="98"/>
      <c r="IS395" s="98"/>
      <c r="IT395" s="98"/>
      <c r="IU395" s="98"/>
      <c r="IV395" s="98"/>
      <c r="IW395" s="98"/>
      <c r="IX395" s="98"/>
      <c r="IY395" s="98"/>
      <c r="IZ395" s="98"/>
      <c r="JA395" s="98"/>
      <c r="JB395" s="98"/>
      <c r="JC395" s="98"/>
      <c r="JD395" s="98"/>
      <c r="JE395" s="98"/>
      <c r="JF395" s="98"/>
      <c r="JG395" s="98"/>
      <c r="JH395" s="98"/>
      <c r="JI395" s="98"/>
      <c r="JJ395" s="98"/>
      <c r="JK395" s="98"/>
      <c r="JL395" s="98"/>
      <c r="JM395" s="98"/>
      <c r="JN395" s="98"/>
      <c r="JO395" s="98"/>
      <c r="JP395" s="98"/>
      <c r="JQ395" s="98"/>
      <c r="JR395" s="98"/>
      <c r="JS395" s="98"/>
      <c r="JT395" s="98"/>
      <c r="JU395" s="98"/>
      <c r="JV395" s="98"/>
      <c r="JW395" s="98"/>
      <c r="JX395" s="98"/>
      <c r="JY395" s="98"/>
      <c r="JZ395" s="98"/>
      <c r="KA395" s="98"/>
      <c r="KB395" s="98"/>
      <c r="KC395" s="98"/>
      <c r="KD395" s="98"/>
      <c r="KE395" s="98"/>
      <c r="KF395" s="98"/>
      <c r="KG395" s="98"/>
      <c r="KH395" s="98"/>
      <c r="KI395" s="98"/>
      <c r="KJ395" s="98"/>
      <c r="KK395" s="98"/>
      <c r="KL395" s="98"/>
      <c r="KM395" s="98"/>
      <c r="KN395" s="98"/>
      <c r="KO395" s="98"/>
      <c r="KP395" s="98"/>
      <c r="KQ395" s="98"/>
      <c r="KR395" s="98"/>
      <c r="KS395" s="98"/>
      <c r="KT395" s="98"/>
      <c r="KU395" s="98"/>
      <c r="KV395" s="98"/>
      <c r="KW395" s="98"/>
      <c r="KX395" s="98"/>
      <c r="KY395" s="98"/>
      <c r="KZ395" s="98"/>
      <c r="LA395" s="98"/>
      <c r="LB395" s="98"/>
      <c r="LC395" s="98"/>
      <c r="LD395" s="98"/>
      <c r="LE395" s="98"/>
      <c r="LF395" s="98"/>
      <c r="LG395" s="98"/>
      <c r="LH395" s="98"/>
      <c r="LI395" s="98"/>
      <c r="LJ395" s="98"/>
      <c r="LK395" s="98"/>
      <c r="LL395" s="98"/>
      <c r="LM395" s="98"/>
      <c r="LN395" s="98"/>
      <c r="LO395" s="98"/>
      <c r="LP395" s="98"/>
      <c r="LQ395" s="98"/>
      <c r="LR395" s="98"/>
      <c r="LS395" s="98"/>
      <c r="LT395" s="98"/>
      <c r="LU395" s="98"/>
      <c r="LV395" s="98"/>
      <c r="LW395" s="98"/>
      <c r="LX395" s="98"/>
      <c r="LY395" s="98"/>
      <c r="LZ395" s="98"/>
      <c r="MA395" s="98"/>
      <c r="MB395" s="98"/>
      <c r="MC395" s="98"/>
      <c r="MD395" s="98"/>
      <c r="ME395" s="98"/>
      <c r="MF395" s="98"/>
      <c r="MG395" s="98"/>
      <c r="MH395" s="98"/>
      <c r="MI395" s="98"/>
      <c r="MJ395" s="98"/>
      <c r="MK395" s="98"/>
      <c r="ML395" s="98"/>
      <c r="MM395" s="98"/>
      <c r="MN395" s="98"/>
      <c r="MO395" s="98"/>
      <c r="MP395" s="98"/>
      <c r="MQ395" s="98"/>
      <c r="MR395" s="98"/>
      <c r="MS395" s="98"/>
      <c r="MT395" s="98"/>
      <c r="MU395" s="98"/>
      <c r="MV395" s="98"/>
      <c r="MW395" s="98"/>
      <c r="MX395" s="98"/>
      <c r="MY395" s="98"/>
      <c r="MZ395" s="98"/>
      <c r="NA395" s="98"/>
      <c r="NB395" s="98"/>
      <c r="NC395" s="98"/>
      <c r="ND395" s="98"/>
      <c r="NE395" s="98"/>
      <c r="NF395" s="98"/>
      <c r="NG395" s="98"/>
      <c r="NH395" s="98"/>
      <c r="NI395" s="98"/>
      <c r="NJ395" s="98"/>
      <c r="NK395" s="98"/>
      <c r="NL395" s="98"/>
      <c r="NM395" s="98"/>
      <c r="NN395" s="98"/>
      <c r="NO395" s="98"/>
      <c r="NP395" s="98"/>
      <c r="NQ395" s="98"/>
      <c r="NR395" s="98"/>
      <c r="NS395" s="98"/>
      <c r="NT395" s="98"/>
      <c r="NU395" s="98"/>
      <c r="NV395" s="98"/>
      <c r="NW395" s="98"/>
      <c r="NX395" s="98"/>
      <c r="NY395" s="98"/>
      <c r="NZ395" s="98"/>
      <c r="OA395" s="98"/>
      <c r="OB395" s="98"/>
      <c r="OC395" s="98"/>
      <c r="OD395" s="98"/>
      <c r="OE395" s="98"/>
      <c r="OF395" s="98"/>
      <c r="OG395" s="98"/>
      <c r="OH395" s="98"/>
      <c r="OI395" s="98"/>
      <c r="OJ395" s="98"/>
      <c r="OK395" s="98"/>
      <c r="OL395" s="98"/>
      <c r="OM395" s="98"/>
      <c r="ON395" s="98"/>
      <c r="OO395" s="98"/>
      <c r="OP395" s="98"/>
      <c r="OQ395" s="98"/>
      <c r="OR395" s="98"/>
      <c r="OS395" s="98"/>
      <c r="OT395" s="98"/>
      <c r="OU395" s="98"/>
      <c r="OV395" s="98"/>
      <c r="OW395" s="98"/>
      <c r="OX395" s="98"/>
      <c r="OY395" s="98"/>
      <c r="OZ395" s="98"/>
      <c r="PA395" s="98"/>
      <c r="PB395" s="98"/>
      <c r="PC395" s="98"/>
      <c r="PD395" s="98"/>
      <c r="PE395" s="98"/>
      <c r="PF395" s="98"/>
      <c r="PG395" s="98"/>
      <c r="PH395" s="98"/>
      <c r="PI395" s="98"/>
      <c r="PJ395" s="98"/>
      <c r="PK395" s="98"/>
      <c r="PL395" s="98"/>
      <c r="PM395" s="98"/>
      <c r="PN395" s="98"/>
      <c r="PO395" s="98"/>
      <c r="PP395" s="98"/>
      <c r="PQ395" s="98"/>
      <c r="PR395" s="98"/>
      <c r="PS395" s="98"/>
      <c r="PT395" s="98"/>
      <c r="PU395" s="98"/>
      <c r="PV395" s="98"/>
      <c r="PW395" s="98"/>
      <c r="PX395" s="98"/>
      <c r="PY395" s="98"/>
      <c r="PZ395" s="98"/>
      <c r="QA395" s="98"/>
      <c r="QB395" s="98"/>
      <c r="QC395" s="98"/>
      <c r="QD395" s="98"/>
      <c r="QE395" s="98"/>
      <c r="QF395" s="98"/>
      <c r="QG395" s="98"/>
      <c r="QH395" s="98"/>
      <c r="QI395" s="98"/>
      <c r="QJ395" s="98"/>
      <c r="QK395" s="98"/>
      <c r="QL395" s="98"/>
      <c r="QM395" s="98"/>
      <c r="QN395" s="98"/>
      <c r="QO395" s="98"/>
      <c r="QP395" s="98"/>
      <c r="QQ395" s="98"/>
      <c r="QR395" s="98"/>
      <c r="QS395" s="98"/>
      <c r="QT395" s="98"/>
      <c r="QU395" s="98"/>
      <c r="QV395" s="98"/>
      <c r="QW395" s="98"/>
      <c r="QX395" s="98"/>
      <c r="QY395" s="98"/>
      <c r="QZ395" s="98"/>
      <c r="RA395" s="98"/>
      <c r="RB395" s="98"/>
      <c r="RC395" s="98"/>
      <c r="RD395" s="98"/>
      <c r="RE395" s="98"/>
      <c r="RF395" s="98"/>
      <c r="RG395" s="98"/>
      <c r="RH395" s="98"/>
      <c r="RI395" s="98"/>
      <c r="RJ395" s="98"/>
      <c r="RK395" s="98"/>
      <c r="RL395" s="98"/>
      <c r="RM395" s="98"/>
      <c r="RN395" s="98"/>
      <c r="RO395" s="98"/>
      <c r="RP395" s="98"/>
      <c r="RQ395" s="98"/>
      <c r="RR395" s="98"/>
      <c r="RS395" s="98"/>
      <c r="RT395" s="98"/>
      <c r="RU395" s="98"/>
      <c r="RV395" s="98"/>
      <c r="RW395" s="98"/>
      <c r="RX395" s="98"/>
      <c r="RY395" s="98"/>
      <c r="RZ395" s="98"/>
      <c r="SA395" s="98"/>
      <c r="SB395" s="98"/>
      <c r="SC395" s="98"/>
      <c r="SD395" s="98"/>
      <c r="SE395" s="98"/>
      <c r="SF395" s="98"/>
      <c r="SG395" s="98"/>
      <c r="SH395" s="98"/>
      <c r="SI395" s="98"/>
      <c r="SJ395" s="98"/>
      <c r="SK395" s="98"/>
      <c r="SL395" s="98"/>
      <c r="SM395" s="98"/>
      <c r="SN395" s="98"/>
      <c r="SO395" s="98"/>
      <c r="SP395" s="98"/>
      <c r="SQ395" s="98"/>
      <c r="SR395" s="98"/>
    </row>
    <row r="396" spans="1:512" ht="21" outlineLevel="2" thickBot="1" x14ac:dyDescent="0.25">
      <c r="A396" s="17"/>
      <c r="B396" s="108" t="s">
        <v>1052</v>
      </c>
      <c r="C396" s="109"/>
      <c r="D396" s="110"/>
      <c r="E396" s="110"/>
      <c r="F396" s="110"/>
      <c r="G396" s="110"/>
      <c r="H396" s="110"/>
      <c r="I396" s="110"/>
      <c r="J396" s="110"/>
      <c r="K396" s="110"/>
      <c r="L396" s="110"/>
      <c r="M396" s="110"/>
      <c r="N396" s="110"/>
      <c r="O396" s="110"/>
      <c r="P396" s="110"/>
      <c r="Q396" s="110"/>
      <c r="R396" s="110"/>
      <c r="S396" s="110"/>
      <c r="T396" s="110"/>
      <c r="U396" s="111"/>
      <c r="V396" s="110"/>
      <c r="W396" s="110"/>
      <c r="X396" s="110"/>
      <c r="Y396" s="110"/>
      <c r="Z396" s="110"/>
      <c r="AA396" s="110"/>
      <c r="AB396" s="112"/>
      <c r="AD396" s="17">
        <f t="shared" si="53"/>
        <v>0</v>
      </c>
      <c r="AE396" s="18">
        <f t="shared" si="49"/>
        <v>0</v>
      </c>
      <c r="AF396" s="98"/>
      <c r="AG396" s="98"/>
      <c r="AH396" s="98"/>
      <c r="AI396" s="98"/>
      <c r="AJ396" s="98"/>
      <c r="AK396" s="98"/>
      <c r="AL396" s="98"/>
      <c r="AM396" s="98"/>
      <c r="AN396" s="98"/>
      <c r="AO396" s="98"/>
      <c r="AP396" s="98"/>
      <c r="AQ396" s="98"/>
      <c r="AR396" s="98"/>
      <c r="AS396" s="98"/>
      <c r="AT396" s="98"/>
      <c r="AU396" s="98"/>
      <c r="AV396" s="98"/>
      <c r="AW396" s="98"/>
      <c r="AX396" s="98"/>
      <c r="AY396" s="98"/>
      <c r="AZ396" s="98"/>
      <c r="BA396" s="98"/>
      <c r="BB396" s="98"/>
      <c r="BC396" s="98"/>
      <c r="BD396" s="98"/>
      <c r="BE396" s="98"/>
      <c r="BF396" s="98"/>
      <c r="BG396" s="98"/>
      <c r="BH396" s="98"/>
      <c r="BI396" s="98"/>
      <c r="BJ396" s="98"/>
      <c r="BK396" s="98"/>
      <c r="BL396" s="98"/>
      <c r="BM396" s="98"/>
      <c r="BN396" s="98"/>
      <c r="BO396" s="98"/>
      <c r="BP396" s="98"/>
      <c r="BQ396" s="98"/>
      <c r="BR396" s="98"/>
      <c r="BS396" s="98"/>
      <c r="BT396" s="98"/>
      <c r="BU396" s="98"/>
      <c r="BV396" s="98"/>
      <c r="BW396" s="98"/>
      <c r="BX396" s="98"/>
      <c r="BY396" s="98"/>
      <c r="BZ396" s="98"/>
      <c r="CA396" s="98"/>
      <c r="CB396" s="98"/>
      <c r="CC396" s="98"/>
      <c r="CD396" s="98"/>
      <c r="CE396" s="98"/>
      <c r="CF396" s="98"/>
      <c r="CG396" s="98"/>
      <c r="CH396" s="98"/>
      <c r="CI396" s="98"/>
      <c r="CJ396" s="98"/>
      <c r="CK396" s="98"/>
      <c r="CL396" s="98"/>
      <c r="CM396" s="98"/>
      <c r="CN396" s="98"/>
      <c r="CO396" s="98"/>
      <c r="CP396" s="98"/>
      <c r="CQ396" s="98"/>
      <c r="CR396" s="98"/>
      <c r="CS396" s="98"/>
      <c r="CT396" s="98"/>
      <c r="CU396" s="98"/>
      <c r="CV396" s="98"/>
      <c r="CW396" s="98"/>
      <c r="CX396" s="98"/>
      <c r="CY396" s="98"/>
      <c r="CZ396" s="98"/>
      <c r="DA396" s="98"/>
      <c r="DB396" s="98"/>
      <c r="DC396" s="98"/>
      <c r="DD396" s="98"/>
      <c r="DE396" s="98"/>
      <c r="DF396" s="98"/>
      <c r="DG396" s="98"/>
      <c r="DH396" s="98"/>
      <c r="DI396" s="98"/>
      <c r="DJ396" s="98"/>
      <c r="DK396" s="98"/>
      <c r="DL396" s="98"/>
      <c r="DM396" s="98"/>
      <c r="DN396" s="98"/>
      <c r="DO396" s="98"/>
      <c r="DP396" s="98"/>
      <c r="DQ396" s="98"/>
      <c r="DR396" s="98"/>
      <c r="DS396" s="98"/>
      <c r="DT396" s="98"/>
      <c r="DU396" s="98"/>
      <c r="DV396" s="98"/>
      <c r="DW396" s="98"/>
      <c r="DX396" s="98"/>
      <c r="DY396" s="98"/>
      <c r="DZ396" s="98"/>
      <c r="EA396" s="98"/>
      <c r="EB396" s="98"/>
      <c r="EC396" s="98"/>
      <c r="ED396" s="98"/>
      <c r="EE396" s="98"/>
      <c r="EF396" s="98"/>
      <c r="EG396" s="98"/>
      <c r="EH396" s="98"/>
      <c r="EI396" s="98"/>
      <c r="EJ396" s="98"/>
      <c r="EK396" s="98"/>
      <c r="EL396" s="98"/>
      <c r="EM396" s="98"/>
      <c r="EN396" s="98"/>
      <c r="EO396" s="98"/>
      <c r="EP396" s="98"/>
      <c r="EQ396" s="98"/>
      <c r="ER396" s="98"/>
      <c r="ES396" s="98"/>
      <c r="ET396" s="98"/>
      <c r="EU396" s="98"/>
      <c r="EV396" s="98"/>
      <c r="EW396" s="98"/>
      <c r="EX396" s="98"/>
      <c r="EY396" s="98"/>
      <c r="EZ396" s="98"/>
      <c r="FA396" s="98"/>
      <c r="FB396" s="98"/>
      <c r="FC396" s="98"/>
      <c r="FD396" s="98"/>
      <c r="FE396" s="98"/>
      <c r="FF396" s="98"/>
      <c r="FG396" s="98"/>
      <c r="FH396" s="98"/>
      <c r="FI396" s="98"/>
      <c r="FJ396" s="98"/>
      <c r="FK396" s="98"/>
      <c r="FL396" s="98"/>
      <c r="FM396" s="98"/>
      <c r="FN396" s="98"/>
      <c r="FO396" s="98"/>
      <c r="FP396" s="98"/>
      <c r="FQ396" s="98"/>
      <c r="FR396" s="98"/>
      <c r="FS396" s="98"/>
      <c r="FT396" s="98"/>
      <c r="FU396" s="98"/>
      <c r="FV396" s="98"/>
      <c r="FW396" s="98"/>
      <c r="FX396" s="98"/>
      <c r="FY396" s="98"/>
      <c r="FZ396" s="98"/>
      <c r="GA396" s="98"/>
      <c r="GB396" s="98"/>
      <c r="GC396" s="98"/>
      <c r="GD396" s="98"/>
      <c r="GE396" s="98"/>
      <c r="GF396" s="98"/>
      <c r="GG396" s="98"/>
      <c r="GH396" s="98"/>
      <c r="GI396" s="98"/>
      <c r="GJ396" s="98"/>
      <c r="GK396" s="98"/>
      <c r="GL396" s="98"/>
      <c r="GM396" s="98"/>
      <c r="GN396" s="98"/>
      <c r="GO396" s="98"/>
      <c r="GP396" s="98"/>
      <c r="GQ396" s="98"/>
      <c r="GR396" s="98"/>
      <c r="GS396" s="98"/>
      <c r="GT396" s="98"/>
      <c r="GU396" s="98"/>
      <c r="GV396" s="98"/>
      <c r="GW396" s="98"/>
      <c r="GX396" s="98"/>
      <c r="GY396" s="98"/>
      <c r="GZ396" s="98"/>
      <c r="HA396" s="98"/>
      <c r="HB396" s="98"/>
      <c r="HC396" s="98"/>
      <c r="HD396" s="98"/>
      <c r="HE396" s="98"/>
      <c r="HF396" s="98"/>
      <c r="HG396" s="98"/>
      <c r="HH396" s="98"/>
      <c r="HI396" s="98"/>
      <c r="HJ396" s="98"/>
      <c r="HK396" s="98"/>
      <c r="HL396" s="98"/>
      <c r="HM396" s="98"/>
      <c r="HN396" s="98"/>
      <c r="HO396" s="98"/>
      <c r="HP396" s="98"/>
      <c r="HQ396" s="98"/>
      <c r="HR396" s="98"/>
      <c r="HS396" s="98"/>
      <c r="HT396" s="98"/>
      <c r="HU396" s="98"/>
      <c r="HV396" s="98"/>
      <c r="HW396" s="98"/>
      <c r="HX396" s="98"/>
      <c r="HY396" s="98"/>
      <c r="HZ396" s="98"/>
      <c r="IA396" s="98"/>
      <c r="IB396" s="98"/>
      <c r="IC396" s="98"/>
      <c r="ID396" s="98"/>
      <c r="IE396" s="98"/>
      <c r="IF396" s="98"/>
      <c r="IG396" s="98"/>
      <c r="IH396" s="98"/>
      <c r="II396" s="98"/>
      <c r="IJ396" s="98"/>
      <c r="IK396" s="98"/>
      <c r="IL396" s="98"/>
      <c r="IM396" s="98"/>
      <c r="IN396" s="98"/>
      <c r="IO396" s="98"/>
      <c r="IP396" s="98"/>
      <c r="IQ396" s="98"/>
      <c r="IR396" s="98"/>
      <c r="IS396" s="98"/>
      <c r="IT396" s="98"/>
      <c r="IU396" s="98"/>
      <c r="IV396" s="98"/>
      <c r="IW396" s="98"/>
      <c r="IX396" s="98"/>
      <c r="IY396" s="98"/>
      <c r="IZ396" s="98"/>
      <c r="JA396" s="98"/>
      <c r="JB396" s="98"/>
      <c r="JC396" s="98"/>
      <c r="JD396" s="98"/>
      <c r="JE396" s="98"/>
      <c r="JF396" s="98"/>
      <c r="JG396" s="98"/>
      <c r="JH396" s="98"/>
      <c r="JI396" s="98"/>
      <c r="JJ396" s="98"/>
      <c r="JK396" s="98"/>
      <c r="JL396" s="98"/>
      <c r="JM396" s="98"/>
      <c r="JN396" s="98"/>
      <c r="JO396" s="98"/>
      <c r="JP396" s="98"/>
      <c r="JQ396" s="98"/>
      <c r="JR396" s="98"/>
      <c r="JS396" s="98"/>
      <c r="JT396" s="98"/>
      <c r="JU396" s="98"/>
      <c r="JV396" s="98"/>
      <c r="JW396" s="98"/>
      <c r="JX396" s="98"/>
      <c r="JY396" s="98"/>
      <c r="JZ396" s="98"/>
      <c r="KA396" s="98"/>
      <c r="KB396" s="98"/>
      <c r="KC396" s="98"/>
      <c r="KD396" s="98"/>
      <c r="KE396" s="98"/>
      <c r="KF396" s="98"/>
      <c r="KG396" s="98"/>
      <c r="KH396" s="98"/>
      <c r="KI396" s="98"/>
      <c r="KJ396" s="98"/>
      <c r="KK396" s="98"/>
      <c r="KL396" s="98"/>
      <c r="KM396" s="98"/>
      <c r="KN396" s="98"/>
      <c r="KO396" s="98"/>
      <c r="KP396" s="98"/>
      <c r="KQ396" s="98"/>
      <c r="KR396" s="98"/>
      <c r="KS396" s="98"/>
      <c r="KT396" s="98"/>
      <c r="KU396" s="98"/>
      <c r="KV396" s="98"/>
      <c r="KW396" s="98"/>
      <c r="KX396" s="98"/>
      <c r="KY396" s="98"/>
      <c r="KZ396" s="98"/>
      <c r="LA396" s="98"/>
      <c r="LB396" s="98"/>
      <c r="LC396" s="98"/>
      <c r="LD396" s="98"/>
      <c r="LE396" s="98"/>
      <c r="LF396" s="98"/>
      <c r="LG396" s="98"/>
      <c r="LH396" s="98"/>
      <c r="LI396" s="98"/>
      <c r="LJ396" s="98"/>
      <c r="LK396" s="98"/>
      <c r="LL396" s="98"/>
      <c r="LM396" s="98"/>
      <c r="LN396" s="98"/>
      <c r="LO396" s="98"/>
      <c r="LP396" s="98"/>
      <c r="LQ396" s="98"/>
      <c r="LR396" s="98"/>
      <c r="LS396" s="98"/>
      <c r="LT396" s="98"/>
      <c r="LU396" s="98"/>
      <c r="LV396" s="98"/>
      <c r="LW396" s="98"/>
      <c r="LX396" s="98"/>
      <c r="LY396" s="98"/>
      <c r="LZ396" s="98"/>
      <c r="MA396" s="98"/>
      <c r="MB396" s="98"/>
      <c r="MC396" s="98"/>
      <c r="MD396" s="98"/>
      <c r="ME396" s="98"/>
      <c r="MF396" s="98"/>
      <c r="MG396" s="98"/>
      <c r="MH396" s="98"/>
      <c r="MI396" s="98"/>
      <c r="MJ396" s="98"/>
      <c r="MK396" s="98"/>
      <c r="ML396" s="98"/>
      <c r="MM396" s="98"/>
      <c r="MN396" s="98"/>
      <c r="MO396" s="98"/>
      <c r="MP396" s="98"/>
      <c r="MQ396" s="98"/>
      <c r="MR396" s="98"/>
      <c r="MS396" s="98"/>
      <c r="MT396" s="98"/>
      <c r="MU396" s="98"/>
      <c r="MV396" s="98"/>
      <c r="MW396" s="98"/>
      <c r="MX396" s="98"/>
      <c r="MY396" s="98"/>
      <c r="MZ396" s="98"/>
      <c r="NA396" s="98"/>
      <c r="NB396" s="98"/>
      <c r="NC396" s="98"/>
      <c r="ND396" s="98"/>
      <c r="NE396" s="98"/>
      <c r="NF396" s="98"/>
      <c r="NG396" s="98"/>
      <c r="NH396" s="98"/>
      <c r="NI396" s="98"/>
      <c r="NJ396" s="98"/>
      <c r="NK396" s="98"/>
      <c r="NL396" s="98"/>
      <c r="NM396" s="98"/>
      <c r="NN396" s="98"/>
      <c r="NO396" s="98"/>
      <c r="NP396" s="98"/>
      <c r="NQ396" s="98"/>
      <c r="NR396" s="98"/>
      <c r="NS396" s="98"/>
      <c r="NT396" s="98"/>
      <c r="NU396" s="98"/>
      <c r="NV396" s="98"/>
      <c r="NW396" s="98"/>
      <c r="NX396" s="98"/>
      <c r="NY396" s="98"/>
      <c r="NZ396" s="98"/>
      <c r="OA396" s="98"/>
      <c r="OB396" s="98"/>
      <c r="OC396" s="98"/>
      <c r="OD396" s="98"/>
      <c r="OE396" s="98"/>
      <c r="OF396" s="98"/>
      <c r="OG396" s="98"/>
      <c r="OH396" s="98"/>
      <c r="OI396" s="98"/>
      <c r="OJ396" s="98"/>
      <c r="OK396" s="98"/>
      <c r="OL396" s="98"/>
      <c r="OM396" s="98"/>
      <c r="ON396" s="98"/>
      <c r="OO396" s="98"/>
      <c r="OP396" s="98"/>
      <c r="OQ396" s="98"/>
      <c r="OR396" s="98"/>
      <c r="OS396" s="98"/>
      <c r="OT396" s="98"/>
      <c r="OU396" s="98"/>
      <c r="OV396" s="98"/>
      <c r="OW396" s="98"/>
      <c r="OX396" s="98"/>
      <c r="OY396" s="98"/>
      <c r="OZ396" s="98"/>
      <c r="PA396" s="98"/>
      <c r="PB396" s="98"/>
      <c r="PC396" s="98"/>
      <c r="PD396" s="98"/>
      <c r="PE396" s="98"/>
      <c r="PF396" s="98"/>
      <c r="PG396" s="98"/>
      <c r="PH396" s="98"/>
      <c r="PI396" s="98"/>
      <c r="PJ396" s="98"/>
      <c r="PK396" s="98"/>
      <c r="PL396" s="98"/>
      <c r="PM396" s="98"/>
      <c r="PN396" s="98"/>
      <c r="PO396" s="98"/>
      <c r="PP396" s="98"/>
      <c r="PQ396" s="98"/>
      <c r="PR396" s="98"/>
      <c r="PS396" s="98"/>
      <c r="PT396" s="98"/>
      <c r="PU396" s="98"/>
      <c r="PV396" s="98"/>
      <c r="PW396" s="98"/>
      <c r="PX396" s="98"/>
      <c r="PY396" s="98"/>
      <c r="PZ396" s="98"/>
      <c r="QA396" s="98"/>
      <c r="QB396" s="98"/>
      <c r="QC396" s="98"/>
      <c r="QD396" s="98"/>
      <c r="QE396" s="98"/>
      <c r="QF396" s="98"/>
      <c r="QG396" s="98"/>
      <c r="QH396" s="98"/>
      <c r="QI396" s="98"/>
      <c r="QJ396" s="98"/>
      <c r="QK396" s="98"/>
      <c r="QL396" s="98"/>
      <c r="QM396" s="98"/>
      <c r="QN396" s="98"/>
      <c r="QO396" s="98"/>
      <c r="QP396" s="98"/>
      <c r="QQ396" s="98"/>
      <c r="QR396" s="98"/>
      <c r="QS396" s="98"/>
      <c r="QT396" s="98"/>
      <c r="QU396" s="98"/>
      <c r="QV396" s="98"/>
      <c r="QW396" s="98"/>
      <c r="QX396" s="98"/>
      <c r="QY396" s="98"/>
      <c r="QZ396" s="98"/>
      <c r="RA396" s="98"/>
      <c r="RB396" s="98"/>
      <c r="RC396" s="98"/>
      <c r="RD396" s="98"/>
      <c r="RE396" s="98"/>
      <c r="RF396" s="98"/>
      <c r="RG396" s="98"/>
      <c r="RH396" s="98"/>
      <c r="RI396" s="98"/>
      <c r="RJ396" s="98"/>
      <c r="RK396" s="98"/>
      <c r="RL396" s="98"/>
      <c r="RM396" s="98"/>
      <c r="RN396" s="98"/>
      <c r="RO396" s="98"/>
      <c r="RP396" s="98"/>
      <c r="RQ396" s="98"/>
      <c r="RR396" s="98"/>
      <c r="RS396" s="98"/>
      <c r="RT396" s="98"/>
      <c r="RU396" s="98"/>
      <c r="RV396" s="98"/>
      <c r="RW396" s="98"/>
      <c r="RX396" s="98"/>
      <c r="RY396" s="98"/>
      <c r="RZ396" s="98"/>
      <c r="SA396" s="98"/>
      <c r="SB396" s="98"/>
      <c r="SC396" s="98"/>
      <c r="SD396" s="98"/>
      <c r="SE396" s="98"/>
      <c r="SF396" s="98"/>
      <c r="SG396" s="98"/>
      <c r="SH396" s="98"/>
      <c r="SI396" s="98"/>
      <c r="SJ396" s="98"/>
      <c r="SK396" s="98"/>
      <c r="SL396" s="98"/>
      <c r="SM396" s="98"/>
      <c r="SN396" s="98"/>
      <c r="SO396" s="98"/>
      <c r="SP396" s="98"/>
      <c r="SQ396" s="98"/>
      <c r="SR396" s="98"/>
    </row>
    <row r="397" spans="1:512" ht="230.25" outlineLevel="3" thickBot="1" x14ac:dyDescent="0.25">
      <c r="A397" s="61" t="s">
        <v>1053</v>
      </c>
      <c r="B397" s="104" t="s">
        <v>1054</v>
      </c>
      <c r="C397" s="80" t="s">
        <v>1055</v>
      </c>
      <c r="D397" s="104" t="s">
        <v>1056</v>
      </c>
      <c r="E397" s="25" t="s">
        <v>1057</v>
      </c>
      <c r="F397" s="25" t="s">
        <v>1058</v>
      </c>
      <c r="G397" s="48" t="s">
        <v>191</v>
      </c>
      <c r="H397" s="26" t="s">
        <v>46</v>
      </c>
      <c r="I397" s="42">
        <v>3</v>
      </c>
      <c r="J397" s="70" t="s">
        <v>186</v>
      </c>
      <c r="K397" s="29" t="s">
        <v>1059</v>
      </c>
      <c r="L397" s="71">
        <v>1</v>
      </c>
      <c r="M397" s="31">
        <f t="shared" ref="M397:M399" si="54">I397*L397</f>
        <v>3</v>
      </c>
      <c r="N397" s="32" t="s">
        <v>39</v>
      </c>
      <c r="O397" s="60" t="s">
        <v>884</v>
      </c>
      <c r="P397" s="30">
        <v>3</v>
      </c>
      <c r="Q397" s="34">
        <f t="shared" ref="Q397:Q451" si="55">M397*P397</f>
        <v>9</v>
      </c>
      <c r="R397" s="49"/>
      <c r="S397" s="49"/>
      <c r="T397" s="49"/>
      <c r="U397" s="50"/>
      <c r="V397" s="51"/>
      <c r="W397" s="52"/>
      <c r="X397" s="51"/>
      <c r="Y397" s="51"/>
      <c r="Z397" s="53"/>
      <c r="AA397" s="40"/>
      <c r="AB397" s="41"/>
      <c r="AD397" s="17">
        <f t="shared" si="53"/>
        <v>10458</v>
      </c>
      <c r="AE397" s="18">
        <f t="shared" si="49"/>
        <v>458</v>
      </c>
      <c r="AF397" s="98"/>
      <c r="AG397" s="98"/>
      <c r="AH397" s="98"/>
      <c r="AI397" s="98"/>
      <c r="AJ397" s="98"/>
      <c r="AK397" s="98"/>
      <c r="AL397" s="98"/>
      <c r="AM397" s="98"/>
      <c r="AN397" s="98"/>
      <c r="AO397" s="98"/>
      <c r="AP397" s="98"/>
      <c r="AQ397" s="98"/>
      <c r="AR397" s="98"/>
      <c r="AS397" s="98"/>
      <c r="AT397" s="98"/>
      <c r="AU397" s="98"/>
      <c r="AV397" s="98"/>
      <c r="AW397" s="98"/>
      <c r="AX397" s="98"/>
      <c r="AY397" s="98"/>
      <c r="AZ397" s="98"/>
      <c r="BA397" s="98"/>
      <c r="BB397" s="98"/>
      <c r="BC397" s="98"/>
      <c r="BD397" s="98"/>
      <c r="BE397" s="98"/>
      <c r="BF397" s="98"/>
      <c r="BG397" s="98"/>
      <c r="BH397" s="98"/>
      <c r="BI397" s="98"/>
      <c r="BJ397" s="98"/>
      <c r="BK397" s="98"/>
      <c r="BL397" s="98"/>
      <c r="BM397" s="98"/>
      <c r="BN397" s="98"/>
      <c r="BO397" s="98"/>
      <c r="BP397" s="98"/>
      <c r="BQ397" s="98"/>
      <c r="BR397" s="98"/>
      <c r="BS397" s="98"/>
      <c r="BT397" s="98"/>
      <c r="BU397" s="98"/>
      <c r="BV397" s="98"/>
      <c r="BW397" s="98"/>
      <c r="BX397" s="98"/>
      <c r="BY397" s="98"/>
      <c r="BZ397" s="98"/>
      <c r="CA397" s="98"/>
      <c r="CB397" s="98"/>
      <c r="CC397" s="98"/>
      <c r="CD397" s="98"/>
      <c r="CE397" s="98"/>
      <c r="CF397" s="98"/>
      <c r="CG397" s="98"/>
      <c r="CH397" s="98"/>
      <c r="CI397" s="98"/>
      <c r="CJ397" s="98"/>
      <c r="CK397" s="98"/>
      <c r="CL397" s="98"/>
      <c r="CM397" s="98"/>
      <c r="CN397" s="98"/>
      <c r="CO397" s="98"/>
      <c r="CP397" s="98"/>
      <c r="CQ397" s="98"/>
      <c r="CR397" s="98"/>
      <c r="CS397" s="98"/>
      <c r="CT397" s="98"/>
      <c r="CU397" s="98"/>
      <c r="CV397" s="98"/>
      <c r="CW397" s="98"/>
      <c r="CX397" s="98"/>
      <c r="CY397" s="98"/>
      <c r="CZ397" s="98"/>
      <c r="DA397" s="98"/>
      <c r="DB397" s="98"/>
      <c r="DC397" s="98"/>
      <c r="DD397" s="98"/>
      <c r="DE397" s="98"/>
      <c r="DF397" s="98"/>
      <c r="DG397" s="98"/>
      <c r="DH397" s="98"/>
      <c r="DI397" s="98"/>
      <c r="DJ397" s="98"/>
      <c r="DK397" s="98"/>
      <c r="DL397" s="98"/>
      <c r="DM397" s="98"/>
      <c r="DN397" s="98"/>
      <c r="DO397" s="98"/>
      <c r="DP397" s="98"/>
      <c r="DQ397" s="98"/>
      <c r="DR397" s="98"/>
      <c r="DS397" s="98"/>
      <c r="DT397" s="98"/>
      <c r="DU397" s="98"/>
      <c r="DV397" s="98"/>
      <c r="DW397" s="98"/>
      <c r="DX397" s="98"/>
      <c r="DY397" s="98"/>
      <c r="DZ397" s="98"/>
      <c r="EA397" s="98"/>
      <c r="EB397" s="98"/>
      <c r="EC397" s="98"/>
      <c r="ED397" s="98"/>
      <c r="EE397" s="98"/>
      <c r="EF397" s="98"/>
      <c r="EG397" s="98"/>
      <c r="EH397" s="98"/>
      <c r="EI397" s="98"/>
      <c r="EJ397" s="98"/>
      <c r="EK397" s="98"/>
      <c r="EL397" s="98"/>
      <c r="EM397" s="98"/>
      <c r="EN397" s="98"/>
      <c r="EO397" s="98"/>
      <c r="EP397" s="98"/>
      <c r="EQ397" s="98"/>
      <c r="ER397" s="98"/>
      <c r="ES397" s="98"/>
      <c r="ET397" s="98"/>
      <c r="EU397" s="98"/>
      <c r="EV397" s="98"/>
      <c r="EW397" s="98"/>
      <c r="EX397" s="98"/>
      <c r="EY397" s="98"/>
      <c r="EZ397" s="98"/>
      <c r="FA397" s="98"/>
      <c r="FB397" s="98"/>
      <c r="FC397" s="98"/>
      <c r="FD397" s="98"/>
      <c r="FE397" s="98"/>
      <c r="FF397" s="98"/>
      <c r="FG397" s="98"/>
      <c r="FH397" s="98"/>
      <c r="FI397" s="98"/>
      <c r="FJ397" s="98"/>
      <c r="FK397" s="98"/>
      <c r="FL397" s="98"/>
      <c r="FM397" s="98"/>
      <c r="FN397" s="98"/>
      <c r="FO397" s="98"/>
      <c r="FP397" s="98"/>
      <c r="FQ397" s="98"/>
      <c r="FR397" s="98"/>
      <c r="FS397" s="98"/>
      <c r="FT397" s="98"/>
      <c r="FU397" s="98"/>
      <c r="FV397" s="98"/>
      <c r="FW397" s="98"/>
      <c r="FX397" s="98"/>
      <c r="FY397" s="98"/>
      <c r="FZ397" s="98"/>
      <c r="GA397" s="98"/>
      <c r="GB397" s="98"/>
      <c r="GC397" s="98"/>
      <c r="GD397" s="98"/>
      <c r="GE397" s="98"/>
      <c r="GF397" s="98"/>
      <c r="GG397" s="98"/>
      <c r="GH397" s="98"/>
      <c r="GI397" s="98"/>
      <c r="GJ397" s="98"/>
      <c r="GK397" s="98"/>
      <c r="GL397" s="98"/>
      <c r="GM397" s="98"/>
      <c r="GN397" s="98"/>
      <c r="GO397" s="98"/>
      <c r="GP397" s="98"/>
      <c r="GQ397" s="98"/>
      <c r="GR397" s="98"/>
      <c r="GS397" s="98"/>
      <c r="GT397" s="98"/>
      <c r="GU397" s="98"/>
      <c r="GV397" s="98"/>
      <c r="GW397" s="98"/>
      <c r="GX397" s="98"/>
      <c r="GY397" s="98"/>
      <c r="GZ397" s="98"/>
      <c r="HA397" s="98"/>
      <c r="HB397" s="98"/>
      <c r="HC397" s="98"/>
      <c r="HD397" s="98"/>
      <c r="HE397" s="98"/>
      <c r="HF397" s="98"/>
      <c r="HG397" s="98"/>
      <c r="HH397" s="98"/>
      <c r="HI397" s="98"/>
      <c r="HJ397" s="98"/>
      <c r="HK397" s="98"/>
      <c r="HL397" s="98"/>
      <c r="HM397" s="98"/>
      <c r="HN397" s="98"/>
      <c r="HO397" s="98"/>
      <c r="HP397" s="98"/>
      <c r="HQ397" s="98"/>
      <c r="HR397" s="98"/>
      <c r="HS397" s="98"/>
      <c r="HT397" s="98"/>
      <c r="HU397" s="98"/>
      <c r="HV397" s="98"/>
      <c r="HW397" s="98"/>
      <c r="HX397" s="98"/>
      <c r="HY397" s="98"/>
      <c r="HZ397" s="98"/>
      <c r="IA397" s="98"/>
      <c r="IB397" s="98"/>
      <c r="IC397" s="98"/>
      <c r="ID397" s="98"/>
      <c r="IE397" s="98"/>
      <c r="IF397" s="98"/>
      <c r="IG397" s="98"/>
      <c r="IH397" s="98"/>
      <c r="II397" s="98"/>
      <c r="IJ397" s="98"/>
      <c r="IK397" s="98"/>
      <c r="IL397" s="98"/>
      <c r="IM397" s="98"/>
      <c r="IN397" s="98"/>
      <c r="IO397" s="98"/>
      <c r="IP397" s="98"/>
      <c r="IQ397" s="98"/>
      <c r="IR397" s="98"/>
      <c r="IS397" s="98"/>
      <c r="IT397" s="98"/>
      <c r="IU397" s="98"/>
      <c r="IV397" s="98"/>
      <c r="IW397" s="98"/>
      <c r="IX397" s="98"/>
      <c r="IY397" s="98"/>
      <c r="IZ397" s="98"/>
      <c r="JA397" s="98"/>
      <c r="JB397" s="98"/>
      <c r="JC397" s="98"/>
      <c r="JD397" s="98"/>
      <c r="JE397" s="98"/>
      <c r="JF397" s="98"/>
      <c r="JG397" s="98"/>
      <c r="JH397" s="98"/>
      <c r="JI397" s="98"/>
      <c r="JJ397" s="98"/>
      <c r="JK397" s="98"/>
      <c r="JL397" s="98"/>
      <c r="JM397" s="98"/>
      <c r="JN397" s="98"/>
      <c r="JO397" s="98"/>
      <c r="JP397" s="98"/>
      <c r="JQ397" s="98"/>
      <c r="JR397" s="98"/>
      <c r="JS397" s="98"/>
      <c r="JT397" s="98"/>
      <c r="JU397" s="98"/>
      <c r="JV397" s="98"/>
      <c r="JW397" s="98"/>
      <c r="JX397" s="98"/>
      <c r="JY397" s="98"/>
      <c r="JZ397" s="98"/>
      <c r="KA397" s="98"/>
      <c r="KB397" s="98"/>
      <c r="KC397" s="98"/>
      <c r="KD397" s="98"/>
      <c r="KE397" s="98"/>
      <c r="KF397" s="98"/>
      <c r="KG397" s="98"/>
      <c r="KH397" s="98"/>
      <c r="KI397" s="98"/>
      <c r="KJ397" s="98"/>
      <c r="KK397" s="98"/>
      <c r="KL397" s="98"/>
      <c r="KM397" s="98"/>
      <c r="KN397" s="98"/>
      <c r="KO397" s="98"/>
      <c r="KP397" s="98"/>
      <c r="KQ397" s="98"/>
      <c r="KR397" s="98"/>
      <c r="KS397" s="98"/>
      <c r="KT397" s="98"/>
      <c r="KU397" s="98"/>
      <c r="KV397" s="98"/>
      <c r="KW397" s="98"/>
      <c r="KX397" s="98"/>
      <c r="KY397" s="98"/>
      <c r="KZ397" s="98"/>
      <c r="LA397" s="98"/>
      <c r="LB397" s="98"/>
      <c r="LC397" s="98"/>
      <c r="LD397" s="98"/>
      <c r="LE397" s="98"/>
      <c r="LF397" s="98"/>
      <c r="LG397" s="98"/>
      <c r="LH397" s="98"/>
      <c r="LI397" s="98"/>
      <c r="LJ397" s="98"/>
      <c r="LK397" s="98"/>
      <c r="LL397" s="98"/>
      <c r="LM397" s="98"/>
      <c r="LN397" s="98"/>
      <c r="LO397" s="98"/>
      <c r="LP397" s="98"/>
      <c r="LQ397" s="98"/>
      <c r="LR397" s="98"/>
      <c r="LS397" s="98"/>
      <c r="LT397" s="98"/>
      <c r="LU397" s="98"/>
      <c r="LV397" s="98"/>
      <c r="LW397" s="98"/>
      <c r="LX397" s="98"/>
      <c r="LY397" s="98"/>
      <c r="LZ397" s="98"/>
      <c r="MA397" s="98"/>
      <c r="MB397" s="98"/>
      <c r="MC397" s="98"/>
      <c r="MD397" s="98"/>
      <c r="ME397" s="98"/>
      <c r="MF397" s="98"/>
      <c r="MG397" s="98"/>
      <c r="MH397" s="98"/>
      <c r="MI397" s="98"/>
      <c r="MJ397" s="98"/>
      <c r="MK397" s="98"/>
      <c r="ML397" s="98"/>
      <c r="MM397" s="98"/>
      <c r="MN397" s="98"/>
      <c r="MO397" s="98"/>
      <c r="MP397" s="98"/>
      <c r="MQ397" s="98"/>
      <c r="MR397" s="98"/>
      <c r="MS397" s="98"/>
      <c r="MT397" s="98"/>
      <c r="MU397" s="98"/>
      <c r="MV397" s="98"/>
      <c r="MW397" s="98"/>
      <c r="MX397" s="98"/>
      <c r="MY397" s="98"/>
      <c r="MZ397" s="98"/>
      <c r="NA397" s="98"/>
      <c r="NB397" s="98"/>
      <c r="NC397" s="98"/>
      <c r="ND397" s="98"/>
      <c r="NE397" s="98"/>
      <c r="NF397" s="98"/>
      <c r="NG397" s="98"/>
      <c r="NH397" s="98"/>
      <c r="NI397" s="98"/>
      <c r="NJ397" s="98"/>
      <c r="NK397" s="98"/>
      <c r="NL397" s="98"/>
      <c r="NM397" s="98"/>
      <c r="NN397" s="98"/>
      <c r="NO397" s="98"/>
      <c r="NP397" s="98"/>
      <c r="NQ397" s="98"/>
      <c r="NR397" s="98"/>
      <c r="NS397" s="98"/>
      <c r="NT397" s="98"/>
      <c r="NU397" s="98"/>
      <c r="NV397" s="98"/>
      <c r="NW397" s="98"/>
      <c r="NX397" s="98"/>
      <c r="NY397" s="98"/>
      <c r="NZ397" s="98"/>
      <c r="OA397" s="98"/>
      <c r="OB397" s="98"/>
      <c r="OC397" s="98"/>
      <c r="OD397" s="98"/>
      <c r="OE397" s="98"/>
      <c r="OF397" s="98"/>
      <c r="OG397" s="98"/>
      <c r="OH397" s="98"/>
      <c r="OI397" s="98"/>
      <c r="OJ397" s="98"/>
      <c r="OK397" s="98"/>
      <c r="OL397" s="98"/>
      <c r="OM397" s="98"/>
      <c r="ON397" s="98"/>
      <c r="OO397" s="98"/>
      <c r="OP397" s="98"/>
      <c r="OQ397" s="98"/>
      <c r="OR397" s="98"/>
      <c r="OS397" s="98"/>
      <c r="OT397" s="98"/>
      <c r="OU397" s="98"/>
      <c r="OV397" s="98"/>
      <c r="OW397" s="98"/>
      <c r="OX397" s="98"/>
      <c r="OY397" s="98"/>
      <c r="OZ397" s="98"/>
      <c r="PA397" s="98"/>
      <c r="PB397" s="98"/>
      <c r="PC397" s="98"/>
      <c r="PD397" s="98"/>
      <c r="PE397" s="98"/>
      <c r="PF397" s="98"/>
      <c r="PG397" s="98"/>
      <c r="PH397" s="98"/>
      <c r="PI397" s="98"/>
      <c r="PJ397" s="98"/>
      <c r="PK397" s="98"/>
      <c r="PL397" s="98"/>
      <c r="PM397" s="98"/>
      <c r="PN397" s="98"/>
      <c r="PO397" s="98"/>
      <c r="PP397" s="98"/>
      <c r="PQ397" s="98"/>
      <c r="PR397" s="98"/>
      <c r="PS397" s="98"/>
      <c r="PT397" s="98"/>
      <c r="PU397" s="98"/>
      <c r="PV397" s="98"/>
      <c r="PW397" s="98"/>
      <c r="PX397" s="98"/>
      <c r="PY397" s="98"/>
      <c r="PZ397" s="98"/>
      <c r="QA397" s="98"/>
      <c r="QB397" s="98"/>
      <c r="QC397" s="98"/>
      <c r="QD397" s="98"/>
      <c r="QE397" s="98"/>
      <c r="QF397" s="98"/>
      <c r="QG397" s="98"/>
      <c r="QH397" s="98"/>
      <c r="QI397" s="98"/>
      <c r="QJ397" s="98"/>
      <c r="QK397" s="98"/>
      <c r="QL397" s="98"/>
      <c r="QM397" s="98"/>
      <c r="QN397" s="98"/>
      <c r="QO397" s="98"/>
      <c r="QP397" s="98"/>
      <c r="QQ397" s="98"/>
      <c r="QR397" s="98"/>
      <c r="QS397" s="98"/>
      <c r="QT397" s="98"/>
      <c r="QU397" s="98"/>
      <c r="QV397" s="98"/>
      <c r="QW397" s="98"/>
      <c r="QX397" s="98"/>
      <c r="QY397" s="98"/>
      <c r="QZ397" s="98"/>
      <c r="RA397" s="98"/>
      <c r="RB397" s="98"/>
      <c r="RC397" s="98"/>
      <c r="RD397" s="98"/>
      <c r="RE397" s="98"/>
      <c r="RF397" s="98"/>
      <c r="RG397" s="98"/>
      <c r="RH397" s="98"/>
      <c r="RI397" s="98"/>
      <c r="RJ397" s="98"/>
      <c r="RK397" s="98"/>
      <c r="RL397" s="98"/>
      <c r="RM397" s="98"/>
      <c r="RN397" s="98"/>
      <c r="RO397" s="98"/>
      <c r="RP397" s="98"/>
      <c r="RQ397" s="98"/>
      <c r="RR397" s="98"/>
      <c r="RS397" s="98"/>
      <c r="RT397" s="98"/>
      <c r="RU397" s="98"/>
      <c r="RV397" s="98"/>
      <c r="RW397" s="98"/>
      <c r="RX397" s="98"/>
      <c r="RY397" s="98"/>
      <c r="RZ397" s="98"/>
      <c r="SA397" s="98"/>
      <c r="SB397" s="98"/>
      <c r="SC397" s="98"/>
      <c r="SD397" s="98"/>
      <c r="SE397" s="98"/>
      <c r="SF397" s="98"/>
      <c r="SG397" s="98"/>
      <c r="SH397" s="98"/>
      <c r="SI397" s="98"/>
      <c r="SJ397" s="98"/>
      <c r="SK397" s="98"/>
      <c r="SL397" s="98"/>
      <c r="SM397" s="98"/>
      <c r="SN397" s="98"/>
      <c r="SO397" s="98"/>
      <c r="SP397" s="98"/>
      <c r="SQ397" s="98"/>
      <c r="SR397" s="98"/>
    </row>
    <row r="398" spans="1:512" ht="230.25" outlineLevel="3" thickBot="1" x14ac:dyDescent="0.25">
      <c r="A398" s="10" t="s">
        <v>1060</v>
      </c>
      <c r="B398" s="170" t="s">
        <v>1061</v>
      </c>
      <c r="C398" s="56" t="s">
        <v>1062</v>
      </c>
      <c r="D398" s="164" t="s">
        <v>1063</v>
      </c>
      <c r="E398" s="74" t="s">
        <v>118</v>
      </c>
      <c r="F398" s="74" t="s">
        <v>1064</v>
      </c>
      <c r="G398" s="48" t="s">
        <v>191</v>
      </c>
      <c r="H398" s="26" t="s">
        <v>46</v>
      </c>
      <c r="I398" s="42">
        <v>3</v>
      </c>
      <c r="J398" s="70" t="s">
        <v>47</v>
      </c>
      <c r="K398" s="29" t="s">
        <v>1059</v>
      </c>
      <c r="L398" s="71">
        <v>2</v>
      </c>
      <c r="M398" s="31">
        <f t="shared" si="54"/>
        <v>6</v>
      </c>
      <c r="N398" s="32" t="s">
        <v>39</v>
      </c>
      <c r="O398" s="60" t="s">
        <v>884</v>
      </c>
      <c r="P398" s="30">
        <v>3</v>
      </c>
      <c r="Q398" s="34">
        <f t="shared" si="55"/>
        <v>18</v>
      </c>
      <c r="R398" s="49"/>
      <c r="S398" s="49"/>
      <c r="T398" s="49"/>
      <c r="U398" s="50"/>
      <c r="V398" s="51"/>
      <c r="W398" s="52"/>
      <c r="X398" s="51"/>
      <c r="Y398" s="51"/>
      <c r="Z398" s="53"/>
      <c r="AA398" s="40"/>
      <c r="AB398" s="41"/>
      <c r="AD398" s="17">
        <f t="shared" si="53"/>
        <v>-1573</v>
      </c>
      <c r="AE398" s="18"/>
      <c r="AF398" s="98"/>
      <c r="AG398" s="98"/>
      <c r="AH398" s="98"/>
      <c r="AI398" s="98"/>
      <c r="AJ398" s="98"/>
      <c r="AK398" s="98"/>
      <c r="AL398" s="98"/>
      <c r="AM398" s="98"/>
      <c r="AN398" s="98"/>
      <c r="AO398" s="98"/>
      <c r="AP398" s="98"/>
      <c r="AQ398" s="98"/>
      <c r="AR398" s="98"/>
      <c r="AS398" s="98"/>
      <c r="AT398" s="98"/>
      <c r="AU398" s="98"/>
      <c r="AV398" s="98"/>
      <c r="AW398" s="98"/>
      <c r="AX398" s="98"/>
      <c r="AY398" s="98"/>
      <c r="AZ398" s="98"/>
      <c r="BA398" s="98"/>
      <c r="BB398" s="98"/>
      <c r="BC398" s="98"/>
      <c r="BD398" s="98"/>
      <c r="BE398" s="98"/>
      <c r="BF398" s="98"/>
      <c r="BG398" s="98"/>
      <c r="BH398" s="98"/>
      <c r="BI398" s="98"/>
      <c r="BJ398" s="98"/>
      <c r="BK398" s="98"/>
      <c r="BL398" s="98"/>
      <c r="BM398" s="98"/>
      <c r="BN398" s="98"/>
      <c r="BO398" s="98"/>
      <c r="BP398" s="98"/>
      <c r="BQ398" s="98"/>
      <c r="BR398" s="98"/>
      <c r="BS398" s="98"/>
      <c r="BT398" s="98"/>
      <c r="BU398" s="98"/>
      <c r="BV398" s="98"/>
      <c r="BW398" s="98"/>
      <c r="BX398" s="98"/>
      <c r="BY398" s="98"/>
      <c r="BZ398" s="98"/>
      <c r="CA398" s="98"/>
      <c r="CB398" s="98"/>
      <c r="CC398" s="98"/>
      <c r="CD398" s="98"/>
      <c r="CE398" s="98"/>
      <c r="CF398" s="98"/>
      <c r="CG398" s="98"/>
      <c r="CH398" s="98"/>
      <c r="CI398" s="98"/>
      <c r="CJ398" s="98"/>
      <c r="CK398" s="98"/>
      <c r="CL398" s="98"/>
      <c r="CM398" s="98"/>
      <c r="CN398" s="98"/>
      <c r="CO398" s="98"/>
      <c r="CP398" s="98"/>
      <c r="CQ398" s="98"/>
      <c r="CR398" s="98"/>
      <c r="CS398" s="98"/>
      <c r="CT398" s="98"/>
      <c r="CU398" s="98"/>
      <c r="CV398" s="98"/>
      <c r="CW398" s="98"/>
      <c r="CX398" s="98"/>
      <c r="CY398" s="98"/>
      <c r="CZ398" s="98"/>
      <c r="DA398" s="98"/>
      <c r="DB398" s="98"/>
      <c r="DC398" s="98"/>
      <c r="DD398" s="98"/>
      <c r="DE398" s="98"/>
      <c r="DF398" s="98"/>
      <c r="DG398" s="98"/>
      <c r="DH398" s="98"/>
      <c r="DI398" s="98"/>
      <c r="DJ398" s="98"/>
      <c r="DK398" s="98"/>
      <c r="DL398" s="98"/>
      <c r="DM398" s="98"/>
      <c r="DN398" s="98"/>
      <c r="DO398" s="98"/>
      <c r="DP398" s="98"/>
      <c r="DQ398" s="98"/>
      <c r="DR398" s="98"/>
      <c r="DS398" s="98"/>
      <c r="DT398" s="98"/>
      <c r="DU398" s="98"/>
      <c r="DV398" s="98"/>
      <c r="DW398" s="98"/>
      <c r="DX398" s="98"/>
      <c r="DY398" s="98"/>
      <c r="DZ398" s="98"/>
      <c r="EA398" s="98"/>
      <c r="EB398" s="98"/>
      <c r="EC398" s="98"/>
      <c r="ED398" s="98"/>
      <c r="EE398" s="98"/>
      <c r="EF398" s="98"/>
      <c r="EG398" s="98"/>
      <c r="EH398" s="98"/>
      <c r="EI398" s="98"/>
      <c r="EJ398" s="98"/>
      <c r="EK398" s="98"/>
      <c r="EL398" s="98"/>
      <c r="EM398" s="98"/>
      <c r="EN398" s="98"/>
      <c r="EO398" s="98"/>
      <c r="EP398" s="98"/>
      <c r="EQ398" s="98"/>
      <c r="ER398" s="98"/>
      <c r="ES398" s="98"/>
      <c r="ET398" s="98"/>
      <c r="EU398" s="98"/>
      <c r="EV398" s="98"/>
      <c r="EW398" s="98"/>
      <c r="EX398" s="98"/>
      <c r="EY398" s="98"/>
      <c r="EZ398" s="98"/>
      <c r="FA398" s="98"/>
      <c r="FB398" s="98"/>
      <c r="FC398" s="98"/>
      <c r="FD398" s="98"/>
      <c r="FE398" s="98"/>
      <c r="FF398" s="98"/>
      <c r="FG398" s="98"/>
      <c r="FH398" s="98"/>
      <c r="FI398" s="98"/>
      <c r="FJ398" s="98"/>
      <c r="FK398" s="98"/>
      <c r="FL398" s="98"/>
      <c r="FM398" s="98"/>
      <c r="FN398" s="98"/>
      <c r="FO398" s="98"/>
      <c r="FP398" s="98"/>
      <c r="FQ398" s="98"/>
      <c r="FR398" s="98"/>
      <c r="FS398" s="98"/>
      <c r="FT398" s="98"/>
      <c r="FU398" s="98"/>
      <c r="FV398" s="98"/>
      <c r="FW398" s="98"/>
      <c r="FX398" s="98"/>
      <c r="FY398" s="98"/>
      <c r="FZ398" s="98"/>
      <c r="GA398" s="98"/>
      <c r="GB398" s="98"/>
      <c r="GC398" s="98"/>
      <c r="GD398" s="98"/>
      <c r="GE398" s="98"/>
      <c r="GF398" s="98"/>
      <c r="GG398" s="98"/>
      <c r="GH398" s="98"/>
      <c r="GI398" s="98"/>
      <c r="GJ398" s="98"/>
      <c r="GK398" s="98"/>
      <c r="GL398" s="98"/>
      <c r="GM398" s="98"/>
      <c r="GN398" s="98"/>
      <c r="GO398" s="98"/>
      <c r="GP398" s="98"/>
      <c r="GQ398" s="98"/>
      <c r="GR398" s="98"/>
      <c r="GS398" s="98"/>
      <c r="GT398" s="98"/>
      <c r="GU398" s="98"/>
      <c r="GV398" s="98"/>
      <c r="GW398" s="98"/>
      <c r="GX398" s="98"/>
      <c r="GY398" s="98"/>
      <c r="GZ398" s="98"/>
      <c r="HA398" s="98"/>
      <c r="HB398" s="98"/>
      <c r="HC398" s="98"/>
      <c r="HD398" s="98"/>
      <c r="HE398" s="98"/>
      <c r="HF398" s="98"/>
      <c r="HG398" s="98"/>
      <c r="HH398" s="98"/>
      <c r="HI398" s="98"/>
      <c r="HJ398" s="98"/>
      <c r="HK398" s="98"/>
      <c r="HL398" s="98"/>
      <c r="HM398" s="98"/>
      <c r="HN398" s="98"/>
      <c r="HO398" s="98"/>
      <c r="HP398" s="98"/>
      <c r="HQ398" s="98"/>
      <c r="HR398" s="98"/>
      <c r="HS398" s="98"/>
      <c r="HT398" s="98"/>
      <c r="HU398" s="98"/>
      <c r="HV398" s="98"/>
      <c r="HW398" s="98"/>
      <c r="HX398" s="98"/>
      <c r="HY398" s="98"/>
      <c r="HZ398" s="98"/>
      <c r="IA398" s="98"/>
      <c r="IB398" s="98"/>
      <c r="IC398" s="98"/>
      <c r="ID398" s="98"/>
      <c r="IE398" s="98"/>
      <c r="IF398" s="98"/>
      <c r="IG398" s="98"/>
      <c r="IH398" s="98"/>
      <c r="II398" s="98"/>
      <c r="IJ398" s="98"/>
      <c r="IK398" s="98"/>
      <c r="IL398" s="98"/>
      <c r="IM398" s="98"/>
      <c r="IN398" s="98"/>
      <c r="IO398" s="98"/>
      <c r="IP398" s="98"/>
      <c r="IQ398" s="98"/>
      <c r="IR398" s="98"/>
      <c r="IS398" s="98"/>
      <c r="IT398" s="98"/>
      <c r="IU398" s="98"/>
      <c r="IV398" s="98"/>
      <c r="IW398" s="98"/>
      <c r="IX398" s="98"/>
      <c r="IY398" s="98"/>
      <c r="IZ398" s="98"/>
      <c r="JA398" s="98"/>
      <c r="JB398" s="98"/>
      <c r="JC398" s="98"/>
      <c r="JD398" s="98"/>
      <c r="JE398" s="98"/>
      <c r="JF398" s="98"/>
      <c r="JG398" s="98"/>
      <c r="JH398" s="98"/>
      <c r="JI398" s="98"/>
      <c r="JJ398" s="98"/>
      <c r="JK398" s="98"/>
      <c r="JL398" s="98"/>
      <c r="JM398" s="98"/>
      <c r="JN398" s="98"/>
      <c r="JO398" s="98"/>
      <c r="JP398" s="98"/>
      <c r="JQ398" s="98"/>
      <c r="JR398" s="98"/>
      <c r="JS398" s="98"/>
      <c r="JT398" s="98"/>
      <c r="JU398" s="98"/>
      <c r="JV398" s="98"/>
      <c r="JW398" s="98"/>
      <c r="JX398" s="98"/>
      <c r="JY398" s="98"/>
      <c r="JZ398" s="98"/>
      <c r="KA398" s="98"/>
      <c r="KB398" s="98"/>
      <c r="KC398" s="98"/>
      <c r="KD398" s="98"/>
      <c r="KE398" s="98"/>
      <c r="KF398" s="98"/>
      <c r="KG398" s="98"/>
      <c r="KH398" s="98"/>
      <c r="KI398" s="98"/>
      <c r="KJ398" s="98"/>
      <c r="KK398" s="98"/>
      <c r="KL398" s="98"/>
      <c r="KM398" s="98"/>
      <c r="KN398" s="98"/>
      <c r="KO398" s="98"/>
      <c r="KP398" s="98"/>
      <c r="KQ398" s="98"/>
      <c r="KR398" s="98"/>
      <c r="KS398" s="98"/>
      <c r="KT398" s="98"/>
      <c r="KU398" s="98"/>
      <c r="KV398" s="98"/>
      <c r="KW398" s="98"/>
      <c r="KX398" s="98"/>
      <c r="KY398" s="98"/>
      <c r="KZ398" s="98"/>
      <c r="LA398" s="98"/>
      <c r="LB398" s="98"/>
      <c r="LC398" s="98"/>
      <c r="LD398" s="98"/>
      <c r="LE398" s="98"/>
      <c r="LF398" s="98"/>
      <c r="LG398" s="98"/>
      <c r="LH398" s="98"/>
      <c r="LI398" s="98"/>
      <c r="LJ398" s="98"/>
      <c r="LK398" s="98"/>
      <c r="LL398" s="98"/>
      <c r="LM398" s="98"/>
      <c r="LN398" s="98"/>
      <c r="LO398" s="98"/>
      <c r="LP398" s="98"/>
      <c r="LQ398" s="98"/>
      <c r="LR398" s="98"/>
      <c r="LS398" s="98"/>
      <c r="LT398" s="98"/>
      <c r="LU398" s="98"/>
      <c r="LV398" s="98"/>
      <c r="LW398" s="98"/>
      <c r="LX398" s="98"/>
      <c r="LY398" s="98"/>
      <c r="LZ398" s="98"/>
      <c r="MA398" s="98"/>
      <c r="MB398" s="98"/>
      <c r="MC398" s="98"/>
      <c r="MD398" s="98"/>
      <c r="ME398" s="98"/>
      <c r="MF398" s="98"/>
      <c r="MG398" s="98"/>
      <c r="MH398" s="98"/>
      <c r="MI398" s="98"/>
      <c r="MJ398" s="98"/>
      <c r="MK398" s="98"/>
      <c r="ML398" s="98"/>
      <c r="MM398" s="98"/>
      <c r="MN398" s="98"/>
      <c r="MO398" s="98"/>
      <c r="MP398" s="98"/>
      <c r="MQ398" s="98"/>
      <c r="MR398" s="98"/>
      <c r="MS398" s="98"/>
      <c r="MT398" s="98"/>
      <c r="MU398" s="98"/>
      <c r="MV398" s="98"/>
      <c r="MW398" s="98"/>
      <c r="MX398" s="98"/>
      <c r="MY398" s="98"/>
      <c r="MZ398" s="98"/>
      <c r="NA398" s="98"/>
      <c r="NB398" s="98"/>
      <c r="NC398" s="98"/>
      <c r="ND398" s="98"/>
      <c r="NE398" s="98"/>
      <c r="NF398" s="98"/>
      <c r="NG398" s="98"/>
      <c r="NH398" s="98"/>
      <c r="NI398" s="98"/>
      <c r="NJ398" s="98"/>
      <c r="NK398" s="98"/>
      <c r="NL398" s="98"/>
      <c r="NM398" s="98"/>
      <c r="NN398" s="98"/>
      <c r="NO398" s="98"/>
      <c r="NP398" s="98"/>
      <c r="NQ398" s="98"/>
      <c r="NR398" s="98"/>
      <c r="NS398" s="98"/>
      <c r="NT398" s="98"/>
      <c r="NU398" s="98"/>
      <c r="NV398" s="98"/>
      <c r="NW398" s="98"/>
      <c r="NX398" s="98"/>
      <c r="NY398" s="98"/>
      <c r="NZ398" s="98"/>
      <c r="OA398" s="98"/>
      <c r="OB398" s="98"/>
      <c r="OC398" s="98"/>
      <c r="OD398" s="98"/>
      <c r="OE398" s="98"/>
      <c r="OF398" s="98"/>
      <c r="OG398" s="98"/>
      <c r="OH398" s="98"/>
      <c r="OI398" s="98"/>
      <c r="OJ398" s="98"/>
      <c r="OK398" s="98"/>
      <c r="OL398" s="98"/>
      <c r="OM398" s="98"/>
      <c r="ON398" s="98"/>
      <c r="OO398" s="98"/>
      <c r="OP398" s="98"/>
      <c r="OQ398" s="98"/>
      <c r="OR398" s="98"/>
      <c r="OS398" s="98"/>
      <c r="OT398" s="98"/>
      <c r="OU398" s="98"/>
      <c r="OV398" s="98"/>
      <c r="OW398" s="98"/>
      <c r="OX398" s="98"/>
      <c r="OY398" s="98"/>
      <c r="OZ398" s="98"/>
      <c r="PA398" s="98"/>
      <c r="PB398" s="98"/>
      <c r="PC398" s="98"/>
      <c r="PD398" s="98"/>
      <c r="PE398" s="98"/>
      <c r="PF398" s="98"/>
      <c r="PG398" s="98"/>
      <c r="PH398" s="98"/>
      <c r="PI398" s="98"/>
      <c r="PJ398" s="98"/>
      <c r="PK398" s="98"/>
      <c r="PL398" s="98"/>
      <c r="PM398" s="98"/>
      <c r="PN398" s="98"/>
      <c r="PO398" s="98"/>
      <c r="PP398" s="98"/>
      <c r="PQ398" s="98"/>
      <c r="PR398" s="98"/>
      <c r="PS398" s="98"/>
      <c r="PT398" s="98"/>
      <c r="PU398" s="98"/>
      <c r="PV398" s="98"/>
      <c r="PW398" s="98"/>
      <c r="PX398" s="98"/>
      <c r="PY398" s="98"/>
      <c r="PZ398" s="98"/>
      <c r="QA398" s="98"/>
      <c r="QB398" s="98"/>
      <c r="QC398" s="98"/>
      <c r="QD398" s="98"/>
      <c r="QE398" s="98"/>
      <c r="QF398" s="98"/>
      <c r="QG398" s="98"/>
      <c r="QH398" s="98"/>
      <c r="QI398" s="98"/>
      <c r="QJ398" s="98"/>
      <c r="QK398" s="98"/>
      <c r="QL398" s="98"/>
      <c r="QM398" s="98"/>
      <c r="QN398" s="98"/>
      <c r="QO398" s="98"/>
      <c r="QP398" s="98"/>
      <c r="QQ398" s="98"/>
      <c r="QR398" s="98"/>
      <c r="QS398" s="98"/>
      <c r="QT398" s="98"/>
      <c r="QU398" s="98"/>
      <c r="QV398" s="98"/>
      <c r="QW398" s="98"/>
      <c r="QX398" s="98"/>
      <c r="QY398" s="98"/>
      <c r="QZ398" s="98"/>
      <c r="RA398" s="98"/>
      <c r="RB398" s="98"/>
      <c r="RC398" s="98"/>
      <c r="RD398" s="98"/>
      <c r="RE398" s="98"/>
      <c r="RF398" s="98"/>
      <c r="RG398" s="98"/>
      <c r="RH398" s="98"/>
      <c r="RI398" s="98"/>
      <c r="RJ398" s="98"/>
      <c r="RK398" s="98"/>
      <c r="RL398" s="98"/>
      <c r="RM398" s="98"/>
      <c r="RN398" s="98"/>
      <c r="RO398" s="98"/>
      <c r="RP398" s="98"/>
      <c r="RQ398" s="98"/>
      <c r="RR398" s="98"/>
      <c r="RS398" s="98"/>
      <c r="RT398" s="98"/>
      <c r="RU398" s="98"/>
      <c r="RV398" s="98"/>
      <c r="RW398" s="98"/>
      <c r="RX398" s="98"/>
      <c r="RY398" s="98"/>
      <c r="RZ398" s="98"/>
      <c r="SA398" s="98"/>
      <c r="SB398" s="98"/>
      <c r="SC398" s="98"/>
      <c r="SD398" s="98"/>
      <c r="SE398" s="98"/>
      <c r="SF398" s="98"/>
      <c r="SG398" s="98"/>
      <c r="SH398" s="98"/>
      <c r="SI398" s="98"/>
      <c r="SJ398" s="98"/>
      <c r="SK398" s="98"/>
      <c r="SL398" s="98"/>
      <c r="SM398" s="98"/>
      <c r="SN398" s="98"/>
      <c r="SO398" s="98"/>
      <c r="SP398" s="98"/>
      <c r="SQ398" s="98"/>
      <c r="SR398" s="98"/>
    </row>
    <row r="399" spans="1:512" ht="230.25" outlineLevel="3" thickBot="1" x14ac:dyDescent="0.25">
      <c r="A399" s="10" t="s">
        <v>1065</v>
      </c>
      <c r="B399" s="157"/>
      <c r="C399" s="46"/>
      <c r="D399" s="141"/>
      <c r="E399" s="74" t="s">
        <v>58</v>
      </c>
      <c r="F399" s="74" t="s">
        <v>1066</v>
      </c>
      <c r="G399" s="48" t="s">
        <v>191</v>
      </c>
      <c r="H399" s="26" t="s">
        <v>46</v>
      </c>
      <c r="I399" s="42">
        <v>3</v>
      </c>
      <c r="J399" s="70" t="s">
        <v>47</v>
      </c>
      <c r="K399" s="29" t="s">
        <v>1059</v>
      </c>
      <c r="L399" s="71">
        <v>2</v>
      </c>
      <c r="M399" s="113">
        <f t="shared" si="54"/>
        <v>6</v>
      </c>
      <c r="N399" s="32" t="s">
        <v>39</v>
      </c>
      <c r="O399" s="60" t="s">
        <v>884</v>
      </c>
      <c r="P399" s="30">
        <v>3</v>
      </c>
      <c r="Q399" s="34">
        <f t="shared" si="55"/>
        <v>18</v>
      </c>
      <c r="R399" s="49"/>
      <c r="S399" s="49"/>
      <c r="T399" s="49"/>
      <c r="U399" s="50"/>
      <c r="V399" s="51"/>
      <c r="W399" s="52"/>
      <c r="X399" s="51"/>
      <c r="Y399" s="51"/>
      <c r="Z399" s="53"/>
      <c r="AA399" s="40"/>
      <c r="AB399" s="41"/>
      <c r="AD399" s="17">
        <f t="shared" si="53"/>
        <v>-1574</v>
      </c>
      <c r="AE399" s="18"/>
      <c r="AF399" s="98"/>
      <c r="AG399" s="98"/>
      <c r="AH399" s="98"/>
      <c r="AI399" s="98"/>
      <c r="AJ399" s="98"/>
      <c r="AK399" s="98"/>
      <c r="AL399" s="98"/>
      <c r="AM399" s="98"/>
      <c r="AN399" s="98"/>
      <c r="AO399" s="98"/>
      <c r="AP399" s="98"/>
      <c r="AQ399" s="98"/>
      <c r="AR399" s="98"/>
      <c r="AS399" s="98"/>
      <c r="AT399" s="98"/>
      <c r="AU399" s="98"/>
      <c r="AV399" s="98"/>
      <c r="AW399" s="98"/>
      <c r="AX399" s="98"/>
      <c r="AY399" s="98"/>
      <c r="AZ399" s="98"/>
      <c r="BA399" s="98"/>
      <c r="BB399" s="98"/>
      <c r="BC399" s="98"/>
      <c r="BD399" s="98"/>
      <c r="BE399" s="98"/>
      <c r="BF399" s="98"/>
      <c r="BG399" s="98"/>
      <c r="BH399" s="98"/>
      <c r="BI399" s="98"/>
      <c r="BJ399" s="98"/>
      <c r="BK399" s="98"/>
      <c r="BL399" s="98"/>
      <c r="BM399" s="98"/>
      <c r="BN399" s="98"/>
      <c r="BO399" s="98"/>
      <c r="BP399" s="98"/>
      <c r="BQ399" s="98"/>
      <c r="BR399" s="98"/>
      <c r="BS399" s="98"/>
      <c r="BT399" s="98"/>
      <c r="BU399" s="98"/>
      <c r="BV399" s="98"/>
      <c r="BW399" s="98"/>
      <c r="BX399" s="98"/>
      <c r="BY399" s="98"/>
      <c r="BZ399" s="98"/>
      <c r="CA399" s="98"/>
      <c r="CB399" s="98"/>
      <c r="CC399" s="98"/>
      <c r="CD399" s="98"/>
      <c r="CE399" s="98"/>
      <c r="CF399" s="98"/>
      <c r="CG399" s="98"/>
      <c r="CH399" s="98"/>
      <c r="CI399" s="98"/>
      <c r="CJ399" s="98"/>
      <c r="CK399" s="98"/>
      <c r="CL399" s="98"/>
      <c r="CM399" s="98"/>
      <c r="CN399" s="98"/>
      <c r="CO399" s="98"/>
      <c r="CP399" s="98"/>
      <c r="CQ399" s="98"/>
      <c r="CR399" s="98"/>
      <c r="CS399" s="98"/>
      <c r="CT399" s="98"/>
      <c r="CU399" s="98"/>
      <c r="CV399" s="98"/>
      <c r="CW399" s="98"/>
      <c r="CX399" s="98"/>
      <c r="CY399" s="98"/>
      <c r="CZ399" s="98"/>
      <c r="DA399" s="98"/>
      <c r="DB399" s="98"/>
      <c r="DC399" s="98"/>
      <c r="DD399" s="98"/>
      <c r="DE399" s="98"/>
      <c r="DF399" s="98"/>
      <c r="DG399" s="98"/>
      <c r="DH399" s="98"/>
      <c r="DI399" s="98"/>
      <c r="DJ399" s="98"/>
      <c r="DK399" s="98"/>
      <c r="DL399" s="98"/>
      <c r="DM399" s="98"/>
      <c r="DN399" s="98"/>
      <c r="DO399" s="98"/>
      <c r="DP399" s="98"/>
      <c r="DQ399" s="98"/>
      <c r="DR399" s="98"/>
      <c r="DS399" s="98"/>
      <c r="DT399" s="98"/>
      <c r="DU399" s="98"/>
      <c r="DV399" s="98"/>
      <c r="DW399" s="98"/>
      <c r="DX399" s="98"/>
      <c r="DY399" s="98"/>
      <c r="DZ399" s="98"/>
      <c r="EA399" s="98"/>
      <c r="EB399" s="98"/>
      <c r="EC399" s="98"/>
      <c r="ED399" s="98"/>
      <c r="EE399" s="98"/>
      <c r="EF399" s="98"/>
      <c r="EG399" s="98"/>
      <c r="EH399" s="98"/>
      <c r="EI399" s="98"/>
      <c r="EJ399" s="98"/>
      <c r="EK399" s="98"/>
      <c r="EL399" s="98"/>
      <c r="EM399" s="98"/>
      <c r="EN399" s="98"/>
      <c r="EO399" s="98"/>
      <c r="EP399" s="98"/>
      <c r="EQ399" s="98"/>
      <c r="ER399" s="98"/>
      <c r="ES399" s="98"/>
      <c r="ET399" s="98"/>
      <c r="EU399" s="98"/>
      <c r="EV399" s="98"/>
      <c r="EW399" s="98"/>
      <c r="EX399" s="98"/>
      <c r="EY399" s="98"/>
      <c r="EZ399" s="98"/>
      <c r="FA399" s="98"/>
      <c r="FB399" s="98"/>
      <c r="FC399" s="98"/>
      <c r="FD399" s="98"/>
      <c r="FE399" s="98"/>
      <c r="FF399" s="98"/>
      <c r="FG399" s="98"/>
      <c r="FH399" s="98"/>
      <c r="FI399" s="98"/>
      <c r="FJ399" s="98"/>
      <c r="FK399" s="98"/>
      <c r="FL399" s="98"/>
      <c r="FM399" s="98"/>
      <c r="FN399" s="98"/>
      <c r="FO399" s="98"/>
      <c r="FP399" s="98"/>
      <c r="FQ399" s="98"/>
      <c r="FR399" s="98"/>
      <c r="FS399" s="98"/>
      <c r="FT399" s="98"/>
      <c r="FU399" s="98"/>
      <c r="FV399" s="98"/>
      <c r="FW399" s="98"/>
      <c r="FX399" s="98"/>
      <c r="FY399" s="98"/>
      <c r="FZ399" s="98"/>
      <c r="GA399" s="98"/>
      <c r="GB399" s="98"/>
      <c r="GC399" s="98"/>
      <c r="GD399" s="98"/>
      <c r="GE399" s="98"/>
      <c r="GF399" s="98"/>
      <c r="GG399" s="98"/>
      <c r="GH399" s="98"/>
      <c r="GI399" s="98"/>
      <c r="GJ399" s="98"/>
      <c r="GK399" s="98"/>
      <c r="GL399" s="98"/>
      <c r="GM399" s="98"/>
      <c r="GN399" s="98"/>
      <c r="GO399" s="98"/>
      <c r="GP399" s="98"/>
      <c r="GQ399" s="98"/>
      <c r="GR399" s="98"/>
      <c r="GS399" s="98"/>
      <c r="GT399" s="98"/>
      <c r="GU399" s="98"/>
      <c r="GV399" s="98"/>
      <c r="GW399" s="98"/>
      <c r="GX399" s="98"/>
      <c r="GY399" s="98"/>
      <c r="GZ399" s="98"/>
      <c r="HA399" s="98"/>
      <c r="HB399" s="98"/>
      <c r="HC399" s="98"/>
      <c r="HD399" s="98"/>
      <c r="HE399" s="98"/>
      <c r="HF399" s="98"/>
      <c r="HG399" s="98"/>
      <c r="HH399" s="98"/>
      <c r="HI399" s="98"/>
      <c r="HJ399" s="98"/>
      <c r="HK399" s="98"/>
      <c r="HL399" s="98"/>
      <c r="HM399" s="98"/>
      <c r="HN399" s="98"/>
      <c r="HO399" s="98"/>
      <c r="HP399" s="98"/>
      <c r="HQ399" s="98"/>
      <c r="HR399" s="98"/>
      <c r="HS399" s="98"/>
      <c r="HT399" s="98"/>
      <c r="HU399" s="98"/>
      <c r="HV399" s="98"/>
      <c r="HW399" s="98"/>
      <c r="HX399" s="98"/>
      <c r="HY399" s="98"/>
      <c r="HZ399" s="98"/>
      <c r="IA399" s="98"/>
      <c r="IB399" s="98"/>
      <c r="IC399" s="98"/>
      <c r="ID399" s="98"/>
      <c r="IE399" s="98"/>
      <c r="IF399" s="98"/>
      <c r="IG399" s="98"/>
      <c r="IH399" s="98"/>
      <c r="II399" s="98"/>
      <c r="IJ399" s="98"/>
      <c r="IK399" s="98"/>
      <c r="IL399" s="98"/>
      <c r="IM399" s="98"/>
      <c r="IN399" s="98"/>
      <c r="IO399" s="98"/>
      <c r="IP399" s="98"/>
      <c r="IQ399" s="98"/>
      <c r="IR399" s="98"/>
      <c r="IS399" s="98"/>
      <c r="IT399" s="98"/>
      <c r="IU399" s="98"/>
      <c r="IV399" s="98"/>
      <c r="IW399" s="98"/>
      <c r="IX399" s="98"/>
      <c r="IY399" s="98"/>
      <c r="IZ399" s="98"/>
      <c r="JA399" s="98"/>
      <c r="JB399" s="98"/>
      <c r="JC399" s="98"/>
      <c r="JD399" s="98"/>
      <c r="JE399" s="98"/>
      <c r="JF399" s="98"/>
      <c r="JG399" s="98"/>
      <c r="JH399" s="98"/>
      <c r="JI399" s="98"/>
      <c r="JJ399" s="98"/>
      <c r="JK399" s="98"/>
      <c r="JL399" s="98"/>
      <c r="JM399" s="98"/>
      <c r="JN399" s="98"/>
      <c r="JO399" s="98"/>
      <c r="JP399" s="98"/>
      <c r="JQ399" s="98"/>
      <c r="JR399" s="98"/>
      <c r="JS399" s="98"/>
      <c r="JT399" s="98"/>
      <c r="JU399" s="98"/>
      <c r="JV399" s="98"/>
      <c r="JW399" s="98"/>
      <c r="JX399" s="98"/>
      <c r="JY399" s="98"/>
      <c r="JZ399" s="98"/>
      <c r="KA399" s="98"/>
      <c r="KB399" s="98"/>
      <c r="KC399" s="98"/>
      <c r="KD399" s="98"/>
      <c r="KE399" s="98"/>
      <c r="KF399" s="98"/>
      <c r="KG399" s="98"/>
      <c r="KH399" s="98"/>
      <c r="KI399" s="98"/>
      <c r="KJ399" s="98"/>
      <c r="KK399" s="98"/>
      <c r="KL399" s="98"/>
      <c r="KM399" s="98"/>
      <c r="KN399" s="98"/>
      <c r="KO399" s="98"/>
      <c r="KP399" s="98"/>
      <c r="KQ399" s="98"/>
      <c r="KR399" s="98"/>
      <c r="KS399" s="98"/>
      <c r="KT399" s="98"/>
      <c r="KU399" s="98"/>
      <c r="KV399" s="98"/>
      <c r="KW399" s="98"/>
      <c r="KX399" s="98"/>
      <c r="KY399" s="98"/>
      <c r="KZ399" s="98"/>
      <c r="LA399" s="98"/>
      <c r="LB399" s="98"/>
      <c r="LC399" s="98"/>
      <c r="LD399" s="98"/>
      <c r="LE399" s="98"/>
      <c r="LF399" s="98"/>
      <c r="LG399" s="98"/>
      <c r="LH399" s="98"/>
      <c r="LI399" s="98"/>
      <c r="LJ399" s="98"/>
      <c r="LK399" s="98"/>
      <c r="LL399" s="98"/>
      <c r="LM399" s="98"/>
      <c r="LN399" s="98"/>
      <c r="LO399" s="98"/>
      <c r="LP399" s="98"/>
      <c r="LQ399" s="98"/>
      <c r="LR399" s="98"/>
      <c r="LS399" s="98"/>
      <c r="LT399" s="98"/>
      <c r="LU399" s="98"/>
      <c r="LV399" s="98"/>
      <c r="LW399" s="98"/>
      <c r="LX399" s="98"/>
      <c r="LY399" s="98"/>
      <c r="LZ399" s="98"/>
      <c r="MA399" s="98"/>
      <c r="MB399" s="98"/>
      <c r="MC399" s="98"/>
      <c r="MD399" s="98"/>
      <c r="ME399" s="98"/>
      <c r="MF399" s="98"/>
      <c r="MG399" s="98"/>
      <c r="MH399" s="98"/>
      <c r="MI399" s="98"/>
      <c r="MJ399" s="98"/>
      <c r="MK399" s="98"/>
      <c r="ML399" s="98"/>
      <c r="MM399" s="98"/>
      <c r="MN399" s="98"/>
      <c r="MO399" s="98"/>
      <c r="MP399" s="98"/>
      <c r="MQ399" s="98"/>
      <c r="MR399" s="98"/>
      <c r="MS399" s="98"/>
      <c r="MT399" s="98"/>
      <c r="MU399" s="98"/>
      <c r="MV399" s="98"/>
      <c r="MW399" s="98"/>
      <c r="MX399" s="98"/>
      <c r="MY399" s="98"/>
      <c r="MZ399" s="98"/>
      <c r="NA399" s="98"/>
      <c r="NB399" s="98"/>
      <c r="NC399" s="98"/>
      <c r="ND399" s="98"/>
      <c r="NE399" s="98"/>
      <c r="NF399" s="98"/>
      <c r="NG399" s="98"/>
      <c r="NH399" s="98"/>
      <c r="NI399" s="98"/>
      <c r="NJ399" s="98"/>
      <c r="NK399" s="98"/>
      <c r="NL399" s="98"/>
      <c r="NM399" s="98"/>
      <c r="NN399" s="98"/>
      <c r="NO399" s="98"/>
      <c r="NP399" s="98"/>
      <c r="NQ399" s="98"/>
      <c r="NR399" s="98"/>
      <c r="NS399" s="98"/>
      <c r="NT399" s="98"/>
      <c r="NU399" s="98"/>
      <c r="NV399" s="98"/>
      <c r="NW399" s="98"/>
      <c r="NX399" s="98"/>
      <c r="NY399" s="98"/>
      <c r="NZ399" s="98"/>
      <c r="OA399" s="98"/>
      <c r="OB399" s="98"/>
      <c r="OC399" s="98"/>
      <c r="OD399" s="98"/>
      <c r="OE399" s="98"/>
      <c r="OF399" s="98"/>
      <c r="OG399" s="98"/>
      <c r="OH399" s="98"/>
      <c r="OI399" s="98"/>
      <c r="OJ399" s="98"/>
      <c r="OK399" s="98"/>
      <c r="OL399" s="98"/>
      <c r="OM399" s="98"/>
      <c r="ON399" s="98"/>
      <c r="OO399" s="98"/>
      <c r="OP399" s="98"/>
      <c r="OQ399" s="98"/>
      <c r="OR399" s="98"/>
      <c r="OS399" s="98"/>
      <c r="OT399" s="98"/>
      <c r="OU399" s="98"/>
      <c r="OV399" s="98"/>
      <c r="OW399" s="98"/>
      <c r="OX399" s="98"/>
      <c r="OY399" s="98"/>
      <c r="OZ399" s="98"/>
      <c r="PA399" s="98"/>
      <c r="PB399" s="98"/>
      <c r="PC399" s="98"/>
      <c r="PD399" s="98"/>
      <c r="PE399" s="98"/>
      <c r="PF399" s="98"/>
      <c r="PG399" s="98"/>
      <c r="PH399" s="98"/>
      <c r="PI399" s="98"/>
      <c r="PJ399" s="98"/>
      <c r="PK399" s="98"/>
      <c r="PL399" s="98"/>
      <c r="PM399" s="98"/>
      <c r="PN399" s="98"/>
      <c r="PO399" s="98"/>
      <c r="PP399" s="98"/>
      <c r="PQ399" s="98"/>
      <c r="PR399" s="98"/>
      <c r="PS399" s="98"/>
      <c r="PT399" s="98"/>
      <c r="PU399" s="98"/>
      <c r="PV399" s="98"/>
      <c r="PW399" s="98"/>
      <c r="PX399" s="98"/>
      <c r="PY399" s="98"/>
      <c r="PZ399" s="98"/>
      <c r="QA399" s="98"/>
      <c r="QB399" s="98"/>
      <c r="QC399" s="98"/>
      <c r="QD399" s="98"/>
      <c r="QE399" s="98"/>
      <c r="QF399" s="98"/>
      <c r="QG399" s="98"/>
      <c r="QH399" s="98"/>
      <c r="QI399" s="98"/>
      <c r="QJ399" s="98"/>
      <c r="QK399" s="98"/>
      <c r="QL399" s="98"/>
      <c r="QM399" s="98"/>
      <c r="QN399" s="98"/>
      <c r="QO399" s="98"/>
      <c r="QP399" s="98"/>
      <c r="QQ399" s="98"/>
      <c r="QR399" s="98"/>
      <c r="QS399" s="98"/>
      <c r="QT399" s="98"/>
      <c r="QU399" s="98"/>
      <c r="QV399" s="98"/>
      <c r="QW399" s="98"/>
      <c r="QX399" s="98"/>
      <c r="QY399" s="98"/>
      <c r="QZ399" s="98"/>
      <c r="RA399" s="98"/>
      <c r="RB399" s="98"/>
      <c r="RC399" s="98"/>
      <c r="RD399" s="98"/>
      <c r="RE399" s="98"/>
      <c r="RF399" s="98"/>
      <c r="RG399" s="98"/>
      <c r="RH399" s="98"/>
      <c r="RI399" s="98"/>
      <c r="RJ399" s="98"/>
      <c r="RK399" s="98"/>
      <c r="RL399" s="98"/>
      <c r="RM399" s="98"/>
      <c r="RN399" s="98"/>
      <c r="RO399" s="98"/>
      <c r="RP399" s="98"/>
      <c r="RQ399" s="98"/>
      <c r="RR399" s="98"/>
      <c r="RS399" s="98"/>
      <c r="RT399" s="98"/>
      <c r="RU399" s="98"/>
      <c r="RV399" s="98"/>
      <c r="RW399" s="98"/>
      <c r="RX399" s="98"/>
      <c r="RY399" s="98"/>
      <c r="RZ399" s="98"/>
      <c r="SA399" s="98"/>
      <c r="SB399" s="98"/>
      <c r="SC399" s="98"/>
      <c r="SD399" s="98"/>
      <c r="SE399" s="98"/>
      <c r="SF399" s="98"/>
      <c r="SG399" s="98"/>
      <c r="SH399" s="98"/>
      <c r="SI399" s="98"/>
      <c r="SJ399" s="98"/>
      <c r="SK399" s="98"/>
      <c r="SL399" s="98"/>
      <c r="SM399" s="98"/>
      <c r="SN399" s="98"/>
      <c r="SO399" s="98"/>
      <c r="SP399" s="98"/>
      <c r="SQ399" s="98"/>
      <c r="SR399" s="98"/>
    </row>
    <row r="400" spans="1:512" ht="230.25" outlineLevel="3" thickBot="1" x14ac:dyDescent="0.25">
      <c r="A400" s="10" t="s">
        <v>1067</v>
      </c>
      <c r="B400" s="162" t="s">
        <v>1068</v>
      </c>
      <c r="C400" s="47" t="s">
        <v>1069</v>
      </c>
      <c r="D400" s="162" t="s">
        <v>1070</v>
      </c>
      <c r="E400" s="74" t="s">
        <v>1071</v>
      </c>
      <c r="F400" s="74" t="s">
        <v>1072</v>
      </c>
      <c r="G400" s="48" t="s">
        <v>1073</v>
      </c>
      <c r="H400" s="26" t="s">
        <v>107</v>
      </c>
      <c r="I400" s="42">
        <v>1</v>
      </c>
      <c r="J400" s="70" t="s">
        <v>186</v>
      </c>
      <c r="K400" s="29" t="s">
        <v>75</v>
      </c>
      <c r="L400" s="71">
        <v>2</v>
      </c>
      <c r="M400" s="31">
        <f t="shared" si="5"/>
        <v>2</v>
      </c>
      <c r="N400" s="32" t="s">
        <v>39</v>
      </c>
      <c r="O400" s="53" t="s">
        <v>76</v>
      </c>
      <c r="P400" s="71">
        <v>5</v>
      </c>
      <c r="Q400" s="34">
        <f t="shared" si="55"/>
        <v>10</v>
      </c>
      <c r="R400" s="49"/>
      <c r="S400" s="49"/>
      <c r="T400" s="49"/>
      <c r="U400" s="50"/>
      <c r="V400" s="51"/>
      <c r="W400" s="52"/>
      <c r="X400" s="51"/>
      <c r="Y400" s="51"/>
      <c r="Z400" s="53"/>
      <c r="AA400" s="40"/>
      <c r="AB400" s="41"/>
      <c r="AD400" s="17">
        <f t="shared" si="53"/>
        <v>-1575</v>
      </c>
      <c r="AE400" s="18">
        <f t="shared" si="49"/>
        <v>1575</v>
      </c>
      <c r="AF400" s="98"/>
      <c r="AG400" s="98"/>
      <c r="AH400" s="98"/>
      <c r="AI400" s="98"/>
      <c r="AJ400" s="98"/>
      <c r="AK400" s="98"/>
      <c r="AL400" s="98"/>
      <c r="AM400" s="98"/>
      <c r="AN400" s="98"/>
      <c r="AO400" s="98"/>
      <c r="AP400" s="98"/>
      <c r="AQ400" s="98"/>
      <c r="AR400" s="98"/>
      <c r="AS400" s="98"/>
      <c r="AT400" s="98"/>
      <c r="AU400" s="98"/>
      <c r="AV400" s="98"/>
      <c r="AW400" s="98"/>
      <c r="AX400" s="98"/>
      <c r="AY400" s="98"/>
      <c r="AZ400" s="98"/>
      <c r="BA400" s="98"/>
      <c r="BB400" s="98"/>
      <c r="BC400" s="98"/>
      <c r="BD400" s="98"/>
      <c r="BE400" s="98"/>
      <c r="BF400" s="98"/>
      <c r="BG400" s="98"/>
      <c r="BH400" s="98"/>
      <c r="BI400" s="98"/>
      <c r="BJ400" s="98"/>
      <c r="BK400" s="98"/>
      <c r="BL400" s="98"/>
      <c r="BM400" s="98"/>
      <c r="BN400" s="98"/>
      <c r="BO400" s="98"/>
      <c r="BP400" s="98"/>
      <c r="BQ400" s="98"/>
      <c r="BR400" s="98"/>
      <c r="BS400" s="98"/>
      <c r="BT400" s="98"/>
      <c r="BU400" s="98"/>
      <c r="BV400" s="98"/>
      <c r="BW400" s="98"/>
      <c r="BX400" s="98"/>
      <c r="BY400" s="98"/>
      <c r="BZ400" s="98"/>
      <c r="CA400" s="98"/>
      <c r="CB400" s="98"/>
      <c r="CC400" s="98"/>
      <c r="CD400" s="98"/>
      <c r="CE400" s="98"/>
      <c r="CF400" s="98"/>
      <c r="CG400" s="98"/>
      <c r="CH400" s="98"/>
      <c r="CI400" s="98"/>
      <c r="CJ400" s="98"/>
      <c r="CK400" s="98"/>
      <c r="CL400" s="98"/>
      <c r="CM400" s="98"/>
      <c r="CN400" s="98"/>
      <c r="CO400" s="98"/>
      <c r="CP400" s="98"/>
      <c r="CQ400" s="98"/>
      <c r="CR400" s="98"/>
      <c r="CS400" s="98"/>
      <c r="CT400" s="98"/>
      <c r="CU400" s="98"/>
      <c r="CV400" s="98"/>
      <c r="CW400" s="98"/>
      <c r="CX400" s="98"/>
      <c r="CY400" s="98"/>
      <c r="CZ400" s="98"/>
      <c r="DA400" s="98"/>
      <c r="DB400" s="98"/>
      <c r="DC400" s="98"/>
      <c r="DD400" s="98"/>
      <c r="DE400" s="98"/>
      <c r="DF400" s="98"/>
      <c r="DG400" s="98"/>
      <c r="DH400" s="98"/>
      <c r="DI400" s="98"/>
      <c r="DJ400" s="98"/>
      <c r="DK400" s="98"/>
      <c r="DL400" s="98"/>
      <c r="DM400" s="98"/>
      <c r="DN400" s="98"/>
      <c r="DO400" s="98"/>
      <c r="DP400" s="98"/>
      <c r="DQ400" s="98"/>
      <c r="DR400" s="98"/>
      <c r="DS400" s="98"/>
      <c r="DT400" s="98"/>
      <c r="DU400" s="98"/>
      <c r="DV400" s="98"/>
      <c r="DW400" s="98"/>
      <c r="DX400" s="98"/>
      <c r="DY400" s="98"/>
      <c r="DZ400" s="98"/>
      <c r="EA400" s="98"/>
      <c r="EB400" s="98"/>
      <c r="EC400" s="98"/>
      <c r="ED400" s="98"/>
      <c r="EE400" s="98"/>
      <c r="EF400" s="98"/>
      <c r="EG400" s="98"/>
      <c r="EH400" s="98"/>
      <c r="EI400" s="98"/>
      <c r="EJ400" s="98"/>
      <c r="EK400" s="98"/>
      <c r="EL400" s="98"/>
      <c r="EM400" s="98"/>
      <c r="EN400" s="98"/>
      <c r="EO400" s="98"/>
      <c r="EP400" s="98"/>
      <c r="EQ400" s="98"/>
      <c r="ER400" s="98"/>
      <c r="ES400" s="98"/>
      <c r="ET400" s="98"/>
      <c r="EU400" s="98"/>
      <c r="EV400" s="98"/>
      <c r="EW400" s="98"/>
      <c r="EX400" s="98"/>
      <c r="EY400" s="98"/>
      <c r="EZ400" s="98"/>
      <c r="FA400" s="98"/>
      <c r="FB400" s="98"/>
      <c r="FC400" s="98"/>
      <c r="FD400" s="98"/>
      <c r="FE400" s="98"/>
      <c r="FF400" s="98"/>
      <c r="FG400" s="98"/>
      <c r="FH400" s="98"/>
      <c r="FI400" s="98"/>
      <c r="FJ400" s="98"/>
      <c r="FK400" s="98"/>
      <c r="FL400" s="98"/>
      <c r="FM400" s="98"/>
      <c r="FN400" s="98"/>
      <c r="FO400" s="98"/>
      <c r="FP400" s="98"/>
      <c r="FQ400" s="98"/>
      <c r="FR400" s="98"/>
      <c r="FS400" s="98"/>
      <c r="FT400" s="98"/>
      <c r="FU400" s="98"/>
      <c r="FV400" s="98"/>
      <c r="FW400" s="98"/>
      <c r="FX400" s="98"/>
      <c r="FY400" s="98"/>
      <c r="FZ400" s="98"/>
      <c r="GA400" s="98"/>
      <c r="GB400" s="98"/>
      <c r="GC400" s="98"/>
      <c r="GD400" s="98"/>
      <c r="GE400" s="98"/>
      <c r="GF400" s="98"/>
      <c r="GG400" s="98"/>
      <c r="GH400" s="98"/>
      <c r="GI400" s="98"/>
      <c r="GJ400" s="98"/>
      <c r="GK400" s="98"/>
      <c r="GL400" s="98"/>
      <c r="GM400" s="98"/>
      <c r="GN400" s="98"/>
      <c r="GO400" s="98"/>
      <c r="GP400" s="98"/>
      <c r="GQ400" s="98"/>
      <c r="GR400" s="98"/>
      <c r="GS400" s="98"/>
      <c r="GT400" s="98"/>
      <c r="GU400" s="98"/>
      <c r="GV400" s="98"/>
      <c r="GW400" s="98"/>
      <c r="GX400" s="98"/>
      <c r="GY400" s="98"/>
      <c r="GZ400" s="98"/>
      <c r="HA400" s="98"/>
      <c r="HB400" s="98"/>
      <c r="HC400" s="98"/>
      <c r="HD400" s="98"/>
      <c r="HE400" s="98"/>
      <c r="HF400" s="98"/>
      <c r="HG400" s="98"/>
      <c r="HH400" s="98"/>
      <c r="HI400" s="98"/>
      <c r="HJ400" s="98"/>
      <c r="HK400" s="98"/>
      <c r="HL400" s="98"/>
      <c r="HM400" s="98"/>
      <c r="HN400" s="98"/>
      <c r="HO400" s="98"/>
      <c r="HP400" s="98"/>
      <c r="HQ400" s="98"/>
      <c r="HR400" s="98"/>
      <c r="HS400" s="98"/>
      <c r="HT400" s="98"/>
      <c r="HU400" s="98"/>
      <c r="HV400" s="98"/>
      <c r="HW400" s="98"/>
      <c r="HX400" s="98"/>
      <c r="HY400" s="98"/>
      <c r="HZ400" s="98"/>
      <c r="IA400" s="98"/>
      <c r="IB400" s="98"/>
      <c r="IC400" s="98"/>
      <c r="ID400" s="98"/>
      <c r="IE400" s="98"/>
      <c r="IF400" s="98"/>
      <c r="IG400" s="98"/>
      <c r="IH400" s="98"/>
      <c r="II400" s="98"/>
      <c r="IJ400" s="98"/>
      <c r="IK400" s="98"/>
      <c r="IL400" s="98"/>
      <c r="IM400" s="98"/>
      <c r="IN400" s="98"/>
      <c r="IO400" s="98"/>
      <c r="IP400" s="98"/>
      <c r="IQ400" s="98"/>
      <c r="IR400" s="98"/>
      <c r="IS400" s="98"/>
      <c r="IT400" s="98"/>
      <c r="IU400" s="98"/>
      <c r="IV400" s="98"/>
      <c r="IW400" s="98"/>
      <c r="IX400" s="98"/>
      <c r="IY400" s="98"/>
      <c r="IZ400" s="98"/>
      <c r="JA400" s="98"/>
      <c r="JB400" s="98"/>
      <c r="JC400" s="98"/>
      <c r="JD400" s="98"/>
      <c r="JE400" s="98"/>
      <c r="JF400" s="98"/>
      <c r="JG400" s="98"/>
      <c r="JH400" s="98"/>
      <c r="JI400" s="98"/>
      <c r="JJ400" s="98"/>
      <c r="JK400" s="98"/>
      <c r="JL400" s="98"/>
      <c r="JM400" s="98"/>
      <c r="JN400" s="98"/>
      <c r="JO400" s="98"/>
      <c r="JP400" s="98"/>
      <c r="JQ400" s="98"/>
      <c r="JR400" s="98"/>
      <c r="JS400" s="98"/>
      <c r="JT400" s="98"/>
      <c r="JU400" s="98"/>
      <c r="JV400" s="98"/>
      <c r="JW400" s="98"/>
      <c r="JX400" s="98"/>
      <c r="JY400" s="98"/>
      <c r="JZ400" s="98"/>
      <c r="KA400" s="98"/>
      <c r="KB400" s="98"/>
      <c r="KC400" s="98"/>
      <c r="KD400" s="98"/>
      <c r="KE400" s="98"/>
      <c r="KF400" s="98"/>
      <c r="KG400" s="98"/>
      <c r="KH400" s="98"/>
      <c r="KI400" s="98"/>
      <c r="KJ400" s="98"/>
      <c r="KK400" s="98"/>
      <c r="KL400" s="98"/>
      <c r="KM400" s="98"/>
      <c r="KN400" s="98"/>
      <c r="KO400" s="98"/>
      <c r="KP400" s="98"/>
      <c r="KQ400" s="98"/>
      <c r="KR400" s="98"/>
      <c r="KS400" s="98"/>
      <c r="KT400" s="98"/>
      <c r="KU400" s="98"/>
      <c r="KV400" s="98"/>
      <c r="KW400" s="98"/>
      <c r="KX400" s="98"/>
      <c r="KY400" s="98"/>
      <c r="KZ400" s="98"/>
      <c r="LA400" s="98"/>
      <c r="LB400" s="98"/>
      <c r="LC400" s="98"/>
      <c r="LD400" s="98"/>
      <c r="LE400" s="98"/>
      <c r="LF400" s="98"/>
      <c r="LG400" s="98"/>
      <c r="LH400" s="98"/>
      <c r="LI400" s="98"/>
      <c r="LJ400" s="98"/>
      <c r="LK400" s="98"/>
      <c r="LL400" s="98"/>
      <c r="LM400" s="98"/>
      <c r="LN400" s="98"/>
      <c r="LO400" s="98"/>
      <c r="LP400" s="98"/>
      <c r="LQ400" s="98"/>
      <c r="LR400" s="98"/>
      <c r="LS400" s="98"/>
      <c r="LT400" s="98"/>
      <c r="LU400" s="98"/>
      <c r="LV400" s="98"/>
      <c r="LW400" s="98"/>
      <c r="LX400" s="98"/>
      <c r="LY400" s="98"/>
      <c r="LZ400" s="98"/>
      <c r="MA400" s="98"/>
      <c r="MB400" s="98"/>
      <c r="MC400" s="98"/>
      <c r="MD400" s="98"/>
      <c r="ME400" s="98"/>
      <c r="MF400" s="98"/>
      <c r="MG400" s="98"/>
      <c r="MH400" s="98"/>
      <c r="MI400" s="98"/>
      <c r="MJ400" s="98"/>
      <c r="MK400" s="98"/>
      <c r="ML400" s="98"/>
      <c r="MM400" s="98"/>
      <c r="MN400" s="98"/>
      <c r="MO400" s="98"/>
      <c r="MP400" s="98"/>
      <c r="MQ400" s="98"/>
      <c r="MR400" s="98"/>
      <c r="MS400" s="98"/>
      <c r="MT400" s="98"/>
      <c r="MU400" s="98"/>
      <c r="MV400" s="98"/>
      <c r="MW400" s="98"/>
      <c r="MX400" s="98"/>
      <c r="MY400" s="98"/>
      <c r="MZ400" s="98"/>
      <c r="NA400" s="98"/>
      <c r="NB400" s="98"/>
      <c r="NC400" s="98"/>
      <c r="ND400" s="98"/>
      <c r="NE400" s="98"/>
      <c r="NF400" s="98"/>
      <c r="NG400" s="98"/>
      <c r="NH400" s="98"/>
      <c r="NI400" s="98"/>
      <c r="NJ400" s="98"/>
      <c r="NK400" s="98"/>
      <c r="NL400" s="98"/>
      <c r="NM400" s="98"/>
      <c r="NN400" s="98"/>
      <c r="NO400" s="98"/>
      <c r="NP400" s="98"/>
      <c r="NQ400" s="98"/>
      <c r="NR400" s="98"/>
      <c r="NS400" s="98"/>
      <c r="NT400" s="98"/>
      <c r="NU400" s="98"/>
      <c r="NV400" s="98"/>
      <c r="NW400" s="98"/>
      <c r="NX400" s="98"/>
      <c r="NY400" s="98"/>
      <c r="NZ400" s="98"/>
      <c r="OA400" s="98"/>
      <c r="OB400" s="98"/>
      <c r="OC400" s="98"/>
      <c r="OD400" s="98"/>
      <c r="OE400" s="98"/>
      <c r="OF400" s="98"/>
      <c r="OG400" s="98"/>
      <c r="OH400" s="98"/>
      <c r="OI400" s="98"/>
      <c r="OJ400" s="98"/>
      <c r="OK400" s="98"/>
      <c r="OL400" s="98"/>
      <c r="OM400" s="98"/>
      <c r="ON400" s="98"/>
      <c r="OO400" s="98"/>
      <c r="OP400" s="98"/>
      <c r="OQ400" s="98"/>
      <c r="OR400" s="98"/>
      <c r="OS400" s="98"/>
      <c r="OT400" s="98"/>
      <c r="OU400" s="98"/>
      <c r="OV400" s="98"/>
      <c r="OW400" s="98"/>
      <c r="OX400" s="98"/>
      <c r="OY400" s="98"/>
      <c r="OZ400" s="98"/>
      <c r="PA400" s="98"/>
      <c r="PB400" s="98"/>
      <c r="PC400" s="98"/>
      <c r="PD400" s="98"/>
      <c r="PE400" s="98"/>
      <c r="PF400" s="98"/>
      <c r="PG400" s="98"/>
      <c r="PH400" s="98"/>
      <c r="PI400" s="98"/>
      <c r="PJ400" s="98"/>
      <c r="PK400" s="98"/>
      <c r="PL400" s="98"/>
      <c r="PM400" s="98"/>
      <c r="PN400" s="98"/>
      <c r="PO400" s="98"/>
      <c r="PP400" s="98"/>
      <c r="PQ400" s="98"/>
      <c r="PR400" s="98"/>
      <c r="PS400" s="98"/>
      <c r="PT400" s="98"/>
      <c r="PU400" s="98"/>
      <c r="PV400" s="98"/>
      <c r="PW400" s="98"/>
      <c r="PX400" s="98"/>
      <c r="PY400" s="98"/>
      <c r="PZ400" s="98"/>
      <c r="QA400" s="98"/>
      <c r="QB400" s="98"/>
      <c r="QC400" s="98"/>
      <c r="QD400" s="98"/>
      <c r="QE400" s="98"/>
      <c r="QF400" s="98"/>
      <c r="QG400" s="98"/>
      <c r="QH400" s="98"/>
      <c r="QI400" s="98"/>
      <c r="QJ400" s="98"/>
      <c r="QK400" s="98"/>
      <c r="QL400" s="98"/>
      <c r="QM400" s="98"/>
      <c r="QN400" s="98"/>
      <c r="QO400" s="98"/>
      <c r="QP400" s="98"/>
      <c r="QQ400" s="98"/>
      <c r="QR400" s="98"/>
      <c r="QS400" s="98"/>
      <c r="QT400" s="98"/>
      <c r="QU400" s="98"/>
      <c r="QV400" s="98"/>
      <c r="QW400" s="98"/>
      <c r="QX400" s="98"/>
      <c r="QY400" s="98"/>
      <c r="QZ400" s="98"/>
      <c r="RA400" s="98"/>
      <c r="RB400" s="98"/>
      <c r="RC400" s="98"/>
      <c r="RD400" s="98"/>
      <c r="RE400" s="98"/>
      <c r="RF400" s="98"/>
      <c r="RG400" s="98"/>
      <c r="RH400" s="98"/>
      <c r="RI400" s="98"/>
      <c r="RJ400" s="98"/>
      <c r="RK400" s="98"/>
      <c r="RL400" s="98"/>
      <c r="RM400" s="98"/>
      <c r="RN400" s="98"/>
      <c r="RO400" s="98"/>
      <c r="RP400" s="98"/>
      <c r="RQ400" s="98"/>
      <c r="RR400" s="98"/>
      <c r="RS400" s="98"/>
      <c r="RT400" s="98"/>
      <c r="RU400" s="98"/>
      <c r="RV400" s="98"/>
      <c r="RW400" s="98"/>
      <c r="RX400" s="98"/>
      <c r="RY400" s="98"/>
      <c r="RZ400" s="98"/>
      <c r="SA400" s="98"/>
      <c r="SB400" s="98"/>
      <c r="SC400" s="98"/>
      <c r="SD400" s="98"/>
      <c r="SE400" s="98"/>
      <c r="SF400" s="98"/>
      <c r="SG400" s="98"/>
      <c r="SH400" s="98"/>
      <c r="SI400" s="98"/>
      <c r="SJ400" s="98"/>
      <c r="SK400" s="98"/>
      <c r="SL400" s="98"/>
      <c r="SM400" s="98"/>
      <c r="SN400" s="98"/>
      <c r="SO400" s="98"/>
      <c r="SP400" s="98"/>
      <c r="SQ400" s="98"/>
      <c r="SR400" s="98"/>
    </row>
    <row r="401" spans="1:361" ht="230.25" outlineLevel="3" thickBot="1" x14ac:dyDescent="0.25">
      <c r="A401" s="10" t="s">
        <v>1074</v>
      </c>
      <c r="B401" s="163"/>
      <c r="C401" s="55"/>
      <c r="D401" s="163"/>
      <c r="E401" s="74" t="s">
        <v>204</v>
      </c>
      <c r="F401" s="74" t="s">
        <v>1075</v>
      </c>
      <c r="G401" s="48" t="s">
        <v>191</v>
      </c>
      <c r="H401" s="26" t="s">
        <v>46</v>
      </c>
      <c r="I401" s="42">
        <v>3</v>
      </c>
      <c r="J401" s="70" t="s">
        <v>192</v>
      </c>
      <c r="K401" s="29" t="s">
        <v>1059</v>
      </c>
      <c r="L401" s="71">
        <v>2</v>
      </c>
      <c r="M401" s="31">
        <f t="shared" si="5"/>
        <v>6</v>
      </c>
      <c r="N401" s="32" t="s">
        <v>39</v>
      </c>
      <c r="O401" s="60" t="s">
        <v>884</v>
      </c>
      <c r="P401" s="30">
        <v>3</v>
      </c>
      <c r="Q401" s="34">
        <f t="shared" si="55"/>
        <v>18</v>
      </c>
      <c r="R401" s="49"/>
      <c r="S401" s="49"/>
      <c r="T401" s="49"/>
      <c r="U401" s="50"/>
      <c r="V401" s="51"/>
      <c r="W401" s="52"/>
      <c r="X401" s="51"/>
      <c r="Y401" s="51"/>
      <c r="Z401" s="53"/>
      <c r="AA401" s="40"/>
      <c r="AB401" s="41"/>
      <c r="AD401" s="17">
        <f t="shared" si="53"/>
        <v>-1576</v>
      </c>
      <c r="AE401" s="18">
        <f t="shared" si="49"/>
        <v>1576</v>
      </c>
      <c r="AF401" s="98"/>
      <c r="AG401" s="98"/>
      <c r="AH401" s="98"/>
      <c r="AI401" s="98"/>
      <c r="AJ401" s="98"/>
      <c r="AK401" s="98"/>
      <c r="AL401" s="98"/>
      <c r="AM401" s="98"/>
      <c r="AN401" s="98"/>
      <c r="AO401" s="98"/>
      <c r="AP401" s="98"/>
      <c r="AQ401" s="98"/>
      <c r="AR401" s="98"/>
      <c r="AS401" s="98"/>
      <c r="AT401" s="98"/>
      <c r="AU401" s="98"/>
      <c r="AV401" s="98"/>
      <c r="AW401" s="98"/>
      <c r="AX401" s="98"/>
      <c r="AY401" s="98"/>
      <c r="AZ401" s="98"/>
      <c r="BA401" s="98"/>
      <c r="BB401" s="98"/>
      <c r="BC401" s="98"/>
      <c r="BD401" s="98"/>
      <c r="BE401" s="98"/>
      <c r="BF401" s="98"/>
      <c r="BG401" s="98"/>
      <c r="BH401" s="98"/>
      <c r="BI401" s="98"/>
      <c r="BJ401" s="98"/>
      <c r="BK401" s="98"/>
      <c r="BL401" s="98"/>
      <c r="BM401" s="98"/>
      <c r="BN401" s="98"/>
      <c r="BO401" s="98"/>
      <c r="BP401" s="98"/>
      <c r="BQ401" s="98"/>
      <c r="BR401" s="98"/>
      <c r="BS401" s="98"/>
      <c r="BT401" s="98"/>
      <c r="BU401" s="98"/>
      <c r="BV401" s="98"/>
      <c r="BW401" s="98"/>
      <c r="BX401" s="98"/>
      <c r="BY401" s="98"/>
      <c r="BZ401" s="98"/>
      <c r="CA401" s="98"/>
      <c r="CB401" s="98"/>
      <c r="CC401" s="98"/>
      <c r="CD401" s="98"/>
      <c r="CE401" s="98"/>
      <c r="CF401" s="98"/>
      <c r="CG401" s="98"/>
      <c r="CH401" s="98"/>
      <c r="CI401" s="98"/>
      <c r="CJ401" s="98"/>
      <c r="CK401" s="98"/>
      <c r="CL401" s="98"/>
      <c r="CM401" s="98"/>
      <c r="CN401" s="98"/>
      <c r="CO401" s="98"/>
      <c r="CP401" s="98"/>
      <c r="CQ401" s="98"/>
      <c r="CR401" s="98"/>
      <c r="CS401" s="98"/>
      <c r="CT401" s="98"/>
      <c r="CU401" s="98"/>
      <c r="CV401" s="98"/>
      <c r="CW401" s="98"/>
      <c r="CX401" s="98"/>
      <c r="CY401" s="98"/>
      <c r="CZ401" s="98"/>
      <c r="DA401" s="98"/>
      <c r="DB401" s="98"/>
      <c r="DC401" s="98"/>
      <c r="DD401" s="98"/>
      <c r="DE401" s="98"/>
      <c r="DF401" s="98"/>
      <c r="DG401" s="98"/>
      <c r="DH401" s="98"/>
      <c r="DI401" s="98"/>
      <c r="DJ401" s="98"/>
      <c r="DK401" s="98"/>
      <c r="DL401" s="98"/>
      <c r="DM401" s="98"/>
      <c r="DN401" s="98"/>
      <c r="DO401" s="98"/>
      <c r="DP401" s="98"/>
      <c r="DQ401" s="98"/>
      <c r="DR401" s="98"/>
      <c r="DS401" s="98"/>
      <c r="DT401" s="98"/>
      <c r="DU401" s="98"/>
      <c r="DV401" s="98"/>
      <c r="DW401" s="98"/>
      <c r="DX401" s="98"/>
      <c r="DY401" s="98"/>
      <c r="DZ401" s="98"/>
      <c r="EA401" s="98"/>
      <c r="EB401" s="98"/>
      <c r="EC401" s="98"/>
      <c r="ED401" s="98"/>
      <c r="EE401" s="98"/>
      <c r="EF401" s="98"/>
      <c r="EG401" s="98"/>
      <c r="EH401" s="98"/>
      <c r="EI401" s="98"/>
      <c r="EJ401" s="98"/>
      <c r="EK401" s="98"/>
      <c r="EL401" s="98"/>
      <c r="EM401" s="98"/>
      <c r="EN401" s="98"/>
      <c r="EO401" s="98"/>
      <c r="EP401" s="98"/>
      <c r="EQ401" s="98"/>
      <c r="ER401" s="98"/>
      <c r="ES401" s="98"/>
      <c r="ET401" s="98"/>
      <c r="EU401" s="98"/>
      <c r="EV401" s="98"/>
      <c r="EW401" s="98"/>
      <c r="EX401" s="98"/>
      <c r="EY401" s="98"/>
      <c r="EZ401" s="98"/>
      <c r="FA401" s="98"/>
      <c r="FB401" s="98"/>
      <c r="FC401" s="98"/>
      <c r="FD401" s="98"/>
      <c r="FE401" s="98"/>
      <c r="FF401" s="98"/>
      <c r="FG401" s="98"/>
      <c r="FH401" s="98"/>
      <c r="FI401" s="98"/>
      <c r="FJ401" s="98"/>
      <c r="FK401" s="98"/>
      <c r="FL401" s="98"/>
      <c r="FM401" s="98"/>
      <c r="FN401" s="98"/>
      <c r="FO401" s="98"/>
      <c r="FP401" s="98"/>
      <c r="FQ401" s="98"/>
      <c r="FR401" s="98"/>
      <c r="FS401" s="98"/>
      <c r="FT401" s="98"/>
      <c r="FU401" s="98"/>
      <c r="FV401" s="98"/>
      <c r="FW401" s="98"/>
      <c r="FX401" s="98"/>
      <c r="FY401" s="98"/>
      <c r="FZ401" s="98"/>
      <c r="GA401" s="98"/>
      <c r="GB401" s="98"/>
      <c r="GC401" s="98"/>
      <c r="GD401" s="98"/>
      <c r="GE401" s="98"/>
      <c r="GF401" s="98"/>
      <c r="GG401" s="98"/>
      <c r="GH401" s="98"/>
      <c r="GI401" s="98"/>
      <c r="GJ401" s="98"/>
      <c r="GK401" s="98"/>
      <c r="GL401" s="98"/>
      <c r="GM401" s="98"/>
      <c r="GN401" s="98"/>
      <c r="GO401" s="98"/>
      <c r="GP401" s="98"/>
      <c r="GQ401" s="98"/>
      <c r="GR401" s="98"/>
      <c r="GS401" s="98"/>
      <c r="GT401" s="98"/>
      <c r="GU401" s="98"/>
      <c r="GV401" s="98"/>
      <c r="GW401" s="98"/>
      <c r="GX401" s="98"/>
      <c r="GY401" s="98"/>
      <c r="GZ401" s="98"/>
      <c r="HA401" s="98"/>
      <c r="HB401" s="98"/>
      <c r="HC401" s="98"/>
      <c r="HD401" s="98"/>
      <c r="HE401" s="98"/>
      <c r="HF401" s="98"/>
      <c r="HG401" s="98"/>
      <c r="HH401" s="98"/>
      <c r="HI401" s="98"/>
      <c r="HJ401" s="98"/>
      <c r="HK401" s="98"/>
      <c r="HL401" s="98"/>
      <c r="HM401" s="98"/>
      <c r="HN401" s="98"/>
      <c r="HO401" s="98"/>
      <c r="HP401" s="98"/>
      <c r="HQ401" s="98"/>
      <c r="HR401" s="98"/>
      <c r="HS401" s="98"/>
      <c r="HT401" s="98"/>
      <c r="HU401" s="98"/>
      <c r="HV401" s="98"/>
      <c r="HW401" s="98"/>
      <c r="HX401" s="98"/>
      <c r="HY401" s="98"/>
      <c r="HZ401" s="98"/>
      <c r="IA401" s="98"/>
      <c r="IB401" s="98"/>
      <c r="IC401" s="98"/>
      <c r="ID401" s="98"/>
      <c r="IE401" s="98"/>
      <c r="IF401" s="98"/>
      <c r="IG401" s="98"/>
      <c r="IH401" s="98"/>
      <c r="II401" s="98"/>
      <c r="IJ401" s="98"/>
      <c r="IK401" s="98"/>
      <c r="IL401" s="98"/>
      <c r="IM401" s="98"/>
      <c r="IN401" s="98"/>
      <c r="IO401" s="98"/>
      <c r="IP401" s="98"/>
      <c r="IQ401" s="98"/>
      <c r="IR401" s="98"/>
      <c r="IS401" s="98"/>
      <c r="IT401" s="98"/>
      <c r="IU401" s="98"/>
      <c r="IV401" s="98"/>
      <c r="IW401" s="98"/>
      <c r="IX401" s="98"/>
      <c r="IY401" s="98"/>
      <c r="IZ401" s="98"/>
      <c r="JA401" s="98"/>
      <c r="JB401" s="98"/>
      <c r="JC401" s="98"/>
      <c r="JD401" s="98"/>
      <c r="JE401" s="98"/>
      <c r="JF401" s="98"/>
      <c r="JG401" s="98"/>
      <c r="JH401" s="98"/>
      <c r="JI401" s="98"/>
      <c r="JJ401" s="98"/>
      <c r="JK401" s="98"/>
      <c r="JL401" s="98"/>
      <c r="JM401" s="98"/>
      <c r="JN401" s="98"/>
      <c r="JO401" s="98"/>
      <c r="JP401" s="98"/>
      <c r="JQ401" s="98"/>
      <c r="JR401" s="98"/>
      <c r="JS401" s="98"/>
      <c r="JT401" s="98"/>
      <c r="JU401" s="98"/>
      <c r="JV401" s="98"/>
      <c r="JW401" s="98"/>
      <c r="JX401" s="98"/>
      <c r="JY401" s="98"/>
      <c r="JZ401" s="98"/>
      <c r="KA401" s="98"/>
      <c r="KB401" s="98"/>
      <c r="KC401" s="98"/>
      <c r="KD401" s="98"/>
      <c r="KE401" s="98"/>
      <c r="KF401" s="98"/>
      <c r="KG401" s="98"/>
      <c r="KH401" s="98"/>
      <c r="KI401" s="98"/>
      <c r="KJ401" s="98"/>
      <c r="KK401" s="98"/>
      <c r="KL401" s="98"/>
      <c r="KM401" s="98"/>
      <c r="KN401" s="98"/>
      <c r="KO401" s="98"/>
      <c r="KP401" s="98"/>
      <c r="KQ401" s="98"/>
      <c r="KR401" s="98"/>
      <c r="KS401" s="98"/>
      <c r="KT401" s="98"/>
      <c r="KU401" s="98"/>
      <c r="KV401" s="98"/>
      <c r="KW401" s="98"/>
      <c r="KX401" s="98"/>
      <c r="KY401" s="98"/>
      <c r="KZ401" s="98"/>
      <c r="LA401" s="98"/>
      <c r="LB401" s="98"/>
      <c r="LC401" s="98"/>
      <c r="LD401" s="98"/>
      <c r="LE401" s="98"/>
      <c r="LF401" s="98"/>
      <c r="LG401" s="98"/>
      <c r="LH401" s="98"/>
      <c r="LI401" s="98"/>
      <c r="LJ401" s="98"/>
      <c r="LK401" s="98"/>
      <c r="LL401" s="98"/>
      <c r="LM401" s="98"/>
      <c r="LN401" s="98"/>
      <c r="LO401" s="98"/>
      <c r="LP401" s="98"/>
      <c r="LQ401" s="98"/>
      <c r="LR401" s="98"/>
      <c r="LS401" s="98"/>
      <c r="LT401" s="98"/>
      <c r="LU401" s="98"/>
      <c r="LV401" s="98"/>
      <c r="LW401" s="98"/>
      <c r="LX401" s="98"/>
      <c r="LY401" s="98"/>
      <c r="LZ401" s="98"/>
      <c r="MA401" s="98"/>
      <c r="MB401" s="98"/>
      <c r="MC401" s="98"/>
      <c r="MD401" s="98"/>
      <c r="ME401" s="98"/>
      <c r="MF401" s="98"/>
      <c r="MG401" s="98"/>
      <c r="MH401" s="98"/>
      <c r="MI401" s="98"/>
      <c r="MJ401" s="98"/>
      <c r="MK401" s="98"/>
      <c r="ML401" s="98"/>
      <c r="MM401" s="98"/>
      <c r="MN401" s="98"/>
      <c r="MO401" s="98"/>
      <c r="MP401" s="98"/>
      <c r="MQ401" s="98"/>
      <c r="MR401" s="98"/>
      <c r="MS401" s="98"/>
      <c r="MT401" s="98"/>
      <c r="MU401" s="98"/>
      <c r="MV401" s="98"/>
      <c r="MW401" s="98"/>
    </row>
    <row r="402" spans="1:361" ht="230.25" outlineLevel="3" thickBot="1" x14ac:dyDescent="0.25">
      <c r="A402" s="10" t="s">
        <v>1076</v>
      </c>
      <c r="B402" s="142" t="s">
        <v>1077</v>
      </c>
      <c r="C402" s="47" t="s">
        <v>1078</v>
      </c>
      <c r="D402" s="142" t="s">
        <v>1079</v>
      </c>
      <c r="E402" s="74" t="s">
        <v>847</v>
      </c>
      <c r="F402" s="74" t="s">
        <v>1080</v>
      </c>
      <c r="G402" s="48" t="s">
        <v>275</v>
      </c>
      <c r="H402" s="26" t="s">
        <v>61</v>
      </c>
      <c r="I402" s="42">
        <v>1</v>
      </c>
      <c r="J402" s="70" t="s">
        <v>174</v>
      </c>
      <c r="K402" s="29" t="s">
        <v>1081</v>
      </c>
      <c r="L402" s="71">
        <v>1</v>
      </c>
      <c r="M402" s="31">
        <f t="shared" si="5"/>
        <v>1</v>
      </c>
      <c r="N402" s="32" t="s">
        <v>39</v>
      </c>
      <c r="O402" s="53" t="s">
        <v>76</v>
      </c>
      <c r="P402" s="30">
        <v>5</v>
      </c>
      <c r="Q402" s="34">
        <f t="shared" si="55"/>
        <v>5</v>
      </c>
      <c r="R402" s="49"/>
      <c r="S402" s="49"/>
      <c r="T402" s="49"/>
      <c r="U402" s="50"/>
      <c r="V402" s="51"/>
      <c r="W402" s="52"/>
      <c r="X402" s="51"/>
      <c r="Y402" s="51"/>
      <c r="Z402" s="53"/>
      <c r="AA402" s="40"/>
      <c r="AB402" s="41"/>
      <c r="AD402" s="17">
        <f t="shared" si="53"/>
        <v>-1577</v>
      </c>
      <c r="AE402" s="18">
        <f t="shared" si="49"/>
        <v>1577</v>
      </c>
      <c r="AF402" s="98"/>
      <c r="AG402" s="98"/>
      <c r="AH402" s="98"/>
      <c r="AI402" s="98"/>
      <c r="AJ402" s="98"/>
      <c r="AK402" s="98"/>
      <c r="AL402" s="98"/>
      <c r="AM402" s="98"/>
      <c r="AN402" s="98"/>
      <c r="AO402" s="98"/>
      <c r="AP402" s="98"/>
      <c r="AQ402" s="98"/>
      <c r="AR402" s="98"/>
      <c r="AS402" s="98"/>
      <c r="AT402" s="98"/>
      <c r="AU402" s="98"/>
      <c r="AV402" s="98"/>
      <c r="AW402" s="98"/>
      <c r="AX402" s="98"/>
      <c r="AY402" s="98"/>
      <c r="AZ402" s="98"/>
      <c r="BA402" s="98"/>
      <c r="BB402" s="98"/>
      <c r="BC402" s="98"/>
      <c r="BD402" s="98"/>
      <c r="BE402" s="98"/>
      <c r="BF402" s="98"/>
      <c r="BG402" s="98"/>
      <c r="BH402" s="98"/>
      <c r="BI402" s="98"/>
      <c r="BJ402" s="98"/>
      <c r="BK402" s="98"/>
      <c r="BL402" s="98"/>
      <c r="BM402" s="98"/>
      <c r="BN402" s="98"/>
      <c r="BO402" s="98"/>
      <c r="BP402" s="98"/>
      <c r="BQ402" s="98"/>
      <c r="BR402" s="98"/>
      <c r="BS402" s="98"/>
      <c r="BT402" s="98"/>
      <c r="BU402" s="98"/>
      <c r="BV402" s="98"/>
      <c r="BW402" s="98"/>
      <c r="BX402" s="98"/>
      <c r="BY402" s="98"/>
      <c r="BZ402" s="98"/>
      <c r="CA402" s="98"/>
      <c r="CB402" s="98"/>
      <c r="CC402" s="98"/>
      <c r="CD402" s="98"/>
      <c r="CE402" s="98"/>
      <c r="CF402" s="98"/>
      <c r="CG402" s="98"/>
      <c r="CH402" s="98"/>
      <c r="CI402" s="98"/>
      <c r="CJ402" s="98"/>
      <c r="CK402" s="98"/>
      <c r="CL402" s="98"/>
      <c r="CM402" s="98"/>
      <c r="CN402" s="98"/>
      <c r="CO402" s="98"/>
      <c r="CP402" s="98"/>
      <c r="CQ402" s="98"/>
      <c r="CR402" s="98"/>
      <c r="CS402" s="98"/>
      <c r="CT402" s="98"/>
      <c r="CU402" s="98"/>
      <c r="CV402" s="98"/>
      <c r="CW402" s="98"/>
      <c r="CX402" s="98"/>
      <c r="CY402" s="98"/>
      <c r="CZ402" s="98"/>
      <c r="DA402" s="98"/>
      <c r="DB402" s="98"/>
      <c r="DC402" s="98"/>
      <c r="DD402" s="98"/>
      <c r="DE402" s="98"/>
      <c r="DF402" s="98"/>
      <c r="DG402" s="98"/>
      <c r="DH402" s="98"/>
      <c r="DI402" s="98"/>
      <c r="DJ402" s="98"/>
      <c r="DK402" s="98"/>
      <c r="DL402" s="98"/>
      <c r="DM402" s="98"/>
      <c r="DN402" s="98"/>
      <c r="DO402" s="98"/>
      <c r="DP402" s="98"/>
      <c r="DQ402" s="98"/>
      <c r="DR402" s="98"/>
      <c r="DS402" s="98"/>
      <c r="DT402" s="98"/>
      <c r="DU402" s="98"/>
      <c r="DV402" s="98"/>
      <c r="DW402" s="98"/>
      <c r="DX402" s="98"/>
      <c r="DY402" s="98"/>
      <c r="DZ402" s="98"/>
      <c r="EA402" s="98"/>
      <c r="EB402" s="98"/>
      <c r="EC402" s="98"/>
      <c r="ED402" s="98"/>
      <c r="EE402" s="98"/>
      <c r="EF402" s="98"/>
      <c r="EG402" s="98"/>
      <c r="EH402" s="98"/>
      <c r="EI402" s="98"/>
      <c r="EJ402" s="98"/>
      <c r="EK402" s="98"/>
      <c r="EL402" s="98"/>
      <c r="EM402" s="98"/>
      <c r="EN402" s="98"/>
      <c r="EO402" s="98"/>
      <c r="EP402" s="98"/>
      <c r="EQ402" s="98"/>
      <c r="ER402" s="98"/>
      <c r="ES402" s="98"/>
      <c r="ET402" s="98"/>
      <c r="EU402" s="98"/>
      <c r="EV402" s="98"/>
      <c r="EW402" s="98"/>
      <c r="EX402" s="98"/>
      <c r="EY402" s="98"/>
      <c r="EZ402" s="98"/>
      <c r="FA402" s="98"/>
      <c r="FB402" s="98"/>
      <c r="FC402" s="98"/>
      <c r="FD402" s="98"/>
      <c r="FE402" s="98"/>
      <c r="FF402" s="98"/>
      <c r="FG402" s="98"/>
      <c r="FH402" s="98"/>
      <c r="FI402" s="98"/>
      <c r="FJ402" s="98"/>
      <c r="FK402" s="98"/>
      <c r="FL402" s="98"/>
      <c r="FM402" s="98"/>
      <c r="FN402" s="98"/>
      <c r="FO402" s="98"/>
      <c r="FP402" s="98"/>
      <c r="FQ402" s="98"/>
      <c r="FR402" s="98"/>
      <c r="FS402" s="98"/>
      <c r="FT402" s="98"/>
      <c r="FU402" s="98"/>
      <c r="FV402" s="98"/>
      <c r="FW402" s="98"/>
      <c r="FX402" s="98"/>
      <c r="FY402" s="98"/>
      <c r="FZ402" s="98"/>
      <c r="GA402" s="98"/>
      <c r="GB402" s="98"/>
      <c r="GC402" s="98"/>
      <c r="GD402" s="98"/>
      <c r="GE402" s="98"/>
      <c r="GF402" s="98"/>
      <c r="GG402" s="98"/>
      <c r="GH402" s="98"/>
      <c r="GI402" s="98"/>
      <c r="GJ402" s="98"/>
      <c r="GK402" s="98"/>
      <c r="GL402" s="98"/>
      <c r="GM402" s="98"/>
      <c r="GN402" s="98"/>
      <c r="GO402" s="98"/>
      <c r="GP402" s="98"/>
      <c r="GQ402" s="98"/>
      <c r="GR402" s="98"/>
      <c r="GS402" s="98"/>
      <c r="GT402" s="98"/>
      <c r="GU402" s="98"/>
      <c r="GV402" s="98"/>
      <c r="GW402" s="98"/>
      <c r="GX402" s="98"/>
      <c r="GY402" s="98"/>
      <c r="GZ402" s="98"/>
      <c r="HA402" s="98"/>
      <c r="HB402" s="98"/>
      <c r="HC402" s="98"/>
      <c r="HD402" s="98"/>
      <c r="HE402" s="98"/>
      <c r="HF402" s="98"/>
      <c r="HG402" s="98"/>
      <c r="HH402" s="98"/>
      <c r="HI402" s="98"/>
      <c r="HJ402" s="98"/>
      <c r="HK402" s="98"/>
      <c r="HL402" s="98"/>
      <c r="HM402" s="98"/>
      <c r="HN402" s="98"/>
      <c r="HO402" s="98"/>
      <c r="HP402" s="98"/>
      <c r="HQ402" s="98"/>
      <c r="HR402" s="98"/>
      <c r="HS402" s="98"/>
      <c r="HT402" s="98"/>
      <c r="HU402" s="98"/>
      <c r="HV402" s="98"/>
      <c r="HW402" s="98"/>
      <c r="HX402" s="98"/>
      <c r="HY402" s="98"/>
      <c r="HZ402" s="98"/>
      <c r="IA402" s="98"/>
      <c r="IB402" s="98"/>
      <c r="IC402" s="98"/>
      <c r="ID402" s="98"/>
      <c r="IE402" s="98"/>
      <c r="IF402" s="98"/>
      <c r="IG402" s="98"/>
      <c r="IH402" s="98"/>
      <c r="II402" s="98"/>
      <c r="IJ402" s="98"/>
      <c r="IK402" s="98"/>
      <c r="IL402" s="98"/>
      <c r="IM402" s="98"/>
      <c r="IN402" s="98"/>
      <c r="IO402" s="98"/>
      <c r="IP402" s="98"/>
      <c r="IQ402" s="98"/>
      <c r="IR402" s="98"/>
      <c r="IS402" s="98"/>
      <c r="IT402" s="98"/>
      <c r="IU402" s="98"/>
      <c r="IV402" s="98"/>
      <c r="IW402" s="98"/>
      <c r="IX402" s="98"/>
      <c r="IY402" s="98"/>
      <c r="IZ402" s="98"/>
      <c r="JA402" s="98"/>
      <c r="JB402" s="98"/>
      <c r="JC402" s="98"/>
      <c r="JD402" s="98"/>
      <c r="JE402" s="98"/>
      <c r="JF402" s="98"/>
      <c r="JG402" s="98"/>
      <c r="JH402" s="98"/>
      <c r="JI402" s="98"/>
      <c r="JJ402" s="98"/>
      <c r="JK402" s="98"/>
      <c r="JL402" s="98"/>
      <c r="JM402" s="98"/>
      <c r="JN402" s="98"/>
      <c r="JO402" s="98"/>
      <c r="JP402" s="98"/>
      <c r="JQ402" s="98"/>
      <c r="JR402" s="98"/>
      <c r="JS402" s="98"/>
      <c r="JT402" s="98"/>
      <c r="JU402" s="98"/>
      <c r="JV402" s="98"/>
      <c r="JW402" s="98"/>
      <c r="JX402" s="98"/>
      <c r="JY402" s="98"/>
      <c r="JZ402" s="98"/>
      <c r="KA402" s="98"/>
      <c r="KB402" s="98"/>
      <c r="KC402" s="98"/>
      <c r="KD402" s="98"/>
      <c r="KE402" s="98"/>
      <c r="KF402" s="98"/>
      <c r="KG402" s="98"/>
      <c r="KH402" s="98"/>
      <c r="KI402" s="98"/>
      <c r="KJ402" s="98"/>
      <c r="KK402" s="98"/>
      <c r="KL402" s="98"/>
      <c r="KM402" s="98"/>
      <c r="KN402" s="98"/>
      <c r="KO402" s="98"/>
      <c r="KP402" s="98"/>
      <c r="KQ402" s="98"/>
      <c r="KR402" s="98"/>
      <c r="KS402" s="98"/>
      <c r="KT402" s="98"/>
      <c r="KU402" s="98"/>
      <c r="KV402" s="98"/>
      <c r="KW402" s="98"/>
      <c r="KX402" s="98"/>
      <c r="KY402" s="98"/>
      <c r="KZ402" s="98"/>
      <c r="LA402" s="98"/>
      <c r="LB402" s="98"/>
      <c r="LC402" s="98"/>
      <c r="LD402" s="98"/>
      <c r="LE402" s="98"/>
      <c r="LF402" s="98"/>
      <c r="LG402" s="98"/>
      <c r="LH402" s="98"/>
      <c r="LI402" s="98"/>
      <c r="LJ402" s="98"/>
      <c r="LK402" s="98"/>
      <c r="LL402" s="98"/>
      <c r="LM402" s="98"/>
      <c r="LN402" s="98"/>
      <c r="LO402" s="98"/>
      <c r="LP402" s="98"/>
      <c r="LQ402" s="98"/>
      <c r="LR402" s="98"/>
      <c r="LS402" s="98"/>
      <c r="LT402" s="98"/>
      <c r="LU402" s="98"/>
      <c r="LV402" s="98"/>
      <c r="LW402" s="98"/>
      <c r="LX402" s="98"/>
      <c r="LY402" s="98"/>
      <c r="LZ402" s="98"/>
      <c r="MA402" s="98"/>
      <c r="MB402" s="98"/>
      <c r="MC402" s="98"/>
      <c r="MD402" s="98"/>
      <c r="ME402" s="98"/>
      <c r="MF402" s="98"/>
      <c r="MG402" s="98"/>
      <c r="MH402" s="98"/>
      <c r="MI402" s="98"/>
      <c r="MJ402" s="98"/>
      <c r="MK402" s="98"/>
      <c r="ML402" s="98"/>
      <c r="MM402" s="98"/>
      <c r="MN402" s="98"/>
      <c r="MO402" s="98"/>
      <c r="MP402" s="98"/>
      <c r="MQ402" s="98"/>
      <c r="MR402" s="98"/>
      <c r="MS402" s="98"/>
      <c r="MT402" s="98"/>
      <c r="MU402" s="98"/>
      <c r="MV402" s="98"/>
      <c r="MW402" s="98"/>
    </row>
    <row r="403" spans="1:361" ht="230.25" outlineLevel="3" thickBot="1" x14ac:dyDescent="0.25">
      <c r="A403" s="10" t="s">
        <v>1082</v>
      </c>
      <c r="B403" s="141"/>
      <c r="C403" s="55"/>
      <c r="D403" s="141"/>
      <c r="E403" s="74" t="s">
        <v>851</v>
      </c>
      <c r="F403" s="74" t="s">
        <v>1083</v>
      </c>
      <c r="G403" s="48" t="s">
        <v>191</v>
      </c>
      <c r="H403" s="26" t="s">
        <v>46</v>
      </c>
      <c r="I403" s="42">
        <v>3</v>
      </c>
      <c r="J403" s="28" t="s">
        <v>882</v>
      </c>
      <c r="K403" s="29" t="s">
        <v>1059</v>
      </c>
      <c r="L403" s="30">
        <v>1</v>
      </c>
      <c r="M403" s="31">
        <f t="shared" ref="M403:M498" si="56">I403*L403</f>
        <v>3</v>
      </c>
      <c r="N403" s="32" t="s">
        <v>39</v>
      </c>
      <c r="O403" s="60" t="s">
        <v>884</v>
      </c>
      <c r="P403" s="30">
        <v>3</v>
      </c>
      <c r="Q403" s="34">
        <f t="shared" si="55"/>
        <v>9</v>
      </c>
      <c r="R403" s="49"/>
      <c r="S403" s="49"/>
      <c r="T403" s="49"/>
      <c r="U403" s="50"/>
      <c r="V403" s="51"/>
      <c r="W403" s="52"/>
      <c r="X403" s="51"/>
      <c r="Y403" s="51"/>
      <c r="Z403" s="53"/>
      <c r="AA403" s="40"/>
      <c r="AB403" s="41"/>
      <c r="AD403" s="17">
        <f t="shared" si="53"/>
        <v>-4817</v>
      </c>
      <c r="AE403" s="18">
        <f t="shared" si="49"/>
        <v>4817</v>
      </c>
      <c r="AF403" s="98"/>
      <c r="AG403" s="98"/>
      <c r="AH403" s="98"/>
      <c r="AI403" s="98"/>
      <c r="AJ403" s="98"/>
      <c r="AK403" s="98"/>
      <c r="AL403" s="98"/>
      <c r="AM403" s="98"/>
      <c r="AN403" s="98"/>
      <c r="AO403" s="98"/>
      <c r="AP403" s="98"/>
      <c r="AQ403" s="98"/>
      <c r="AR403" s="98"/>
      <c r="AS403" s="98"/>
      <c r="AT403" s="98"/>
      <c r="AU403" s="98"/>
      <c r="AV403" s="98"/>
      <c r="AW403" s="98"/>
      <c r="AX403" s="98"/>
      <c r="AY403" s="98"/>
      <c r="AZ403" s="98"/>
      <c r="BA403" s="98"/>
      <c r="BB403" s="98"/>
      <c r="BC403" s="98"/>
      <c r="BD403" s="98"/>
      <c r="BE403" s="98"/>
      <c r="BF403" s="98"/>
      <c r="BG403" s="98"/>
      <c r="BH403" s="98"/>
      <c r="BI403" s="98"/>
      <c r="BJ403" s="98"/>
      <c r="BK403" s="98"/>
      <c r="BL403" s="98"/>
      <c r="BM403" s="98"/>
      <c r="BN403" s="98"/>
      <c r="BO403" s="98"/>
      <c r="BP403" s="98"/>
      <c r="BQ403" s="98"/>
      <c r="BR403" s="98"/>
      <c r="BS403" s="98"/>
      <c r="BT403" s="98"/>
      <c r="BU403" s="98"/>
      <c r="BV403" s="98"/>
      <c r="BW403" s="98"/>
      <c r="BX403" s="98"/>
      <c r="BY403" s="98"/>
      <c r="BZ403" s="98"/>
      <c r="CA403" s="98"/>
      <c r="CB403" s="98"/>
      <c r="CC403" s="98"/>
      <c r="CD403" s="98"/>
      <c r="CE403" s="98"/>
      <c r="CF403" s="98"/>
      <c r="CG403" s="98"/>
      <c r="CH403" s="98"/>
      <c r="CI403" s="98"/>
      <c r="CJ403" s="98"/>
      <c r="CK403" s="98"/>
      <c r="CL403" s="98"/>
      <c r="CM403" s="98"/>
      <c r="CN403" s="98"/>
      <c r="CO403" s="98"/>
      <c r="CP403" s="98"/>
      <c r="CQ403" s="98"/>
      <c r="CR403" s="98"/>
      <c r="CS403" s="98"/>
      <c r="CT403" s="98"/>
      <c r="CU403" s="98"/>
      <c r="CV403" s="98"/>
      <c r="CW403" s="98"/>
      <c r="CX403" s="98"/>
      <c r="CY403" s="98"/>
      <c r="CZ403" s="98"/>
      <c r="DA403" s="98"/>
      <c r="DB403" s="98"/>
      <c r="DC403" s="98"/>
      <c r="DD403" s="98"/>
      <c r="DE403" s="98"/>
      <c r="DF403" s="98"/>
      <c r="DG403" s="98"/>
      <c r="DH403" s="98"/>
      <c r="DI403" s="98"/>
      <c r="DJ403" s="98"/>
      <c r="DK403" s="98"/>
      <c r="DL403" s="98"/>
      <c r="DM403" s="98"/>
      <c r="DN403" s="98"/>
      <c r="DO403" s="98"/>
      <c r="DP403" s="98"/>
      <c r="DQ403" s="98"/>
      <c r="DR403" s="98"/>
      <c r="DS403" s="98"/>
      <c r="DT403" s="98"/>
      <c r="DU403" s="98"/>
      <c r="DV403" s="98"/>
      <c r="DW403" s="98"/>
      <c r="DX403" s="98"/>
      <c r="DY403" s="98"/>
      <c r="DZ403" s="98"/>
      <c r="EA403" s="98"/>
      <c r="EB403" s="98"/>
      <c r="EC403" s="98"/>
      <c r="ED403" s="98"/>
      <c r="EE403" s="98"/>
      <c r="EF403" s="98"/>
      <c r="EG403" s="98"/>
      <c r="EH403" s="98"/>
      <c r="EI403" s="98"/>
      <c r="EJ403" s="98"/>
      <c r="EK403" s="98"/>
      <c r="EL403" s="98"/>
      <c r="EM403" s="98"/>
      <c r="EN403" s="98"/>
      <c r="EO403" s="98"/>
      <c r="EP403" s="98"/>
      <c r="EQ403" s="98"/>
      <c r="ER403" s="98"/>
      <c r="ES403" s="98"/>
      <c r="ET403" s="98"/>
      <c r="EU403" s="98"/>
      <c r="EV403" s="98"/>
      <c r="EW403" s="98"/>
      <c r="EX403" s="98"/>
      <c r="EY403" s="98"/>
      <c r="EZ403" s="98"/>
      <c r="FA403" s="98"/>
      <c r="FB403" s="98"/>
      <c r="FC403" s="98"/>
      <c r="FD403" s="98"/>
      <c r="FE403" s="98"/>
      <c r="FF403" s="98"/>
      <c r="FG403" s="98"/>
      <c r="FH403" s="98"/>
      <c r="FI403" s="98"/>
      <c r="FJ403" s="98"/>
      <c r="FK403" s="98"/>
      <c r="FL403" s="98"/>
      <c r="FM403" s="98"/>
      <c r="FN403" s="98"/>
      <c r="FO403" s="98"/>
      <c r="FP403" s="98"/>
      <c r="FQ403" s="98"/>
      <c r="FR403" s="98"/>
      <c r="FS403" s="98"/>
      <c r="FT403" s="98"/>
      <c r="FU403" s="98"/>
      <c r="FV403" s="98"/>
      <c r="FW403" s="98"/>
      <c r="FX403" s="98"/>
      <c r="FY403" s="98"/>
      <c r="FZ403" s="98"/>
      <c r="GA403" s="98"/>
      <c r="GB403" s="98"/>
      <c r="GC403" s="98"/>
      <c r="GD403" s="98"/>
      <c r="GE403" s="98"/>
      <c r="GF403" s="98"/>
      <c r="GG403" s="98"/>
      <c r="GH403" s="98"/>
      <c r="GI403" s="98"/>
      <c r="GJ403" s="98"/>
      <c r="GK403" s="98"/>
      <c r="GL403" s="98"/>
      <c r="GM403" s="98"/>
      <c r="GN403" s="98"/>
      <c r="GO403" s="98"/>
      <c r="GP403" s="98"/>
      <c r="GQ403" s="98"/>
      <c r="GR403" s="98"/>
      <c r="GS403" s="98"/>
      <c r="GT403" s="98"/>
      <c r="GU403" s="98"/>
      <c r="GV403" s="98"/>
      <c r="GW403" s="98"/>
      <c r="GX403" s="98"/>
      <c r="GY403" s="98"/>
      <c r="GZ403" s="98"/>
      <c r="HA403" s="98"/>
      <c r="HB403" s="98"/>
      <c r="HC403" s="98"/>
      <c r="HD403" s="98"/>
      <c r="HE403" s="98"/>
      <c r="HF403" s="98"/>
      <c r="HG403" s="98"/>
      <c r="HH403" s="98"/>
      <c r="HI403" s="98"/>
      <c r="HJ403" s="98"/>
      <c r="HK403" s="98"/>
      <c r="HL403" s="98"/>
      <c r="HM403" s="98"/>
      <c r="HN403" s="98"/>
      <c r="HO403" s="98"/>
      <c r="HP403" s="98"/>
      <c r="HQ403" s="98"/>
      <c r="HR403" s="98"/>
      <c r="HS403" s="98"/>
      <c r="HT403" s="98"/>
      <c r="HU403" s="98"/>
      <c r="HV403" s="98"/>
      <c r="HW403" s="98"/>
      <c r="HX403" s="98"/>
      <c r="HY403" s="98"/>
      <c r="HZ403" s="98"/>
      <c r="IA403" s="98"/>
      <c r="IB403" s="98"/>
      <c r="IC403" s="98"/>
      <c r="ID403" s="98"/>
      <c r="IE403" s="98"/>
      <c r="IF403" s="98"/>
      <c r="IG403" s="98"/>
      <c r="IH403" s="98"/>
      <c r="II403" s="98"/>
      <c r="IJ403" s="98"/>
      <c r="IK403" s="98"/>
      <c r="IL403" s="98"/>
      <c r="IM403" s="98"/>
      <c r="IN403" s="98"/>
      <c r="IO403" s="98"/>
      <c r="IP403" s="98"/>
      <c r="IQ403" s="98"/>
      <c r="IR403" s="98"/>
      <c r="IS403" s="98"/>
      <c r="IT403" s="98"/>
      <c r="IU403" s="98"/>
      <c r="IV403" s="98"/>
      <c r="IW403" s="98"/>
      <c r="IX403" s="98"/>
      <c r="IY403" s="98"/>
      <c r="IZ403" s="98"/>
      <c r="JA403" s="98"/>
      <c r="JB403" s="98"/>
      <c r="JC403" s="98"/>
      <c r="JD403" s="98"/>
      <c r="JE403" s="98"/>
      <c r="JF403" s="98"/>
      <c r="JG403" s="98"/>
      <c r="JH403" s="98"/>
      <c r="JI403" s="98"/>
      <c r="JJ403" s="98"/>
      <c r="JK403" s="98"/>
      <c r="JL403" s="98"/>
      <c r="JM403" s="98"/>
      <c r="JN403" s="98"/>
      <c r="JO403" s="98"/>
      <c r="JP403" s="98"/>
      <c r="JQ403" s="98"/>
      <c r="JR403" s="98"/>
      <c r="JS403" s="98"/>
      <c r="JT403" s="98"/>
      <c r="JU403" s="98"/>
      <c r="JV403" s="98"/>
      <c r="JW403" s="98"/>
      <c r="JX403" s="98"/>
      <c r="JY403" s="98"/>
      <c r="JZ403" s="98"/>
      <c r="KA403" s="98"/>
      <c r="KB403" s="98"/>
      <c r="KC403" s="98"/>
      <c r="KD403" s="98"/>
      <c r="KE403" s="98"/>
      <c r="KF403" s="98"/>
      <c r="KG403" s="98"/>
      <c r="KH403" s="98"/>
      <c r="KI403" s="98"/>
      <c r="KJ403" s="98"/>
      <c r="KK403" s="98"/>
      <c r="KL403" s="98"/>
      <c r="KM403" s="98"/>
      <c r="KN403" s="98"/>
      <c r="KO403" s="98"/>
      <c r="KP403" s="98"/>
      <c r="KQ403" s="98"/>
      <c r="KR403" s="98"/>
      <c r="KS403" s="98"/>
      <c r="KT403" s="98"/>
      <c r="KU403" s="98"/>
      <c r="KV403" s="98"/>
      <c r="KW403" s="98"/>
      <c r="KX403" s="98"/>
      <c r="KY403" s="98"/>
      <c r="KZ403" s="98"/>
      <c r="LA403" s="98"/>
      <c r="LB403" s="98"/>
      <c r="LC403" s="98"/>
      <c r="LD403" s="98"/>
      <c r="LE403" s="98"/>
      <c r="LF403" s="98"/>
      <c r="LG403" s="98"/>
      <c r="LH403" s="98"/>
      <c r="LI403" s="98"/>
      <c r="LJ403" s="98"/>
      <c r="LK403" s="98"/>
      <c r="LL403" s="98"/>
      <c r="LM403" s="98"/>
      <c r="LN403" s="98"/>
      <c r="LO403" s="98"/>
      <c r="LP403" s="98"/>
      <c r="LQ403" s="98"/>
      <c r="LR403" s="98"/>
      <c r="LS403" s="98"/>
      <c r="LT403" s="98"/>
      <c r="LU403" s="98"/>
      <c r="LV403" s="98"/>
      <c r="LW403" s="98"/>
      <c r="LX403" s="98"/>
      <c r="LY403" s="98"/>
      <c r="LZ403" s="98"/>
      <c r="MA403" s="98"/>
      <c r="MB403" s="98"/>
      <c r="MC403" s="98"/>
      <c r="MD403" s="98"/>
      <c r="ME403" s="98"/>
      <c r="MF403" s="98"/>
      <c r="MG403" s="98"/>
      <c r="MH403" s="98"/>
      <c r="MI403" s="98"/>
      <c r="MJ403" s="98"/>
      <c r="MK403" s="98"/>
      <c r="ML403" s="98"/>
      <c r="MM403" s="98"/>
      <c r="MN403" s="98"/>
      <c r="MO403" s="98"/>
      <c r="MP403" s="98"/>
      <c r="MQ403" s="98"/>
      <c r="MR403" s="98"/>
      <c r="MS403" s="98"/>
      <c r="MT403" s="98"/>
      <c r="MU403" s="98"/>
      <c r="MV403" s="98"/>
      <c r="MW403" s="98"/>
    </row>
    <row r="404" spans="1:361" ht="230.25" outlineLevel="3" thickBot="1" x14ac:dyDescent="0.25">
      <c r="A404" s="61" t="s">
        <v>1084</v>
      </c>
      <c r="B404" s="147" t="s">
        <v>1085</v>
      </c>
      <c r="C404" s="152" t="s">
        <v>1086</v>
      </c>
      <c r="D404" s="142" t="s">
        <v>1087</v>
      </c>
      <c r="E404" s="48" t="s">
        <v>67</v>
      </c>
      <c r="F404" s="74" t="s">
        <v>316</v>
      </c>
      <c r="G404" s="48" t="s">
        <v>499</v>
      </c>
      <c r="H404" s="26" t="s">
        <v>147</v>
      </c>
      <c r="I404" s="42">
        <v>1</v>
      </c>
      <c r="J404" s="70" t="s">
        <v>174</v>
      </c>
      <c r="K404" s="29" t="s">
        <v>75</v>
      </c>
      <c r="L404" s="30">
        <v>1</v>
      </c>
      <c r="M404" s="31">
        <f t="shared" si="56"/>
        <v>1</v>
      </c>
      <c r="N404" s="32" t="s">
        <v>39</v>
      </c>
      <c r="O404" s="53" t="s">
        <v>76</v>
      </c>
      <c r="P404" s="30">
        <v>5</v>
      </c>
      <c r="Q404" s="34">
        <f t="shared" si="55"/>
        <v>5</v>
      </c>
      <c r="R404" s="114"/>
      <c r="S404" s="114"/>
      <c r="T404" s="114"/>
      <c r="U404" s="50"/>
      <c r="V404" s="51"/>
      <c r="W404" s="52"/>
      <c r="X404" s="51"/>
      <c r="Y404" s="51"/>
      <c r="Z404" s="53"/>
      <c r="AA404" s="40"/>
      <c r="AB404" s="41"/>
      <c r="AD404" s="17">
        <f t="shared" si="53"/>
        <v>10459</v>
      </c>
      <c r="AE404" s="18"/>
      <c r="AF404" s="98"/>
      <c r="AG404" s="98"/>
      <c r="AH404" s="98"/>
      <c r="AI404" s="98"/>
      <c r="AJ404" s="98"/>
      <c r="AK404" s="98"/>
      <c r="AL404" s="98"/>
      <c r="AM404" s="98"/>
      <c r="AN404" s="98"/>
      <c r="AO404" s="98"/>
      <c r="AP404" s="98"/>
      <c r="AQ404" s="98"/>
      <c r="AR404" s="98"/>
      <c r="AS404" s="98"/>
      <c r="AT404" s="98"/>
      <c r="AU404" s="98"/>
      <c r="AV404" s="98"/>
      <c r="AW404" s="98"/>
      <c r="AX404" s="98"/>
      <c r="AY404" s="98"/>
      <c r="AZ404" s="98"/>
      <c r="BA404" s="98"/>
      <c r="BB404" s="98"/>
      <c r="BC404" s="98"/>
      <c r="BD404" s="98"/>
      <c r="BE404" s="98"/>
      <c r="BF404" s="98"/>
      <c r="BG404" s="98"/>
      <c r="BH404" s="98"/>
      <c r="BI404" s="98"/>
      <c r="BJ404" s="98"/>
      <c r="BK404" s="98"/>
      <c r="BL404" s="98"/>
      <c r="BM404" s="98"/>
      <c r="BN404" s="98"/>
      <c r="BO404" s="98"/>
      <c r="BP404" s="98"/>
      <c r="BQ404" s="98"/>
      <c r="BR404" s="98"/>
      <c r="BS404" s="98"/>
      <c r="BT404" s="98"/>
      <c r="BU404" s="98"/>
      <c r="BV404" s="98"/>
      <c r="BW404" s="98"/>
      <c r="BX404" s="98"/>
      <c r="BY404" s="98"/>
      <c r="BZ404" s="98"/>
      <c r="CA404" s="98"/>
      <c r="CB404" s="98"/>
      <c r="CC404" s="98"/>
      <c r="CD404" s="98"/>
      <c r="CE404" s="98"/>
      <c r="CF404" s="98"/>
      <c r="CG404" s="98"/>
      <c r="CH404" s="98"/>
      <c r="CI404" s="98"/>
      <c r="CJ404" s="98"/>
      <c r="CK404" s="98"/>
      <c r="CL404" s="98"/>
      <c r="CM404" s="98"/>
      <c r="CN404" s="98"/>
      <c r="CO404" s="98"/>
      <c r="CP404" s="98"/>
      <c r="CQ404" s="98"/>
      <c r="CR404" s="98"/>
      <c r="CS404" s="98"/>
      <c r="CT404" s="98"/>
      <c r="CU404" s="98"/>
      <c r="CV404" s="98"/>
      <c r="CW404" s="98"/>
      <c r="CX404" s="98"/>
      <c r="CY404" s="98"/>
      <c r="CZ404" s="98"/>
      <c r="DA404" s="98"/>
      <c r="DB404" s="98"/>
      <c r="DC404" s="98"/>
      <c r="DD404" s="98"/>
      <c r="DE404" s="98"/>
      <c r="DF404" s="98"/>
      <c r="DG404" s="98"/>
      <c r="DH404" s="98"/>
      <c r="DI404" s="98"/>
      <c r="DJ404" s="98"/>
      <c r="DK404" s="98"/>
      <c r="DL404" s="98"/>
      <c r="DM404" s="98"/>
      <c r="DN404" s="98"/>
      <c r="DO404" s="98"/>
      <c r="DP404" s="98"/>
      <c r="DQ404" s="98"/>
      <c r="DR404" s="98"/>
      <c r="DS404" s="98"/>
      <c r="DT404" s="98"/>
      <c r="DU404" s="98"/>
      <c r="DV404" s="98"/>
      <c r="DW404" s="98"/>
      <c r="DX404" s="98"/>
      <c r="DY404" s="98"/>
      <c r="DZ404" s="98"/>
      <c r="EA404" s="98"/>
      <c r="EB404" s="98"/>
      <c r="EC404" s="98"/>
      <c r="ED404" s="98"/>
      <c r="EE404" s="98"/>
      <c r="EF404" s="98"/>
      <c r="EG404" s="98"/>
      <c r="EH404" s="98"/>
      <c r="EI404" s="98"/>
      <c r="EJ404" s="98"/>
      <c r="EK404" s="98"/>
      <c r="EL404" s="98"/>
      <c r="EM404" s="98"/>
      <c r="EN404" s="98"/>
      <c r="EO404" s="98"/>
      <c r="EP404" s="98"/>
      <c r="EQ404" s="98"/>
      <c r="ER404" s="98"/>
      <c r="ES404" s="98"/>
      <c r="ET404" s="98"/>
      <c r="EU404" s="98"/>
      <c r="EV404" s="98"/>
      <c r="EW404" s="98"/>
      <c r="EX404" s="98"/>
      <c r="EY404" s="98"/>
      <c r="EZ404" s="98"/>
      <c r="FA404" s="98"/>
      <c r="FB404" s="98"/>
      <c r="FC404" s="98"/>
      <c r="FD404" s="98"/>
      <c r="FE404" s="98"/>
      <c r="FF404" s="98"/>
      <c r="FG404" s="98"/>
      <c r="FH404" s="98"/>
      <c r="FI404" s="98"/>
      <c r="FJ404" s="98"/>
      <c r="FK404" s="98"/>
      <c r="FL404" s="98"/>
      <c r="FM404" s="98"/>
      <c r="FN404" s="98"/>
      <c r="FO404" s="98"/>
      <c r="FP404" s="98"/>
      <c r="FQ404" s="98"/>
      <c r="FR404" s="98"/>
      <c r="FS404" s="98"/>
      <c r="FT404" s="98"/>
      <c r="FU404" s="98"/>
      <c r="FV404" s="98"/>
      <c r="FW404" s="98"/>
      <c r="FX404" s="98"/>
      <c r="FY404" s="98"/>
      <c r="FZ404" s="98"/>
      <c r="GA404" s="98"/>
      <c r="GB404" s="98"/>
      <c r="GC404" s="98"/>
      <c r="GD404" s="98"/>
      <c r="GE404" s="98"/>
      <c r="GF404" s="98"/>
      <c r="GG404" s="98"/>
      <c r="GH404" s="98"/>
      <c r="GI404" s="98"/>
      <c r="GJ404" s="98"/>
      <c r="GK404" s="98"/>
      <c r="GL404" s="98"/>
      <c r="GM404" s="98"/>
      <c r="GN404" s="98"/>
      <c r="GO404" s="98"/>
      <c r="GP404" s="98"/>
      <c r="GQ404" s="98"/>
      <c r="GR404" s="98"/>
      <c r="GS404" s="98"/>
      <c r="GT404" s="98"/>
      <c r="GU404" s="98"/>
      <c r="GV404" s="98"/>
      <c r="GW404" s="98"/>
      <c r="GX404" s="98"/>
      <c r="GY404" s="98"/>
      <c r="GZ404" s="98"/>
      <c r="HA404" s="98"/>
      <c r="HB404" s="98"/>
      <c r="HC404" s="98"/>
      <c r="HD404" s="98"/>
      <c r="HE404" s="98"/>
      <c r="HF404" s="98"/>
      <c r="HG404" s="98"/>
      <c r="HH404" s="98"/>
      <c r="HI404" s="98"/>
      <c r="HJ404" s="98"/>
      <c r="HK404" s="98"/>
      <c r="HL404" s="98"/>
      <c r="HM404" s="98"/>
      <c r="HN404" s="98"/>
      <c r="HO404" s="98"/>
      <c r="HP404" s="98"/>
      <c r="HQ404" s="98"/>
      <c r="HR404" s="98"/>
      <c r="HS404" s="98"/>
      <c r="HT404" s="98"/>
      <c r="HU404" s="98"/>
      <c r="HV404" s="98"/>
      <c r="HW404" s="98"/>
      <c r="HX404" s="98"/>
      <c r="HY404" s="98"/>
      <c r="HZ404" s="98"/>
      <c r="IA404" s="98"/>
      <c r="IB404" s="98"/>
      <c r="IC404" s="98"/>
      <c r="ID404" s="98"/>
      <c r="IE404" s="98"/>
      <c r="IF404" s="98"/>
      <c r="IG404" s="98"/>
      <c r="IH404" s="98"/>
      <c r="II404" s="98"/>
      <c r="IJ404" s="98"/>
      <c r="IK404" s="98"/>
      <c r="IL404" s="98"/>
      <c r="IM404" s="98"/>
      <c r="IN404" s="98"/>
      <c r="IO404" s="98"/>
      <c r="IP404" s="98"/>
      <c r="IQ404" s="98"/>
      <c r="IR404" s="98"/>
      <c r="IS404" s="98"/>
      <c r="IT404" s="98"/>
      <c r="IU404" s="98"/>
      <c r="IV404" s="98"/>
      <c r="IW404" s="98"/>
      <c r="IX404" s="98"/>
      <c r="IY404" s="98"/>
      <c r="IZ404" s="98"/>
      <c r="JA404" s="98"/>
      <c r="JB404" s="98"/>
      <c r="JC404" s="98"/>
      <c r="JD404" s="98"/>
      <c r="JE404" s="98"/>
      <c r="JF404" s="98"/>
      <c r="JG404" s="98"/>
      <c r="JH404" s="98"/>
      <c r="JI404" s="98"/>
      <c r="JJ404" s="98"/>
      <c r="JK404" s="98"/>
      <c r="JL404" s="98"/>
      <c r="JM404" s="98"/>
      <c r="JN404" s="98"/>
      <c r="JO404" s="98"/>
      <c r="JP404" s="98"/>
      <c r="JQ404" s="98"/>
      <c r="JR404" s="98"/>
      <c r="JS404" s="98"/>
      <c r="JT404" s="98"/>
      <c r="JU404" s="98"/>
      <c r="JV404" s="98"/>
      <c r="JW404" s="98"/>
      <c r="JX404" s="98"/>
      <c r="JY404" s="98"/>
      <c r="JZ404" s="98"/>
      <c r="KA404" s="98"/>
      <c r="KB404" s="98"/>
      <c r="KC404" s="98"/>
      <c r="KD404" s="98"/>
      <c r="KE404" s="98"/>
      <c r="KF404" s="98"/>
      <c r="KG404" s="98"/>
      <c r="KH404" s="98"/>
      <c r="KI404" s="98"/>
      <c r="KJ404" s="98"/>
      <c r="KK404" s="98"/>
      <c r="KL404" s="98"/>
      <c r="KM404" s="98"/>
      <c r="KN404" s="98"/>
      <c r="KO404" s="98"/>
      <c r="KP404" s="98"/>
      <c r="KQ404" s="98"/>
      <c r="KR404" s="98"/>
      <c r="KS404" s="98"/>
      <c r="KT404" s="98"/>
      <c r="KU404" s="98"/>
      <c r="KV404" s="98"/>
      <c r="KW404" s="98"/>
      <c r="KX404" s="98"/>
      <c r="KY404" s="98"/>
      <c r="KZ404" s="98"/>
      <c r="LA404" s="98"/>
      <c r="LB404" s="98"/>
      <c r="LC404" s="98"/>
      <c r="LD404" s="98"/>
      <c r="LE404" s="98"/>
      <c r="LF404" s="98"/>
      <c r="LG404" s="98"/>
      <c r="LH404" s="98"/>
      <c r="LI404" s="98"/>
      <c r="LJ404" s="98"/>
      <c r="LK404" s="98"/>
      <c r="LL404" s="98"/>
      <c r="LM404" s="98"/>
      <c r="LN404" s="98"/>
      <c r="LO404" s="98"/>
      <c r="LP404" s="98"/>
      <c r="LQ404" s="98"/>
      <c r="LR404" s="98"/>
      <c r="LS404" s="98"/>
      <c r="LT404" s="98"/>
      <c r="LU404" s="98"/>
      <c r="LV404" s="98"/>
      <c r="LW404" s="98"/>
      <c r="LX404" s="98"/>
      <c r="LY404" s="98"/>
      <c r="LZ404" s="98"/>
      <c r="MA404" s="98"/>
      <c r="MB404" s="98"/>
      <c r="MC404" s="98"/>
      <c r="MD404" s="98"/>
      <c r="ME404" s="98"/>
      <c r="MF404" s="98"/>
      <c r="MG404" s="98"/>
      <c r="MH404" s="98"/>
      <c r="MI404" s="98"/>
      <c r="MJ404" s="98"/>
      <c r="MK404" s="98"/>
      <c r="ML404" s="98"/>
      <c r="MM404" s="98"/>
      <c r="MN404" s="98"/>
      <c r="MO404" s="98"/>
      <c r="MP404" s="98"/>
      <c r="MQ404" s="98"/>
      <c r="MR404" s="98"/>
      <c r="MS404" s="98"/>
      <c r="MT404" s="98"/>
      <c r="MU404" s="98"/>
      <c r="MV404" s="98"/>
      <c r="MW404" s="98"/>
    </row>
    <row r="405" spans="1:361" ht="230.25" outlineLevel="3" thickBot="1" x14ac:dyDescent="0.25">
      <c r="A405" s="61" t="s">
        <v>1088</v>
      </c>
      <c r="B405" s="148"/>
      <c r="C405" s="153"/>
      <c r="D405" s="141"/>
      <c r="E405" s="48" t="s">
        <v>71</v>
      </c>
      <c r="F405" s="74" t="s">
        <v>1066</v>
      </c>
      <c r="G405" s="48" t="s">
        <v>191</v>
      </c>
      <c r="H405" s="26" t="s">
        <v>46</v>
      </c>
      <c r="I405" s="42">
        <v>3</v>
      </c>
      <c r="J405" s="70" t="s">
        <v>47</v>
      </c>
      <c r="K405" s="29" t="s">
        <v>1059</v>
      </c>
      <c r="L405" s="71">
        <v>2</v>
      </c>
      <c r="M405" s="113">
        <f t="shared" si="56"/>
        <v>6</v>
      </c>
      <c r="N405" s="32" t="s">
        <v>39</v>
      </c>
      <c r="O405" s="60" t="s">
        <v>884</v>
      </c>
      <c r="P405" s="30">
        <v>3</v>
      </c>
      <c r="Q405" s="34">
        <f t="shared" si="55"/>
        <v>18</v>
      </c>
      <c r="R405" s="114"/>
      <c r="S405" s="114"/>
      <c r="T405" s="114"/>
      <c r="U405" s="50"/>
      <c r="V405" s="51"/>
      <c r="W405" s="52"/>
      <c r="X405" s="51"/>
      <c r="Y405" s="51"/>
      <c r="Z405" s="53"/>
      <c r="AA405" s="40"/>
      <c r="AB405" s="41"/>
      <c r="AD405" s="17">
        <f t="shared" si="53"/>
        <v>10460</v>
      </c>
      <c r="AE405" s="18"/>
      <c r="AF405" s="98"/>
      <c r="AG405" s="98"/>
      <c r="AH405" s="98"/>
      <c r="AI405" s="98"/>
      <c r="AJ405" s="98"/>
      <c r="AK405" s="98"/>
      <c r="AL405" s="98"/>
      <c r="AM405" s="98"/>
      <c r="AN405" s="98"/>
      <c r="AO405" s="98"/>
      <c r="AP405" s="98"/>
      <c r="AQ405" s="98"/>
      <c r="AR405" s="98"/>
      <c r="AS405" s="98"/>
      <c r="AT405" s="98"/>
      <c r="AU405" s="98"/>
      <c r="AV405" s="98"/>
      <c r="AW405" s="98"/>
      <c r="AX405" s="98"/>
      <c r="AY405" s="98"/>
      <c r="AZ405" s="98"/>
      <c r="BA405" s="98"/>
      <c r="BB405" s="98"/>
      <c r="BC405" s="98"/>
      <c r="BD405" s="98"/>
      <c r="BE405" s="98"/>
      <c r="BF405" s="98"/>
      <c r="BG405" s="98"/>
      <c r="BH405" s="98"/>
      <c r="BI405" s="98"/>
      <c r="BJ405" s="98"/>
      <c r="BK405" s="98"/>
      <c r="BL405" s="98"/>
      <c r="BM405" s="98"/>
      <c r="BN405" s="98"/>
      <c r="BO405" s="98"/>
      <c r="BP405" s="98"/>
      <c r="BQ405" s="98"/>
      <c r="BR405" s="98"/>
      <c r="BS405" s="98"/>
      <c r="BT405" s="98"/>
      <c r="BU405" s="98"/>
      <c r="BV405" s="98"/>
      <c r="BW405" s="98"/>
      <c r="BX405" s="98"/>
      <c r="BY405" s="98"/>
      <c r="BZ405" s="98"/>
      <c r="CA405" s="98"/>
      <c r="CB405" s="98"/>
      <c r="CC405" s="98"/>
      <c r="CD405" s="98"/>
      <c r="CE405" s="98"/>
      <c r="CF405" s="98"/>
      <c r="CG405" s="98"/>
      <c r="CH405" s="98"/>
      <c r="CI405" s="98"/>
      <c r="CJ405" s="98"/>
      <c r="CK405" s="98"/>
      <c r="CL405" s="98"/>
      <c r="CM405" s="98"/>
      <c r="CN405" s="98"/>
      <c r="CO405" s="98"/>
      <c r="CP405" s="98"/>
      <c r="CQ405" s="98"/>
      <c r="CR405" s="98"/>
      <c r="CS405" s="98"/>
      <c r="CT405" s="98"/>
      <c r="CU405" s="98"/>
      <c r="CV405" s="98"/>
      <c r="CW405" s="98"/>
      <c r="CX405" s="98"/>
      <c r="CY405" s="98"/>
      <c r="CZ405" s="98"/>
      <c r="DA405" s="98"/>
      <c r="DB405" s="98"/>
      <c r="DC405" s="98"/>
      <c r="DD405" s="98"/>
      <c r="DE405" s="98"/>
      <c r="DF405" s="98"/>
      <c r="DG405" s="98"/>
      <c r="DH405" s="98"/>
      <c r="DI405" s="98"/>
      <c r="DJ405" s="98"/>
      <c r="DK405" s="98"/>
      <c r="DL405" s="98"/>
      <c r="DM405" s="98"/>
      <c r="DN405" s="98"/>
      <c r="DO405" s="98"/>
      <c r="DP405" s="98"/>
      <c r="DQ405" s="98"/>
      <c r="DR405" s="98"/>
      <c r="DS405" s="98"/>
      <c r="DT405" s="98"/>
      <c r="DU405" s="98"/>
      <c r="DV405" s="98"/>
      <c r="DW405" s="98"/>
      <c r="DX405" s="98"/>
      <c r="DY405" s="98"/>
      <c r="DZ405" s="98"/>
      <c r="EA405" s="98"/>
      <c r="EB405" s="98"/>
      <c r="EC405" s="98"/>
      <c r="ED405" s="98"/>
      <c r="EE405" s="98"/>
      <c r="EF405" s="98"/>
      <c r="EG405" s="98"/>
      <c r="EH405" s="98"/>
      <c r="EI405" s="98"/>
      <c r="EJ405" s="98"/>
      <c r="EK405" s="98"/>
      <c r="EL405" s="98"/>
      <c r="EM405" s="98"/>
      <c r="EN405" s="98"/>
      <c r="EO405" s="98"/>
      <c r="EP405" s="98"/>
      <c r="EQ405" s="98"/>
      <c r="ER405" s="98"/>
      <c r="ES405" s="98"/>
      <c r="ET405" s="98"/>
      <c r="EU405" s="98"/>
      <c r="EV405" s="98"/>
      <c r="EW405" s="98"/>
      <c r="EX405" s="98"/>
      <c r="EY405" s="98"/>
      <c r="EZ405" s="98"/>
      <c r="FA405" s="98"/>
      <c r="FB405" s="98"/>
      <c r="FC405" s="98"/>
      <c r="FD405" s="98"/>
      <c r="FE405" s="98"/>
      <c r="FF405" s="98"/>
      <c r="FG405" s="98"/>
      <c r="FH405" s="98"/>
      <c r="FI405" s="98"/>
      <c r="FJ405" s="98"/>
      <c r="FK405" s="98"/>
      <c r="FL405" s="98"/>
      <c r="FM405" s="98"/>
      <c r="FN405" s="98"/>
      <c r="FO405" s="98"/>
      <c r="FP405" s="98"/>
      <c r="FQ405" s="98"/>
      <c r="FR405" s="98"/>
      <c r="FS405" s="98"/>
      <c r="FT405" s="98"/>
      <c r="FU405" s="98"/>
      <c r="FV405" s="98"/>
      <c r="FW405" s="98"/>
      <c r="FX405" s="98"/>
      <c r="FY405" s="98"/>
      <c r="FZ405" s="98"/>
      <c r="GA405" s="98"/>
      <c r="GB405" s="98"/>
      <c r="GC405" s="98"/>
      <c r="GD405" s="98"/>
      <c r="GE405" s="98"/>
      <c r="GF405" s="98"/>
      <c r="GG405" s="98"/>
      <c r="GH405" s="98"/>
      <c r="GI405" s="98"/>
      <c r="GJ405" s="98"/>
      <c r="GK405" s="98"/>
      <c r="GL405" s="98"/>
      <c r="GM405" s="98"/>
      <c r="GN405" s="98"/>
      <c r="GO405" s="98"/>
      <c r="GP405" s="98"/>
      <c r="GQ405" s="98"/>
      <c r="GR405" s="98"/>
      <c r="GS405" s="98"/>
      <c r="GT405" s="98"/>
      <c r="GU405" s="98"/>
      <c r="GV405" s="98"/>
      <c r="GW405" s="98"/>
      <c r="GX405" s="98"/>
      <c r="GY405" s="98"/>
      <c r="GZ405" s="98"/>
      <c r="HA405" s="98"/>
      <c r="HB405" s="98"/>
      <c r="HC405" s="98"/>
      <c r="HD405" s="98"/>
      <c r="HE405" s="98"/>
      <c r="HF405" s="98"/>
      <c r="HG405" s="98"/>
      <c r="HH405" s="98"/>
      <c r="HI405" s="98"/>
      <c r="HJ405" s="98"/>
      <c r="HK405" s="98"/>
      <c r="HL405" s="98"/>
      <c r="HM405" s="98"/>
      <c r="HN405" s="98"/>
      <c r="HO405" s="98"/>
      <c r="HP405" s="98"/>
      <c r="HQ405" s="98"/>
      <c r="HR405" s="98"/>
      <c r="HS405" s="98"/>
      <c r="HT405" s="98"/>
      <c r="HU405" s="98"/>
      <c r="HV405" s="98"/>
      <c r="HW405" s="98"/>
      <c r="HX405" s="98"/>
      <c r="HY405" s="98"/>
      <c r="HZ405" s="98"/>
      <c r="IA405" s="98"/>
      <c r="IB405" s="98"/>
      <c r="IC405" s="98"/>
      <c r="ID405" s="98"/>
      <c r="IE405" s="98"/>
      <c r="IF405" s="98"/>
      <c r="IG405" s="98"/>
      <c r="IH405" s="98"/>
      <c r="II405" s="98"/>
      <c r="IJ405" s="98"/>
      <c r="IK405" s="98"/>
      <c r="IL405" s="98"/>
      <c r="IM405" s="98"/>
      <c r="IN405" s="98"/>
      <c r="IO405" s="98"/>
      <c r="IP405" s="98"/>
      <c r="IQ405" s="98"/>
      <c r="IR405" s="98"/>
      <c r="IS405" s="98"/>
      <c r="IT405" s="98"/>
      <c r="IU405" s="98"/>
      <c r="IV405" s="98"/>
      <c r="IW405" s="98"/>
      <c r="IX405" s="98"/>
      <c r="IY405" s="98"/>
      <c r="IZ405" s="98"/>
      <c r="JA405" s="98"/>
      <c r="JB405" s="98"/>
      <c r="JC405" s="98"/>
      <c r="JD405" s="98"/>
      <c r="JE405" s="98"/>
      <c r="JF405" s="98"/>
      <c r="JG405" s="98"/>
      <c r="JH405" s="98"/>
      <c r="JI405" s="98"/>
      <c r="JJ405" s="98"/>
      <c r="JK405" s="98"/>
      <c r="JL405" s="98"/>
      <c r="JM405" s="98"/>
      <c r="JN405" s="98"/>
      <c r="JO405" s="98"/>
      <c r="JP405" s="98"/>
      <c r="JQ405" s="98"/>
      <c r="JR405" s="98"/>
      <c r="JS405" s="98"/>
      <c r="JT405" s="98"/>
      <c r="JU405" s="98"/>
      <c r="JV405" s="98"/>
      <c r="JW405" s="98"/>
      <c r="JX405" s="98"/>
      <c r="JY405" s="98"/>
      <c r="JZ405" s="98"/>
      <c r="KA405" s="98"/>
      <c r="KB405" s="98"/>
      <c r="KC405" s="98"/>
      <c r="KD405" s="98"/>
      <c r="KE405" s="98"/>
      <c r="KF405" s="98"/>
      <c r="KG405" s="98"/>
      <c r="KH405" s="98"/>
      <c r="KI405" s="98"/>
      <c r="KJ405" s="98"/>
      <c r="KK405" s="98"/>
      <c r="KL405" s="98"/>
      <c r="KM405" s="98"/>
      <c r="KN405" s="98"/>
      <c r="KO405" s="98"/>
      <c r="KP405" s="98"/>
      <c r="KQ405" s="98"/>
      <c r="KR405" s="98"/>
      <c r="KS405" s="98"/>
      <c r="KT405" s="98"/>
      <c r="KU405" s="98"/>
      <c r="KV405" s="98"/>
      <c r="KW405" s="98"/>
      <c r="KX405" s="98"/>
      <c r="KY405" s="98"/>
      <c r="KZ405" s="98"/>
      <c r="LA405" s="98"/>
      <c r="LB405" s="98"/>
      <c r="LC405" s="98"/>
      <c r="LD405" s="98"/>
      <c r="LE405" s="98"/>
      <c r="LF405" s="98"/>
      <c r="LG405" s="98"/>
      <c r="LH405" s="98"/>
      <c r="LI405" s="98"/>
      <c r="LJ405" s="98"/>
      <c r="LK405" s="98"/>
      <c r="LL405" s="98"/>
      <c r="LM405" s="98"/>
      <c r="LN405" s="98"/>
      <c r="LO405" s="98"/>
      <c r="LP405" s="98"/>
      <c r="LQ405" s="98"/>
      <c r="LR405" s="98"/>
      <c r="LS405" s="98"/>
      <c r="LT405" s="98"/>
      <c r="LU405" s="98"/>
      <c r="LV405" s="98"/>
      <c r="LW405" s="98"/>
      <c r="LX405" s="98"/>
      <c r="LY405" s="98"/>
      <c r="LZ405" s="98"/>
      <c r="MA405" s="98"/>
      <c r="MB405" s="98"/>
      <c r="MC405" s="98"/>
      <c r="MD405" s="98"/>
      <c r="ME405" s="98"/>
      <c r="MF405" s="98"/>
      <c r="MG405" s="98"/>
      <c r="MH405" s="98"/>
      <c r="MI405" s="98"/>
      <c r="MJ405" s="98"/>
      <c r="MK405" s="98"/>
      <c r="ML405" s="98"/>
      <c r="MM405" s="98"/>
      <c r="MN405" s="98"/>
      <c r="MO405" s="98"/>
      <c r="MP405" s="98"/>
      <c r="MQ405" s="98"/>
      <c r="MR405" s="98"/>
      <c r="MS405" s="98"/>
      <c r="MT405" s="98"/>
      <c r="MU405" s="98"/>
      <c r="MV405" s="98"/>
      <c r="MW405" s="98"/>
    </row>
    <row r="406" spans="1:361" ht="230.25" outlineLevel="3" thickBot="1" x14ac:dyDescent="0.25">
      <c r="A406" s="61" t="s">
        <v>1089</v>
      </c>
      <c r="B406" s="51" t="s">
        <v>1090</v>
      </c>
      <c r="C406" s="115" t="s">
        <v>1091</v>
      </c>
      <c r="D406" s="62" t="s">
        <v>1090</v>
      </c>
      <c r="E406" s="74" t="s">
        <v>1092</v>
      </c>
      <c r="F406" s="74" t="s">
        <v>1066</v>
      </c>
      <c r="G406" s="48" t="s">
        <v>191</v>
      </c>
      <c r="H406" s="26" t="s">
        <v>46</v>
      </c>
      <c r="I406" s="42">
        <v>3</v>
      </c>
      <c r="J406" s="70" t="s">
        <v>47</v>
      </c>
      <c r="K406" s="29" t="s">
        <v>1059</v>
      </c>
      <c r="L406" s="71">
        <v>2</v>
      </c>
      <c r="M406" s="113">
        <f t="shared" si="56"/>
        <v>6</v>
      </c>
      <c r="N406" s="32" t="s">
        <v>39</v>
      </c>
      <c r="O406" s="60" t="s">
        <v>884</v>
      </c>
      <c r="P406" s="30">
        <v>3</v>
      </c>
      <c r="Q406" s="34">
        <f t="shared" si="55"/>
        <v>18</v>
      </c>
      <c r="R406" s="114"/>
      <c r="S406" s="114"/>
      <c r="T406" s="114"/>
      <c r="U406" s="50"/>
      <c r="V406" s="51"/>
      <c r="W406" s="52"/>
      <c r="X406" s="51"/>
      <c r="Y406" s="51"/>
      <c r="Z406" s="53"/>
      <c r="AA406" s="40"/>
      <c r="AB406" s="41"/>
      <c r="AD406" s="17">
        <f t="shared" si="53"/>
        <v>10461</v>
      </c>
      <c r="AE406" s="18"/>
      <c r="AF406" s="98"/>
      <c r="AG406" s="98"/>
      <c r="AH406" s="98"/>
      <c r="AI406" s="98"/>
      <c r="AJ406" s="98"/>
      <c r="AK406" s="98"/>
      <c r="AL406" s="98"/>
      <c r="AM406" s="98"/>
      <c r="AN406" s="98"/>
      <c r="AO406" s="98"/>
      <c r="AP406" s="98"/>
      <c r="AQ406" s="98"/>
      <c r="AR406" s="98"/>
      <c r="AS406" s="98"/>
      <c r="AT406" s="98"/>
      <c r="AU406" s="98"/>
      <c r="AV406" s="98"/>
      <c r="AW406" s="98"/>
      <c r="AX406" s="98"/>
      <c r="AY406" s="98"/>
      <c r="AZ406" s="98"/>
      <c r="BA406" s="98"/>
      <c r="BB406" s="98"/>
      <c r="BC406" s="98"/>
      <c r="BD406" s="98"/>
      <c r="BE406" s="98"/>
      <c r="BF406" s="98"/>
      <c r="BG406" s="98"/>
      <c r="BH406" s="98"/>
      <c r="BI406" s="98"/>
      <c r="BJ406" s="98"/>
      <c r="BK406" s="98"/>
      <c r="BL406" s="98"/>
      <c r="BM406" s="98"/>
      <c r="BN406" s="98"/>
      <c r="BO406" s="98"/>
      <c r="BP406" s="98"/>
      <c r="BQ406" s="98"/>
      <c r="BR406" s="98"/>
      <c r="BS406" s="98"/>
      <c r="BT406" s="98"/>
      <c r="BU406" s="98"/>
      <c r="BV406" s="98"/>
      <c r="BW406" s="98"/>
      <c r="BX406" s="98"/>
      <c r="BY406" s="98"/>
      <c r="BZ406" s="98"/>
      <c r="CA406" s="98"/>
      <c r="CB406" s="98"/>
      <c r="CC406" s="98"/>
      <c r="CD406" s="98"/>
      <c r="CE406" s="98"/>
      <c r="CF406" s="98"/>
      <c r="CG406" s="98"/>
      <c r="CH406" s="98"/>
      <c r="CI406" s="98"/>
      <c r="CJ406" s="98"/>
      <c r="CK406" s="98"/>
      <c r="CL406" s="98"/>
      <c r="CM406" s="98"/>
      <c r="CN406" s="98"/>
      <c r="CO406" s="98"/>
      <c r="CP406" s="98"/>
      <c r="CQ406" s="98"/>
      <c r="CR406" s="98"/>
      <c r="CS406" s="98"/>
      <c r="CT406" s="98"/>
      <c r="CU406" s="98"/>
      <c r="CV406" s="98"/>
      <c r="CW406" s="98"/>
      <c r="CX406" s="98"/>
      <c r="CY406" s="98"/>
      <c r="CZ406" s="98"/>
      <c r="DA406" s="98"/>
      <c r="DB406" s="98"/>
      <c r="DC406" s="98"/>
      <c r="DD406" s="98"/>
      <c r="DE406" s="98"/>
      <c r="DF406" s="98"/>
      <c r="DG406" s="98"/>
      <c r="DH406" s="98"/>
      <c r="DI406" s="98"/>
      <c r="DJ406" s="98"/>
      <c r="DK406" s="98"/>
      <c r="DL406" s="98"/>
      <c r="DM406" s="98"/>
      <c r="DN406" s="98"/>
      <c r="DO406" s="98"/>
      <c r="DP406" s="98"/>
      <c r="DQ406" s="98"/>
      <c r="DR406" s="98"/>
      <c r="DS406" s="98"/>
      <c r="DT406" s="98"/>
      <c r="DU406" s="98"/>
      <c r="DV406" s="98"/>
      <c r="DW406" s="98"/>
      <c r="DX406" s="98"/>
      <c r="DY406" s="98"/>
      <c r="DZ406" s="98"/>
      <c r="EA406" s="98"/>
      <c r="EB406" s="98"/>
      <c r="EC406" s="98"/>
      <c r="ED406" s="98"/>
      <c r="EE406" s="98"/>
      <c r="EF406" s="98"/>
      <c r="EG406" s="98"/>
      <c r="EH406" s="98"/>
      <c r="EI406" s="98"/>
      <c r="EJ406" s="98"/>
      <c r="EK406" s="98"/>
      <c r="EL406" s="98"/>
      <c r="EM406" s="98"/>
      <c r="EN406" s="98"/>
      <c r="EO406" s="98"/>
      <c r="EP406" s="98"/>
      <c r="EQ406" s="98"/>
      <c r="ER406" s="98"/>
      <c r="ES406" s="98"/>
      <c r="ET406" s="98"/>
      <c r="EU406" s="98"/>
      <c r="EV406" s="98"/>
      <c r="EW406" s="98"/>
      <c r="EX406" s="98"/>
      <c r="EY406" s="98"/>
      <c r="EZ406" s="98"/>
      <c r="FA406" s="98"/>
      <c r="FB406" s="98"/>
      <c r="FC406" s="98"/>
      <c r="FD406" s="98"/>
      <c r="FE406" s="98"/>
      <c r="FF406" s="98"/>
      <c r="FG406" s="98"/>
      <c r="FH406" s="98"/>
      <c r="FI406" s="98"/>
      <c r="FJ406" s="98"/>
      <c r="FK406" s="98"/>
      <c r="FL406" s="98"/>
      <c r="FM406" s="98"/>
      <c r="FN406" s="98"/>
      <c r="FO406" s="98"/>
      <c r="FP406" s="98"/>
      <c r="FQ406" s="98"/>
      <c r="FR406" s="98"/>
      <c r="FS406" s="98"/>
      <c r="FT406" s="98"/>
      <c r="FU406" s="98"/>
      <c r="FV406" s="98"/>
      <c r="FW406" s="98"/>
      <c r="FX406" s="98"/>
      <c r="FY406" s="98"/>
      <c r="FZ406" s="98"/>
      <c r="GA406" s="98"/>
      <c r="GB406" s="98"/>
      <c r="GC406" s="98"/>
      <c r="GD406" s="98"/>
      <c r="GE406" s="98"/>
      <c r="GF406" s="98"/>
      <c r="GG406" s="98"/>
      <c r="GH406" s="98"/>
      <c r="GI406" s="98"/>
      <c r="GJ406" s="98"/>
      <c r="GK406" s="98"/>
      <c r="GL406" s="98"/>
      <c r="GM406" s="98"/>
      <c r="GN406" s="98"/>
      <c r="GO406" s="98"/>
      <c r="GP406" s="98"/>
      <c r="GQ406" s="98"/>
      <c r="GR406" s="98"/>
      <c r="GS406" s="98"/>
      <c r="GT406" s="98"/>
      <c r="GU406" s="98"/>
      <c r="GV406" s="98"/>
      <c r="GW406" s="98"/>
      <c r="GX406" s="98"/>
      <c r="GY406" s="98"/>
      <c r="GZ406" s="98"/>
      <c r="HA406" s="98"/>
      <c r="HB406" s="98"/>
      <c r="HC406" s="98"/>
      <c r="HD406" s="98"/>
      <c r="HE406" s="98"/>
      <c r="HF406" s="98"/>
      <c r="HG406" s="98"/>
      <c r="HH406" s="98"/>
      <c r="HI406" s="98"/>
      <c r="HJ406" s="98"/>
      <c r="HK406" s="98"/>
      <c r="HL406" s="98"/>
      <c r="HM406" s="98"/>
      <c r="HN406" s="98"/>
      <c r="HO406" s="98"/>
      <c r="HP406" s="98"/>
      <c r="HQ406" s="98"/>
      <c r="HR406" s="98"/>
      <c r="HS406" s="98"/>
      <c r="HT406" s="98"/>
      <c r="HU406" s="98"/>
      <c r="HV406" s="98"/>
      <c r="HW406" s="98"/>
      <c r="HX406" s="98"/>
      <c r="HY406" s="98"/>
      <c r="HZ406" s="98"/>
      <c r="IA406" s="98"/>
      <c r="IB406" s="98"/>
      <c r="IC406" s="98"/>
      <c r="ID406" s="98"/>
      <c r="IE406" s="98"/>
      <c r="IF406" s="98"/>
      <c r="IG406" s="98"/>
      <c r="IH406" s="98"/>
      <c r="II406" s="98"/>
      <c r="IJ406" s="98"/>
      <c r="IK406" s="98"/>
      <c r="IL406" s="98"/>
      <c r="IM406" s="98"/>
      <c r="IN406" s="98"/>
      <c r="IO406" s="98"/>
      <c r="IP406" s="98"/>
      <c r="IQ406" s="98"/>
      <c r="IR406" s="98"/>
      <c r="IS406" s="98"/>
      <c r="IT406" s="98"/>
      <c r="IU406" s="98"/>
      <c r="IV406" s="98"/>
      <c r="IW406" s="98"/>
      <c r="IX406" s="98"/>
      <c r="IY406" s="98"/>
      <c r="IZ406" s="98"/>
      <c r="JA406" s="98"/>
      <c r="JB406" s="98"/>
      <c r="JC406" s="98"/>
      <c r="JD406" s="98"/>
      <c r="JE406" s="98"/>
      <c r="JF406" s="98"/>
      <c r="JG406" s="98"/>
      <c r="JH406" s="98"/>
      <c r="JI406" s="98"/>
      <c r="JJ406" s="98"/>
      <c r="JK406" s="98"/>
      <c r="JL406" s="98"/>
      <c r="JM406" s="98"/>
      <c r="JN406" s="98"/>
      <c r="JO406" s="98"/>
      <c r="JP406" s="98"/>
      <c r="JQ406" s="98"/>
      <c r="JR406" s="98"/>
      <c r="JS406" s="98"/>
      <c r="JT406" s="98"/>
      <c r="JU406" s="98"/>
      <c r="JV406" s="98"/>
      <c r="JW406" s="98"/>
      <c r="JX406" s="98"/>
      <c r="JY406" s="98"/>
      <c r="JZ406" s="98"/>
      <c r="KA406" s="98"/>
      <c r="KB406" s="98"/>
      <c r="KC406" s="98"/>
      <c r="KD406" s="98"/>
      <c r="KE406" s="98"/>
      <c r="KF406" s="98"/>
      <c r="KG406" s="98"/>
      <c r="KH406" s="98"/>
      <c r="KI406" s="98"/>
      <c r="KJ406" s="98"/>
      <c r="KK406" s="98"/>
      <c r="KL406" s="98"/>
      <c r="KM406" s="98"/>
      <c r="KN406" s="98"/>
      <c r="KO406" s="98"/>
      <c r="KP406" s="98"/>
      <c r="KQ406" s="98"/>
      <c r="KR406" s="98"/>
      <c r="KS406" s="98"/>
      <c r="KT406" s="98"/>
      <c r="KU406" s="98"/>
      <c r="KV406" s="98"/>
      <c r="KW406" s="98"/>
      <c r="KX406" s="98"/>
      <c r="KY406" s="98"/>
      <c r="KZ406" s="98"/>
      <c r="LA406" s="98"/>
      <c r="LB406" s="98"/>
      <c r="LC406" s="98"/>
      <c r="LD406" s="98"/>
      <c r="LE406" s="98"/>
      <c r="LF406" s="98"/>
      <c r="LG406" s="98"/>
      <c r="LH406" s="98"/>
      <c r="LI406" s="98"/>
      <c r="LJ406" s="98"/>
      <c r="LK406" s="98"/>
      <c r="LL406" s="98"/>
      <c r="LM406" s="98"/>
      <c r="LN406" s="98"/>
      <c r="LO406" s="98"/>
      <c r="LP406" s="98"/>
      <c r="LQ406" s="98"/>
      <c r="LR406" s="98"/>
      <c r="LS406" s="98"/>
      <c r="LT406" s="98"/>
      <c r="LU406" s="98"/>
      <c r="LV406" s="98"/>
      <c r="LW406" s="98"/>
      <c r="LX406" s="98"/>
      <c r="LY406" s="98"/>
      <c r="LZ406" s="98"/>
      <c r="MA406" s="98"/>
      <c r="MB406" s="98"/>
      <c r="MC406" s="98"/>
      <c r="MD406" s="98"/>
      <c r="ME406" s="98"/>
      <c r="MF406" s="98"/>
      <c r="MG406" s="98"/>
      <c r="MH406" s="98"/>
      <c r="MI406" s="98"/>
      <c r="MJ406" s="98"/>
      <c r="MK406" s="98"/>
      <c r="ML406" s="98"/>
      <c r="MM406" s="98"/>
      <c r="MN406" s="98"/>
      <c r="MO406" s="98"/>
      <c r="MP406" s="98"/>
      <c r="MQ406" s="98"/>
      <c r="MR406" s="98"/>
      <c r="MS406" s="98"/>
      <c r="MT406" s="98"/>
      <c r="MU406" s="98"/>
      <c r="MV406" s="98"/>
      <c r="MW406" s="98"/>
    </row>
    <row r="407" spans="1:361" ht="230.25" outlineLevel="3" thickBot="1" x14ac:dyDescent="0.25">
      <c r="A407" s="10" t="s">
        <v>1093</v>
      </c>
      <c r="B407" s="142" t="s">
        <v>1094</v>
      </c>
      <c r="C407" s="47" t="s">
        <v>1095</v>
      </c>
      <c r="D407" s="142" t="s">
        <v>1096</v>
      </c>
      <c r="E407" s="74" t="s">
        <v>1097</v>
      </c>
      <c r="F407" s="74" t="s">
        <v>1098</v>
      </c>
      <c r="G407" s="48" t="s">
        <v>191</v>
      </c>
      <c r="H407" s="26" t="s">
        <v>46</v>
      </c>
      <c r="I407" s="42">
        <v>3</v>
      </c>
      <c r="J407" s="28" t="s">
        <v>1099</v>
      </c>
      <c r="K407" s="29" t="s">
        <v>1059</v>
      </c>
      <c r="L407" s="30">
        <v>1</v>
      </c>
      <c r="M407" s="31">
        <f t="shared" si="56"/>
        <v>3</v>
      </c>
      <c r="N407" s="32" t="s">
        <v>39</v>
      </c>
      <c r="O407" s="60" t="s">
        <v>884</v>
      </c>
      <c r="P407" s="30">
        <v>3</v>
      </c>
      <c r="Q407" s="34">
        <f t="shared" si="55"/>
        <v>9</v>
      </c>
      <c r="R407" s="114"/>
      <c r="S407" s="114"/>
      <c r="T407" s="114"/>
      <c r="U407" s="50"/>
      <c r="V407" s="51"/>
      <c r="W407" s="52"/>
      <c r="X407" s="51"/>
      <c r="Y407" s="51"/>
      <c r="Z407" s="53"/>
      <c r="AA407" s="40"/>
      <c r="AB407" s="41"/>
      <c r="AD407" s="17">
        <f t="shared" si="53"/>
        <v>-1579</v>
      </c>
      <c r="AE407" s="18">
        <f t="shared" ref="AE407:AE470" si="57">VALUE(RIGHT((IF(A407="",0,A407)),4))</f>
        <v>1579</v>
      </c>
      <c r="AF407" s="98"/>
      <c r="AG407" s="98"/>
      <c r="AH407" s="98"/>
      <c r="AI407" s="98"/>
      <c r="AJ407" s="98"/>
      <c r="AK407" s="98"/>
      <c r="AL407" s="98"/>
      <c r="AM407" s="98"/>
      <c r="AN407" s="98"/>
      <c r="AO407" s="98"/>
      <c r="AP407" s="98"/>
      <c r="AQ407" s="98"/>
      <c r="AR407" s="98"/>
      <c r="AS407" s="98"/>
      <c r="AT407" s="98"/>
      <c r="AU407" s="98"/>
      <c r="AV407" s="98"/>
      <c r="AW407" s="98"/>
      <c r="AX407" s="98"/>
      <c r="AY407" s="98"/>
      <c r="AZ407" s="98"/>
      <c r="BA407" s="98"/>
      <c r="BB407" s="98"/>
      <c r="BC407" s="98"/>
      <c r="BD407" s="98"/>
      <c r="BE407" s="98"/>
      <c r="BF407" s="98"/>
      <c r="BG407" s="98"/>
      <c r="BH407" s="98"/>
      <c r="BI407" s="98"/>
      <c r="BJ407" s="98"/>
      <c r="BK407" s="98"/>
      <c r="BL407" s="98"/>
      <c r="BM407" s="98"/>
      <c r="BN407" s="98"/>
      <c r="BO407" s="98"/>
      <c r="BP407" s="98"/>
      <c r="BQ407" s="98"/>
      <c r="BR407" s="98"/>
      <c r="BS407" s="98"/>
      <c r="BT407" s="98"/>
      <c r="BU407" s="98"/>
      <c r="BV407" s="98"/>
      <c r="BW407" s="98"/>
      <c r="BX407" s="98"/>
      <c r="BY407" s="98"/>
      <c r="BZ407" s="98"/>
      <c r="CA407" s="98"/>
      <c r="CB407" s="98"/>
      <c r="CC407" s="98"/>
      <c r="CD407" s="98"/>
      <c r="CE407" s="98"/>
      <c r="CF407" s="98"/>
      <c r="CG407" s="98"/>
      <c r="CH407" s="98"/>
      <c r="CI407" s="98"/>
      <c r="CJ407" s="98"/>
      <c r="CK407" s="98"/>
      <c r="CL407" s="98"/>
      <c r="CM407" s="98"/>
      <c r="CN407" s="98"/>
      <c r="CO407" s="98"/>
      <c r="CP407" s="98"/>
      <c r="CQ407" s="98"/>
      <c r="CR407" s="98"/>
      <c r="CS407" s="98"/>
      <c r="CT407" s="98"/>
      <c r="CU407" s="98"/>
      <c r="CV407" s="98"/>
      <c r="CW407" s="98"/>
      <c r="CX407" s="98"/>
      <c r="CY407" s="98"/>
      <c r="CZ407" s="98"/>
      <c r="DA407" s="98"/>
      <c r="DB407" s="98"/>
      <c r="DC407" s="98"/>
      <c r="DD407" s="98"/>
      <c r="DE407" s="98"/>
      <c r="DF407" s="98"/>
      <c r="DG407" s="98"/>
      <c r="DH407" s="98"/>
      <c r="DI407" s="98"/>
      <c r="DJ407" s="98"/>
      <c r="DK407" s="98"/>
      <c r="DL407" s="98"/>
      <c r="DM407" s="98"/>
      <c r="DN407" s="98"/>
      <c r="DO407" s="98"/>
      <c r="DP407" s="98"/>
      <c r="DQ407" s="98"/>
      <c r="DR407" s="98"/>
      <c r="DS407" s="98"/>
      <c r="DT407" s="98"/>
      <c r="DU407" s="98"/>
      <c r="DV407" s="98"/>
      <c r="DW407" s="98"/>
      <c r="DX407" s="98"/>
      <c r="DY407" s="98"/>
      <c r="DZ407" s="98"/>
      <c r="EA407" s="98"/>
      <c r="EB407" s="98"/>
      <c r="EC407" s="98"/>
      <c r="ED407" s="98"/>
      <c r="EE407" s="98"/>
      <c r="EF407" s="98"/>
      <c r="EG407" s="98"/>
      <c r="EH407" s="98"/>
      <c r="EI407" s="98"/>
      <c r="EJ407" s="98"/>
      <c r="EK407" s="98"/>
      <c r="EL407" s="98"/>
      <c r="EM407" s="98"/>
      <c r="EN407" s="98"/>
      <c r="EO407" s="98"/>
      <c r="EP407" s="98"/>
      <c r="EQ407" s="98"/>
      <c r="ER407" s="98"/>
      <c r="ES407" s="98"/>
      <c r="ET407" s="98"/>
      <c r="EU407" s="98"/>
      <c r="EV407" s="98"/>
      <c r="EW407" s="98"/>
      <c r="EX407" s="98"/>
      <c r="EY407" s="98"/>
      <c r="EZ407" s="98"/>
      <c r="FA407" s="98"/>
      <c r="FB407" s="98"/>
      <c r="FC407" s="98"/>
      <c r="FD407" s="98"/>
      <c r="FE407" s="98"/>
      <c r="FF407" s="98"/>
      <c r="FG407" s="98"/>
      <c r="FH407" s="98"/>
      <c r="FI407" s="98"/>
      <c r="FJ407" s="98"/>
      <c r="FK407" s="98"/>
      <c r="FL407" s="98"/>
      <c r="FM407" s="98"/>
      <c r="FN407" s="98"/>
      <c r="FO407" s="98"/>
      <c r="FP407" s="98"/>
      <c r="FQ407" s="98"/>
      <c r="FR407" s="98"/>
      <c r="FS407" s="98"/>
      <c r="FT407" s="98"/>
      <c r="FU407" s="98"/>
      <c r="FV407" s="98"/>
      <c r="FW407" s="98"/>
      <c r="FX407" s="98"/>
      <c r="FY407" s="98"/>
      <c r="FZ407" s="98"/>
      <c r="GA407" s="98"/>
      <c r="GB407" s="98"/>
      <c r="GC407" s="98"/>
      <c r="GD407" s="98"/>
      <c r="GE407" s="98"/>
      <c r="GF407" s="98"/>
      <c r="GG407" s="98"/>
      <c r="GH407" s="98"/>
      <c r="GI407" s="98"/>
      <c r="GJ407" s="98"/>
      <c r="GK407" s="98"/>
      <c r="GL407" s="98"/>
      <c r="GM407" s="98"/>
      <c r="GN407" s="98"/>
      <c r="GO407" s="98"/>
      <c r="GP407" s="98"/>
      <c r="GQ407" s="98"/>
      <c r="GR407" s="98"/>
      <c r="GS407" s="98"/>
      <c r="GT407" s="98"/>
      <c r="GU407" s="98"/>
      <c r="GV407" s="98"/>
      <c r="GW407" s="98"/>
      <c r="GX407" s="98"/>
      <c r="GY407" s="98"/>
      <c r="GZ407" s="98"/>
      <c r="HA407" s="98"/>
      <c r="HB407" s="98"/>
      <c r="HC407" s="98"/>
      <c r="HD407" s="98"/>
      <c r="HE407" s="98"/>
      <c r="HF407" s="98"/>
      <c r="HG407" s="98"/>
      <c r="HH407" s="98"/>
      <c r="HI407" s="98"/>
      <c r="HJ407" s="98"/>
      <c r="HK407" s="98"/>
      <c r="HL407" s="98"/>
      <c r="HM407" s="98"/>
      <c r="HN407" s="98"/>
      <c r="HO407" s="98"/>
      <c r="HP407" s="98"/>
      <c r="HQ407" s="98"/>
      <c r="HR407" s="98"/>
      <c r="HS407" s="98"/>
      <c r="HT407" s="98"/>
      <c r="HU407" s="98"/>
      <c r="HV407" s="98"/>
      <c r="HW407" s="98"/>
      <c r="HX407" s="98"/>
      <c r="HY407" s="98"/>
      <c r="HZ407" s="98"/>
      <c r="IA407" s="98"/>
      <c r="IB407" s="98"/>
      <c r="IC407" s="98"/>
      <c r="ID407" s="98"/>
      <c r="IE407" s="98"/>
      <c r="IF407" s="98"/>
      <c r="IG407" s="98"/>
      <c r="IH407" s="98"/>
      <c r="II407" s="98"/>
      <c r="IJ407" s="98"/>
      <c r="IK407" s="98"/>
      <c r="IL407" s="98"/>
      <c r="IM407" s="98"/>
      <c r="IN407" s="98"/>
      <c r="IO407" s="98"/>
      <c r="IP407" s="98"/>
      <c r="IQ407" s="98"/>
      <c r="IR407" s="98"/>
      <c r="IS407" s="98"/>
      <c r="IT407" s="98"/>
      <c r="IU407" s="98"/>
      <c r="IV407" s="98"/>
      <c r="IW407" s="98"/>
      <c r="IX407" s="98"/>
      <c r="IY407" s="98"/>
      <c r="IZ407" s="98"/>
      <c r="JA407" s="98"/>
      <c r="JB407" s="98"/>
      <c r="JC407" s="98"/>
      <c r="JD407" s="98"/>
      <c r="JE407" s="98"/>
      <c r="JF407" s="98"/>
      <c r="JG407" s="98"/>
      <c r="JH407" s="98"/>
      <c r="JI407" s="98"/>
      <c r="JJ407" s="98"/>
      <c r="JK407" s="98"/>
      <c r="JL407" s="98"/>
      <c r="JM407" s="98"/>
      <c r="JN407" s="98"/>
      <c r="JO407" s="98"/>
      <c r="JP407" s="98"/>
      <c r="JQ407" s="98"/>
      <c r="JR407" s="98"/>
      <c r="JS407" s="98"/>
      <c r="JT407" s="98"/>
      <c r="JU407" s="98"/>
      <c r="JV407" s="98"/>
      <c r="JW407" s="98"/>
      <c r="JX407" s="98"/>
      <c r="JY407" s="98"/>
      <c r="JZ407" s="98"/>
      <c r="KA407" s="98"/>
      <c r="KB407" s="98"/>
      <c r="KC407" s="98"/>
      <c r="KD407" s="98"/>
      <c r="KE407" s="98"/>
      <c r="KF407" s="98"/>
      <c r="KG407" s="98"/>
      <c r="KH407" s="98"/>
      <c r="KI407" s="98"/>
      <c r="KJ407" s="98"/>
      <c r="KK407" s="98"/>
      <c r="KL407" s="98"/>
      <c r="KM407" s="98"/>
      <c r="KN407" s="98"/>
      <c r="KO407" s="98"/>
      <c r="KP407" s="98"/>
      <c r="KQ407" s="98"/>
      <c r="KR407" s="98"/>
      <c r="KS407" s="98"/>
      <c r="KT407" s="98"/>
      <c r="KU407" s="98"/>
      <c r="KV407" s="98"/>
      <c r="KW407" s="98"/>
      <c r="KX407" s="98"/>
      <c r="KY407" s="98"/>
      <c r="KZ407" s="98"/>
      <c r="LA407" s="98"/>
      <c r="LB407" s="98"/>
      <c r="LC407" s="98"/>
      <c r="LD407" s="98"/>
      <c r="LE407" s="98"/>
      <c r="LF407" s="98"/>
      <c r="LG407" s="98"/>
      <c r="LH407" s="98"/>
      <c r="LI407" s="98"/>
      <c r="LJ407" s="98"/>
      <c r="LK407" s="98"/>
      <c r="LL407" s="98"/>
      <c r="LM407" s="98"/>
      <c r="LN407" s="98"/>
      <c r="LO407" s="98"/>
      <c r="LP407" s="98"/>
      <c r="LQ407" s="98"/>
      <c r="LR407" s="98"/>
      <c r="LS407" s="98"/>
      <c r="LT407" s="98"/>
      <c r="LU407" s="98"/>
      <c r="LV407" s="98"/>
      <c r="LW407" s="98"/>
      <c r="LX407" s="98"/>
      <c r="LY407" s="98"/>
      <c r="LZ407" s="98"/>
      <c r="MA407" s="98"/>
      <c r="MB407" s="98"/>
      <c r="MC407" s="98"/>
      <c r="MD407" s="98"/>
      <c r="ME407" s="98"/>
      <c r="MF407" s="98"/>
      <c r="MG407" s="98"/>
      <c r="MH407" s="98"/>
      <c r="MI407" s="98"/>
      <c r="MJ407" s="98"/>
      <c r="MK407" s="98"/>
      <c r="ML407" s="98"/>
      <c r="MM407" s="98"/>
      <c r="MN407" s="98"/>
      <c r="MO407" s="98"/>
      <c r="MP407" s="98"/>
      <c r="MQ407" s="98"/>
      <c r="MR407" s="98"/>
      <c r="MS407" s="98"/>
      <c r="MT407" s="98"/>
      <c r="MU407" s="98"/>
      <c r="MV407" s="98"/>
      <c r="MW407" s="98"/>
    </row>
    <row r="408" spans="1:361" ht="230.25" outlineLevel="3" thickBot="1" x14ac:dyDescent="0.25">
      <c r="A408" s="10" t="s">
        <v>1100</v>
      </c>
      <c r="B408" s="141"/>
      <c r="C408" s="55"/>
      <c r="D408" s="141"/>
      <c r="E408" s="25" t="s">
        <v>1101</v>
      </c>
      <c r="F408" s="25" t="s">
        <v>1102</v>
      </c>
      <c r="G408" s="87" t="s">
        <v>275</v>
      </c>
      <c r="H408" s="26" t="s">
        <v>61</v>
      </c>
      <c r="I408" s="42">
        <v>1</v>
      </c>
      <c r="J408" s="28" t="s">
        <v>365</v>
      </c>
      <c r="K408" s="29" t="s">
        <v>75</v>
      </c>
      <c r="L408" s="30">
        <v>1</v>
      </c>
      <c r="M408" s="31">
        <f t="shared" si="56"/>
        <v>1</v>
      </c>
      <c r="N408" s="32" t="s">
        <v>39</v>
      </c>
      <c r="O408" s="53" t="s">
        <v>76</v>
      </c>
      <c r="P408" s="30">
        <v>5</v>
      </c>
      <c r="Q408" s="34">
        <f t="shared" si="55"/>
        <v>5</v>
      </c>
      <c r="R408" s="114"/>
      <c r="S408" s="114"/>
      <c r="T408" s="114"/>
      <c r="U408" s="50"/>
      <c r="V408" s="51"/>
      <c r="W408" s="52"/>
      <c r="X408" s="51"/>
      <c r="Y408" s="51"/>
      <c r="Z408" s="53"/>
      <c r="AA408" s="40"/>
      <c r="AB408" s="41"/>
      <c r="AD408" s="17">
        <f t="shared" si="53"/>
        <v>-1580</v>
      </c>
      <c r="AE408" s="18">
        <f t="shared" si="57"/>
        <v>1580</v>
      </c>
      <c r="AF408" s="98"/>
      <c r="AG408" s="98"/>
      <c r="AH408" s="98"/>
      <c r="AI408" s="98"/>
      <c r="AJ408" s="98"/>
      <c r="AK408" s="98"/>
      <c r="AL408" s="98"/>
      <c r="AM408" s="98"/>
      <c r="AN408" s="98"/>
      <c r="AO408" s="98"/>
      <c r="AP408" s="98"/>
      <c r="AQ408" s="98"/>
      <c r="AR408" s="98"/>
      <c r="AS408" s="98"/>
      <c r="AT408" s="98"/>
      <c r="AU408" s="98"/>
      <c r="AV408" s="98"/>
      <c r="AW408" s="98"/>
      <c r="AX408" s="98"/>
      <c r="AY408" s="98"/>
      <c r="AZ408" s="98"/>
      <c r="BA408" s="98"/>
      <c r="BB408" s="98"/>
      <c r="BC408" s="98"/>
      <c r="BD408" s="98"/>
      <c r="BE408" s="98"/>
      <c r="BF408" s="98"/>
      <c r="BG408" s="98"/>
      <c r="BH408" s="98"/>
      <c r="BI408" s="98"/>
      <c r="BJ408" s="98"/>
      <c r="BK408" s="98"/>
      <c r="BL408" s="98"/>
      <c r="BM408" s="98"/>
      <c r="BN408" s="98"/>
      <c r="BO408" s="98"/>
      <c r="BP408" s="98"/>
      <c r="BQ408" s="98"/>
      <c r="BR408" s="98"/>
      <c r="BS408" s="98"/>
      <c r="BT408" s="98"/>
      <c r="BU408" s="98"/>
      <c r="BV408" s="98"/>
      <c r="BW408" s="98"/>
      <c r="BX408" s="98"/>
      <c r="BY408" s="98"/>
      <c r="BZ408" s="98"/>
      <c r="CA408" s="98"/>
      <c r="CB408" s="98"/>
      <c r="CC408" s="98"/>
      <c r="CD408" s="98"/>
      <c r="CE408" s="98"/>
      <c r="CF408" s="98"/>
      <c r="CG408" s="98"/>
      <c r="CH408" s="98"/>
      <c r="CI408" s="98"/>
      <c r="CJ408" s="98"/>
      <c r="CK408" s="98"/>
      <c r="CL408" s="98"/>
      <c r="CM408" s="98"/>
      <c r="CN408" s="98"/>
      <c r="CO408" s="98"/>
      <c r="CP408" s="98"/>
      <c r="CQ408" s="98"/>
      <c r="CR408" s="98"/>
      <c r="CS408" s="98"/>
      <c r="CT408" s="98"/>
      <c r="CU408" s="98"/>
      <c r="CV408" s="98"/>
      <c r="CW408" s="98"/>
      <c r="CX408" s="98"/>
      <c r="CY408" s="98"/>
      <c r="CZ408" s="98"/>
      <c r="DA408" s="98"/>
      <c r="DB408" s="98"/>
      <c r="DC408" s="98"/>
      <c r="DD408" s="98"/>
      <c r="DE408" s="98"/>
      <c r="DF408" s="98"/>
      <c r="DG408" s="98"/>
      <c r="DH408" s="98"/>
      <c r="DI408" s="98"/>
      <c r="DJ408" s="98"/>
      <c r="DK408" s="98"/>
      <c r="DL408" s="98"/>
      <c r="DM408" s="98"/>
      <c r="DN408" s="98"/>
      <c r="DO408" s="98"/>
      <c r="DP408" s="98"/>
      <c r="DQ408" s="98"/>
      <c r="DR408" s="98"/>
      <c r="DS408" s="98"/>
      <c r="DT408" s="98"/>
      <c r="DU408" s="98"/>
      <c r="DV408" s="98"/>
      <c r="DW408" s="98"/>
      <c r="DX408" s="98"/>
      <c r="DY408" s="98"/>
      <c r="DZ408" s="98"/>
      <c r="EA408" s="98"/>
      <c r="EB408" s="98"/>
      <c r="EC408" s="98"/>
      <c r="ED408" s="98"/>
      <c r="EE408" s="98"/>
      <c r="EF408" s="98"/>
      <c r="EG408" s="98"/>
      <c r="EH408" s="98"/>
      <c r="EI408" s="98"/>
      <c r="EJ408" s="98"/>
      <c r="EK408" s="98"/>
      <c r="EL408" s="98"/>
      <c r="EM408" s="98"/>
      <c r="EN408" s="98"/>
      <c r="EO408" s="98"/>
      <c r="EP408" s="98"/>
      <c r="EQ408" s="98"/>
      <c r="ER408" s="98"/>
      <c r="ES408" s="98"/>
      <c r="ET408" s="98"/>
      <c r="EU408" s="98"/>
      <c r="EV408" s="98"/>
      <c r="EW408" s="98"/>
      <c r="EX408" s="98"/>
      <c r="EY408" s="98"/>
      <c r="EZ408" s="98"/>
      <c r="FA408" s="98"/>
      <c r="FB408" s="98"/>
      <c r="FC408" s="98"/>
      <c r="FD408" s="98"/>
      <c r="FE408" s="98"/>
      <c r="FF408" s="98"/>
      <c r="FG408" s="98"/>
      <c r="FH408" s="98"/>
      <c r="FI408" s="98"/>
      <c r="FJ408" s="98"/>
      <c r="FK408" s="98"/>
      <c r="FL408" s="98"/>
      <c r="FM408" s="98"/>
      <c r="FN408" s="98"/>
      <c r="FO408" s="98"/>
      <c r="FP408" s="98"/>
      <c r="FQ408" s="98"/>
      <c r="FR408" s="98"/>
      <c r="FS408" s="98"/>
      <c r="FT408" s="98"/>
      <c r="FU408" s="98"/>
      <c r="FV408" s="98"/>
      <c r="FW408" s="98"/>
      <c r="FX408" s="98"/>
      <c r="FY408" s="98"/>
      <c r="FZ408" s="98"/>
      <c r="GA408" s="98"/>
      <c r="GB408" s="98"/>
      <c r="GC408" s="98"/>
      <c r="GD408" s="98"/>
      <c r="GE408" s="98"/>
      <c r="GF408" s="98"/>
      <c r="GG408" s="98"/>
      <c r="GH408" s="98"/>
      <c r="GI408" s="98"/>
      <c r="GJ408" s="98"/>
      <c r="GK408" s="98"/>
      <c r="GL408" s="98"/>
      <c r="GM408" s="98"/>
      <c r="GN408" s="98"/>
      <c r="GO408" s="98"/>
      <c r="GP408" s="98"/>
      <c r="GQ408" s="98"/>
      <c r="GR408" s="98"/>
      <c r="GS408" s="98"/>
      <c r="GT408" s="98"/>
      <c r="GU408" s="98"/>
      <c r="GV408" s="98"/>
      <c r="GW408" s="98"/>
      <c r="GX408" s="98"/>
      <c r="GY408" s="98"/>
      <c r="GZ408" s="98"/>
      <c r="HA408" s="98"/>
      <c r="HB408" s="98"/>
      <c r="HC408" s="98"/>
      <c r="HD408" s="98"/>
      <c r="HE408" s="98"/>
      <c r="HF408" s="98"/>
      <c r="HG408" s="98"/>
      <c r="HH408" s="98"/>
      <c r="HI408" s="98"/>
      <c r="HJ408" s="98"/>
      <c r="HK408" s="98"/>
      <c r="HL408" s="98"/>
      <c r="HM408" s="98"/>
      <c r="HN408" s="98"/>
      <c r="HO408" s="98"/>
      <c r="HP408" s="98"/>
      <c r="HQ408" s="98"/>
      <c r="HR408" s="98"/>
      <c r="HS408" s="98"/>
      <c r="HT408" s="98"/>
      <c r="HU408" s="98"/>
      <c r="HV408" s="98"/>
      <c r="HW408" s="98"/>
      <c r="HX408" s="98"/>
      <c r="HY408" s="98"/>
      <c r="HZ408" s="98"/>
      <c r="IA408" s="98"/>
      <c r="IB408" s="98"/>
      <c r="IC408" s="98"/>
      <c r="ID408" s="98"/>
      <c r="IE408" s="98"/>
      <c r="IF408" s="98"/>
      <c r="IG408" s="98"/>
      <c r="IH408" s="98"/>
      <c r="II408" s="98"/>
      <c r="IJ408" s="98"/>
      <c r="IK408" s="98"/>
      <c r="IL408" s="98"/>
      <c r="IM408" s="98"/>
      <c r="IN408" s="98"/>
      <c r="IO408" s="98"/>
      <c r="IP408" s="98"/>
      <c r="IQ408" s="98"/>
      <c r="IR408" s="98"/>
      <c r="IS408" s="98"/>
      <c r="IT408" s="98"/>
      <c r="IU408" s="98"/>
      <c r="IV408" s="98"/>
      <c r="IW408" s="98"/>
      <c r="IX408" s="98"/>
      <c r="IY408" s="98"/>
      <c r="IZ408" s="98"/>
      <c r="JA408" s="98"/>
      <c r="JB408" s="98"/>
      <c r="JC408" s="98"/>
      <c r="JD408" s="98"/>
      <c r="JE408" s="98"/>
      <c r="JF408" s="98"/>
      <c r="JG408" s="98"/>
      <c r="JH408" s="98"/>
      <c r="JI408" s="98"/>
      <c r="JJ408" s="98"/>
      <c r="JK408" s="98"/>
      <c r="JL408" s="98"/>
      <c r="JM408" s="98"/>
      <c r="JN408" s="98"/>
      <c r="JO408" s="98"/>
      <c r="JP408" s="98"/>
      <c r="JQ408" s="98"/>
      <c r="JR408" s="98"/>
      <c r="JS408" s="98"/>
      <c r="JT408" s="98"/>
      <c r="JU408" s="98"/>
      <c r="JV408" s="98"/>
      <c r="JW408" s="98"/>
      <c r="JX408" s="98"/>
      <c r="JY408" s="98"/>
      <c r="JZ408" s="98"/>
      <c r="KA408" s="98"/>
      <c r="KB408" s="98"/>
      <c r="KC408" s="98"/>
      <c r="KD408" s="98"/>
      <c r="KE408" s="98"/>
      <c r="KF408" s="98"/>
      <c r="KG408" s="98"/>
      <c r="KH408" s="98"/>
      <c r="KI408" s="98"/>
      <c r="KJ408" s="98"/>
      <c r="KK408" s="98"/>
      <c r="KL408" s="98"/>
      <c r="KM408" s="98"/>
      <c r="KN408" s="98"/>
      <c r="KO408" s="98"/>
      <c r="KP408" s="98"/>
      <c r="KQ408" s="98"/>
      <c r="KR408" s="98"/>
      <c r="KS408" s="98"/>
      <c r="KT408" s="98"/>
      <c r="KU408" s="98"/>
      <c r="KV408" s="98"/>
      <c r="KW408" s="98"/>
      <c r="KX408" s="98"/>
      <c r="KY408" s="98"/>
      <c r="KZ408" s="98"/>
      <c r="LA408" s="98"/>
      <c r="LB408" s="98"/>
      <c r="LC408" s="98"/>
      <c r="LD408" s="98"/>
      <c r="LE408" s="98"/>
      <c r="LF408" s="98"/>
      <c r="LG408" s="98"/>
      <c r="LH408" s="98"/>
      <c r="LI408" s="98"/>
      <c r="LJ408" s="98"/>
      <c r="LK408" s="98"/>
      <c r="LL408" s="98"/>
      <c r="LM408" s="98"/>
      <c r="LN408" s="98"/>
      <c r="LO408" s="98"/>
      <c r="LP408" s="98"/>
      <c r="LQ408" s="98"/>
      <c r="LR408" s="98"/>
      <c r="LS408" s="98"/>
      <c r="LT408" s="98"/>
      <c r="LU408" s="98"/>
      <c r="LV408" s="98"/>
      <c r="LW408" s="98"/>
      <c r="LX408" s="98"/>
      <c r="LY408" s="98"/>
      <c r="LZ408" s="98"/>
      <c r="MA408" s="98"/>
      <c r="MB408" s="98"/>
      <c r="MC408" s="98"/>
      <c r="MD408" s="98"/>
      <c r="ME408" s="98"/>
      <c r="MF408" s="98"/>
      <c r="MG408" s="98"/>
      <c r="MH408" s="98"/>
      <c r="MI408" s="98"/>
      <c r="MJ408" s="98"/>
      <c r="MK408" s="98"/>
      <c r="ML408" s="98"/>
      <c r="MM408" s="98"/>
      <c r="MN408" s="98"/>
      <c r="MO408" s="98"/>
      <c r="MP408" s="98"/>
      <c r="MQ408" s="98"/>
      <c r="MR408" s="98"/>
      <c r="MS408" s="98"/>
      <c r="MT408" s="98"/>
      <c r="MU408" s="98"/>
      <c r="MV408" s="98"/>
      <c r="MW408" s="98"/>
    </row>
    <row r="409" spans="1:361" ht="230.25" outlineLevel="3" thickBot="1" x14ac:dyDescent="0.25">
      <c r="A409" s="10" t="s">
        <v>1103</v>
      </c>
      <c r="B409" s="142" t="s">
        <v>1104</v>
      </c>
      <c r="C409" s="47" t="s">
        <v>1105</v>
      </c>
      <c r="D409" s="142" t="s">
        <v>1106</v>
      </c>
      <c r="E409" s="25" t="s">
        <v>81</v>
      </c>
      <c r="F409" s="25" t="s">
        <v>1107</v>
      </c>
      <c r="G409" s="48" t="s">
        <v>191</v>
      </c>
      <c r="H409" s="26" t="s">
        <v>46</v>
      </c>
      <c r="I409" s="42">
        <v>3</v>
      </c>
      <c r="J409" s="28" t="s">
        <v>84</v>
      </c>
      <c r="K409" s="29" t="s">
        <v>1059</v>
      </c>
      <c r="L409" s="30">
        <v>1</v>
      </c>
      <c r="M409" s="31">
        <f t="shared" si="56"/>
        <v>3</v>
      </c>
      <c r="N409" s="32" t="s">
        <v>39</v>
      </c>
      <c r="O409" s="60" t="s">
        <v>884</v>
      </c>
      <c r="P409" s="30">
        <v>3</v>
      </c>
      <c r="Q409" s="34">
        <f t="shared" si="55"/>
        <v>9</v>
      </c>
      <c r="R409" s="49"/>
      <c r="S409" s="49"/>
      <c r="T409" s="49"/>
      <c r="U409" s="50"/>
      <c r="V409" s="51"/>
      <c r="W409" s="52"/>
      <c r="X409" s="51"/>
      <c r="Y409" s="51"/>
      <c r="Z409" s="53"/>
      <c r="AA409" s="40"/>
      <c r="AB409" s="41"/>
      <c r="AD409" s="17">
        <f t="shared" si="53"/>
        <v>-1581</v>
      </c>
      <c r="AE409" s="18">
        <f t="shared" si="57"/>
        <v>1581</v>
      </c>
      <c r="AF409" s="98"/>
      <c r="AG409" s="98"/>
      <c r="AH409" s="98"/>
      <c r="AI409" s="98"/>
      <c r="AJ409" s="98"/>
      <c r="AK409" s="98"/>
      <c r="AL409" s="98"/>
      <c r="AM409" s="98"/>
      <c r="AN409" s="98"/>
      <c r="AO409" s="98"/>
      <c r="AP409" s="98"/>
      <c r="AQ409" s="98"/>
      <c r="AR409" s="98"/>
      <c r="AS409" s="98"/>
      <c r="AT409" s="98"/>
      <c r="AU409" s="98"/>
      <c r="AV409" s="98"/>
      <c r="AW409" s="98"/>
      <c r="AX409" s="98"/>
      <c r="AY409" s="98"/>
      <c r="AZ409" s="98"/>
      <c r="BA409" s="98"/>
      <c r="BB409" s="98"/>
      <c r="BC409" s="98"/>
      <c r="BD409" s="98"/>
      <c r="BE409" s="98"/>
      <c r="BF409" s="98"/>
      <c r="BG409" s="98"/>
      <c r="BH409" s="98"/>
      <c r="BI409" s="98"/>
      <c r="BJ409" s="98"/>
      <c r="BK409" s="98"/>
      <c r="BL409" s="98"/>
      <c r="BM409" s="98"/>
      <c r="BN409" s="98"/>
      <c r="BO409" s="98"/>
      <c r="BP409" s="98"/>
      <c r="BQ409" s="98"/>
      <c r="BR409" s="98"/>
      <c r="BS409" s="98"/>
      <c r="BT409" s="98"/>
      <c r="BU409" s="98"/>
      <c r="BV409" s="98"/>
      <c r="BW409" s="98"/>
      <c r="BX409" s="98"/>
      <c r="BY409" s="98"/>
      <c r="BZ409" s="98"/>
      <c r="CA409" s="98"/>
      <c r="CB409" s="98"/>
      <c r="CC409" s="98"/>
      <c r="CD409" s="98"/>
      <c r="CE409" s="98"/>
      <c r="CF409" s="98"/>
      <c r="CG409" s="98"/>
      <c r="CH409" s="98"/>
      <c r="CI409" s="98"/>
      <c r="CJ409" s="98"/>
      <c r="CK409" s="98"/>
      <c r="CL409" s="98"/>
      <c r="CM409" s="98"/>
      <c r="CN409" s="98"/>
      <c r="CO409" s="98"/>
      <c r="CP409" s="98"/>
      <c r="CQ409" s="98"/>
      <c r="CR409" s="98"/>
      <c r="CS409" s="98"/>
      <c r="CT409" s="98"/>
      <c r="CU409" s="98"/>
      <c r="CV409" s="98"/>
      <c r="CW409" s="98"/>
      <c r="CX409" s="98"/>
      <c r="CY409" s="98"/>
      <c r="CZ409" s="98"/>
      <c r="DA409" s="98"/>
      <c r="DB409" s="98"/>
      <c r="DC409" s="98"/>
      <c r="DD409" s="98"/>
      <c r="DE409" s="98"/>
      <c r="DF409" s="98"/>
      <c r="DG409" s="98"/>
      <c r="DH409" s="98"/>
      <c r="DI409" s="98"/>
      <c r="DJ409" s="98"/>
      <c r="DK409" s="98"/>
      <c r="DL409" s="98"/>
      <c r="DM409" s="98"/>
      <c r="DN409" s="98"/>
      <c r="DO409" s="98"/>
      <c r="DP409" s="98"/>
      <c r="DQ409" s="98"/>
      <c r="DR409" s="98"/>
      <c r="DS409" s="98"/>
      <c r="DT409" s="98"/>
      <c r="DU409" s="98"/>
      <c r="DV409" s="98"/>
      <c r="DW409" s="98"/>
      <c r="DX409" s="98"/>
      <c r="DY409" s="98"/>
      <c r="DZ409" s="98"/>
      <c r="EA409" s="98"/>
      <c r="EB409" s="98"/>
      <c r="EC409" s="98"/>
      <c r="ED409" s="98"/>
      <c r="EE409" s="98"/>
      <c r="EF409" s="98"/>
      <c r="EG409" s="98"/>
      <c r="EH409" s="98"/>
      <c r="EI409" s="98"/>
      <c r="EJ409" s="98"/>
      <c r="EK409" s="98"/>
      <c r="EL409" s="98"/>
      <c r="EM409" s="98"/>
      <c r="EN409" s="98"/>
      <c r="EO409" s="98"/>
      <c r="EP409" s="98"/>
      <c r="EQ409" s="98"/>
      <c r="ER409" s="98"/>
      <c r="ES409" s="98"/>
      <c r="ET409" s="98"/>
      <c r="EU409" s="98"/>
      <c r="EV409" s="98"/>
      <c r="EW409" s="98"/>
      <c r="EX409" s="98"/>
      <c r="EY409" s="98"/>
      <c r="EZ409" s="98"/>
      <c r="FA409" s="98"/>
      <c r="FB409" s="98"/>
      <c r="FC409" s="98"/>
      <c r="FD409" s="98"/>
      <c r="FE409" s="98"/>
      <c r="FF409" s="98"/>
      <c r="FG409" s="98"/>
      <c r="FH409" s="98"/>
      <c r="FI409" s="98"/>
      <c r="FJ409" s="98"/>
      <c r="FK409" s="98"/>
      <c r="FL409" s="98"/>
      <c r="FM409" s="98"/>
      <c r="FN409" s="98"/>
      <c r="FO409" s="98"/>
      <c r="FP409" s="98"/>
      <c r="FQ409" s="98"/>
      <c r="FR409" s="98"/>
      <c r="FS409" s="98"/>
      <c r="FT409" s="98"/>
      <c r="FU409" s="98"/>
      <c r="FV409" s="98"/>
      <c r="FW409" s="98"/>
      <c r="FX409" s="98"/>
      <c r="FY409" s="98"/>
      <c r="FZ409" s="98"/>
      <c r="GA409" s="98"/>
      <c r="GB409" s="98"/>
      <c r="GC409" s="98"/>
      <c r="GD409" s="98"/>
      <c r="GE409" s="98"/>
      <c r="GF409" s="98"/>
      <c r="GG409" s="98"/>
      <c r="GH409" s="98"/>
      <c r="GI409" s="98"/>
      <c r="GJ409" s="98"/>
      <c r="GK409" s="98"/>
      <c r="GL409" s="98"/>
      <c r="GM409" s="98"/>
      <c r="GN409" s="98"/>
      <c r="GO409" s="98"/>
      <c r="GP409" s="98"/>
      <c r="GQ409" s="98"/>
      <c r="GR409" s="98"/>
      <c r="GS409" s="98"/>
      <c r="GT409" s="98"/>
      <c r="GU409" s="98"/>
      <c r="GV409" s="98"/>
      <c r="GW409" s="98"/>
      <c r="GX409" s="98"/>
      <c r="GY409" s="98"/>
      <c r="GZ409" s="98"/>
      <c r="HA409" s="98"/>
      <c r="HB409" s="98"/>
      <c r="HC409" s="98"/>
      <c r="HD409" s="98"/>
      <c r="HE409" s="98"/>
      <c r="HF409" s="98"/>
      <c r="HG409" s="98"/>
      <c r="HH409" s="98"/>
      <c r="HI409" s="98"/>
      <c r="HJ409" s="98"/>
      <c r="HK409" s="98"/>
      <c r="HL409" s="98"/>
      <c r="HM409" s="98"/>
      <c r="HN409" s="98"/>
      <c r="HO409" s="98"/>
      <c r="HP409" s="98"/>
      <c r="HQ409" s="98"/>
      <c r="HR409" s="98"/>
      <c r="HS409" s="98"/>
      <c r="HT409" s="98"/>
      <c r="HU409" s="98"/>
      <c r="HV409" s="98"/>
      <c r="HW409" s="98"/>
      <c r="HX409" s="98"/>
      <c r="HY409" s="98"/>
      <c r="HZ409" s="98"/>
      <c r="IA409" s="98"/>
      <c r="IB409" s="98"/>
      <c r="IC409" s="98"/>
      <c r="ID409" s="98"/>
      <c r="IE409" s="98"/>
      <c r="IF409" s="98"/>
      <c r="IG409" s="98"/>
      <c r="IH409" s="98"/>
      <c r="II409" s="98"/>
      <c r="IJ409" s="98"/>
      <c r="IK409" s="98"/>
      <c r="IL409" s="98"/>
      <c r="IM409" s="98"/>
      <c r="IN409" s="98"/>
      <c r="IO409" s="98"/>
      <c r="IP409" s="98"/>
      <c r="IQ409" s="98"/>
      <c r="IR409" s="98"/>
      <c r="IS409" s="98"/>
      <c r="IT409" s="98"/>
      <c r="IU409" s="98"/>
      <c r="IV409" s="98"/>
      <c r="IW409" s="98"/>
      <c r="IX409" s="98"/>
      <c r="IY409" s="98"/>
      <c r="IZ409" s="98"/>
      <c r="JA409" s="98"/>
      <c r="JB409" s="98"/>
      <c r="JC409" s="98"/>
      <c r="JD409" s="98"/>
      <c r="JE409" s="98"/>
      <c r="JF409" s="98"/>
      <c r="JG409" s="98"/>
      <c r="JH409" s="98"/>
      <c r="JI409" s="98"/>
      <c r="JJ409" s="98"/>
      <c r="JK409" s="98"/>
      <c r="JL409" s="98"/>
      <c r="JM409" s="98"/>
      <c r="JN409" s="98"/>
      <c r="JO409" s="98"/>
      <c r="JP409" s="98"/>
      <c r="JQ409" s="98"/>
      <c r="JR409" s="98"/>
      <c r="JS409" s="98"/>
      <c r="JT409" s="98"/>
      <c r="JU409" s="98"/>
      <c r="JV409" s="98"/>
      <c r="JW409" s="98"/>
      <c r="JX409" s="98"/>
      <c r="JY409" s="98"/>
      <c r="JZ409" s="98"/>
      <c r="KA409" s="98"/>
      <c r="KB409" s="98"/>
      <c r="KC409" s="98"/>
      <c r="KD409" s="98"/>
      <c r="KE409" s="98"/>
      <c r="KF409" s="98"/>
      <c r="KG409" s="98"/>
      <c r="KH409" s="98"/>
      <c r="KI409" s="98"/>
      <c r="KJ409" s="98"/>
      <c r="KK409" s="98"/>
      <c r="KL409" s="98"/>
      <c r="KM409" s="98"/>
      <c r="KN409" s="98"/>
      <c r="KO409" s="98"/>
      <c r="KP409" s="98"/>
      <c r="KQ409" s="98"/>
      <c r="KR409" s="98"/>
      <c r="KS409" s="98"/>
      <c r="KT409" s="98"/>
      <c r="KU409" s="98"/>
      <c r="KV409" s="98"/>
      <c r="KW409" s="98"/>
      <c r="KX409" s="98"/>
      <c r="KY409" s="98"/>
      <c r="KZ409" s="98"/>
      <c r="LA409" s="98"/>
      <c r="LB409" s="98"/>
      <c r="LC409" s="98"/>
      <c r="LD409" s="98"/>
      <c r="LE409" s="98"/>
      <c r="LF409" s="98"/>
      <c r="LG409" s="98"/>
      <c r="LH409" s="98"/>
      <c r="LI409" s="98"/>
      <c r="LJ409" s="98"/>
      <c r="LK409" s="98"/>
      <c r="LL409" s="98"/>
      <c r="LM409" s="98"/>
      <c r="LN409" s="98"/>
      <c r="LO409" s="98"/>
      <c r="LP409" s="98"/>
      <c r="LQ409" s="98"/>
      <c r="LR409" s="98"/>
      <c r="LS409" s="98"/>
      <c r="LT409" s="98"/>
      <c r="LU409" s="98"/>
      <c r="LV409" s="98"/>
      <c r="LW409" s="98"/>
      <c r="LX409" s="98"/>
      <c r="LY409" s="98"/>
      <c r="LZ409" s="98"/>
      <c r="MA409" s="98"/>
      <c r="MB409" s="98"/>
      <c r="MC409" s="98"/>
      <c r="MD409" s="98"/>
      <c r="ME409" s="98"/>
      <c r="MF409" s="98"/>
      <c r="MG409" s="98"/>
      <c r="MH409" s="98"/>
      <c r="MI409" s="98"/>
      <c r="MJ409" s="98"/>
      <c r="MK409" s="98"/>
      <c r="ML409" s="98"/>
      <c r="MM409" s="98"/>
      <c r="MN409" s="98"/>
      <c r="MO409" s="98"/>
      <c r="MP409" s="98"/>
      <c r="MQ409" s="98"/>
      <c r="MR409" s="98"/>
      <c r="MS409" s="98"/>
      <c r="MT409" s="98"/>
      <c r="MU409" s="98"/>
      <c r="MV409" s="98"/>
      <c r="MW409" s="98"/>
    </row>
    <row r="410" spans="1:361" ht="243" outlineLevel="3" thickBot="1" x14ac:dyDescent="0.25">
      <c r="A410" s="10" t="s">
        <v>1108</v>
      </c>
      <c r="B410" s="140"/>
      <c r="C410" s="54"/>
      <c r="D410" s="140"/>
      <c r="E410" s="25" t="s">
        <v>1109</v>
      </c>
      <c r="F410" s="25" t="s">
        <v>1110</v>
      </c>
      <c r="G410" s="48" t="s">
        <v>191</v>
      </c>
      <c r="H410" s="26" t="s">
        <v>46</v>
      </c>
      <c r="I410" s="42">
        <v>3</v>
      </c>
      <c r="J410" s="28" t="s">
        <v>84</v>
      </c>
      <c r="K410" s="29" t="s">
        <v>1059</v>
      </c>
      <c r="L410" s="30">
        <v>1</v>
      </c>
      <c r="M410" s="31">
        <f t="shared" si="56"/>
        <v>3</v>
      </c>
      <c r="N410" s="32" t="s">
        <v>39</v>
      </c>
      <c r="O410" s="60" t="s">
        <v>884</v>
      </c>
      <c r="P410" s="30">
        <v>3</v>
      </c>
      <c r="Q410" s="34">
        <f t="shared" si="55"/>
        <v>9</v>
      </c>
      <c r="R410" s="114"/>
      <c r="S410" s="114"/>
      <c r="T410" s="114"/>
      <c r="U410" s="50"/>
      <c r="V410" s="51"/>
      <c r="W410" s="52"/>
      <c r="X410" s="51"/>
      <c r="Y410" s="51"/>
      <c r="Z410" s="53"/>
      <c r="AA410" s="40"/>
      <c r="AB410" s="41"/>
      <c r="AD410" s="17">
        <f t="shared" si="53"/>
        <v>-1582</v>
      </c>
      <c r="AE410" s="18">
        <f t="shared" si="57"/>
        <v>1582</v>
      </c>
      <c r="AF410" s="98"/>
      <c r="AG410" s="98"/>
      <c r="AH410" s="98"/>
      <c r="AI410" s="98"/>
      <c r="AJ410" s="98"/>
      <c r="AK410" s="98"/>
      <c r="AL410" s="98"/>
      <c r="AM410" s="98"/>
      <c r="AN410" s="98"/>
      <c r="AO410" s="98"/>
      <c r="AP410" s="98"/>
      <c r="AQ410" s="98"/>
      <c r="AR410" s="98"/>
      <c r="AS410" s="98"/>
      <c r="AT410" s="98"/>
      <c r="AU410" s="98"/>
      <c r="AV410" s="98"/>
      <c r="AW410" s="98"/>
      <c r="AX410" s="98"/>
      <c r="AY410" s="98"/>
      <c r="AZ410" s="98"/>
      <c r="BA410" s="98"/>
      <c r="BB410" s="98"/>
      <c r="BC410" s="98"/>
      <c r="BD410" s="98"/>
      <c r="BE410" s="98"/>
      <c r="BF410" s="98"/>
      <c r="BG410" s="98"/>
      <c r="BH410" s="98"/>
      <c r="BI410" s="98"/>
      <c r="BJ410" s="98"/>
      <c r="BK410" s="98"/>
      <c r="BL410" s="98"/>
      <c r="BM410" s="98"/>
      <c r="BN410" s="98"/>
      <c r="BO410" s="98"/>
      <c r="BP410" s="98"/>
      <c r="BQ410" s="98"/>
      <c r="BR410" s="98"/>
      <c r="BS410" s="98"/>
      <c r="BT410" s="98"/>
      <c r="BU410" s="98"/>
      <c r="BV410" s="98"/>
      <c r="BW410" s="98"/>
      <c r="BX410" s="98"/>
      <c r="BY410" s="98"/>
      <c r="BZ410" s="98"/>
      <c r="CA410" s="98"/>
      <c r="CB410" s="98"/>
      <c r="CC410" s="98"/>
      <c r="CD410" s="98"/>
      <c r="CE410" s="98"/>
      <c r="CF410" s="98"/>
      <c r="CG410" s="98"/>
      <c r="CH410" s="98"/>
      <c r="CI410" s="98"/>
      <c r="CJ410" s="98"/>
      <c r="CK410" s="98"/>
      <c r="CL410" s="98"/>
      <c r="CM410" s="98"/>
      <c r="CN410" s="98"/>
      <c r="CO410" s="98"/>
      <c r="CP410" s="98"/>
      <c r="CQ410" s="98"/>
      <c r="CR410" s="98"/>
      <c r="CS410" s="98"/>
      <c r="CT410" s="98"/>
      <c r="CU410" s="98"/>
      <c r="CV410" s="98"/>
      <c r="CW410" s="98"/>
      <c r="CX410" s="98"/>
      <c r="CY410" s="98"/>
      <c r="CZ410" s="98"/>
      <c r="DA410" s="98"/>
      <c r="DB410" s="98"/>
      <c r="DC410" s="98"/>
      <c r="DD410" s="98"/>
      <c r="DE410" s="98"/>
      <c r="DF410" s="98"/>
      <c r="DG410" s="98"/>
      <c r="DH410" s="98"/>
      <c r="DI410" s="98"/>
      <c r="DJ410" s="98"/>
      <c r="DK410" s="98"/>
      <c r="DL410" s="98"/>
      <c r="DM410" s="98"/>
      <c r="DN410" s="98"/>
      <c r="DO410" s="98"/>
      <c r="DP410" s="98"/>
      <c r="DQ410" s="98"/>
      <c r="DR410" s="98"/>
      <c r="DS410" s="98"/>
      <c r="DT410" s="98"/>
      <c r="DU410" s="98"/>
      <c r="DV410" s="98"/>
      <c r="DW410" s="98"/>
      <c r="DX410" s="98"/>
      <c r="DY410" s="98"/>
      <c r="DZ410" s="98"/>
      <c r="EA410" s="98"/>
      <c r="EB410" s="98"/>
      <c r="EC410" s="98"/>
      <c r="ED410" s="98"/>
      <c r="EE410" s="98"/>
      <c r="EF410" s="98"/>
      <c r="EG410" s="98"/>
      <c r="EH410" s="98"/>
      <c r="EI410" s="98"/>
      <c r="EJ410" s="98"/>
      <c r="EK410" s="98"/>
      <c r="EL410" s="98"/>
      <c r="EM410" s="98"/>
      <c r="EN410" s="98"/>
      <c r="EO410" s="98"/>
      <c r="EP410" s="98"/>
      <c r="EQ410" s="98"/>
      <c r="ER410" s="98"/>
      <c r="ES410" s="98"/>
      <c r="ET410" s="98"/>
      <c r="EU410" s="98"/>
      <c r="EV410" s="98"/>
      <c r="EW410" s="98"/>
      <c r="EX410" s="98"/>
      <c r="EY410" s="98"/>
      <c r="EZ410" s="98"/>
      <c r="FA410" s="98"/>
      <c r="FB410" s="98"/>
      <c r="FC410" s="98"/>
      <c r="FD410" s="98"/>
      <c r="FE410" s="98"/>
      <c r="FF410" s="98"/>
      <c r="FG410" s="98"/>
      <c r="FH410" s="98"/>
      <c r="FI410" s="98"/>
      <c r="FJ410" s="98"/>
      <c r="FK410" s="98"/>
      <c r="FL410" s="98"/>
      <c r="FM410" s="98"/>
      <c r="FN410" s="98"/>
      <c r="FO410" s="98"/>
      <c r="FP410" s="98"/>
      <c r="FQ410" s="98"/>
      <c r="FR410" s="98"/>
      <c r="FS410" s="98"/>
      <c r="FT410" s="98"/>
      <c r="FU410" s="98"/>
      <c r="FV410" s="98"/>
      <c r="FW410" s="98"/>
      <c r="FX410" s="98"/>
      <c r="FY410" s="98"/>
      <c r="FZ410" s="98"/>
      <c r="GA410" s="98"/>
      <c r="GB410" s="98"/>
      <c r="GC410" s="98"/>
      <c r="GD410" s="98"/>
      <c r="GE410" s="98"/>
      <c r="GF410" s="98"/>
      <c r="GG410" s="98"/>
      <c r="GH410" s="98"/>
      <c r="GI410" s="98"/>
      <c r="GJ410" s="98"/>
      <c r="GK410" s="98"/>
      <c r="GL410" s="98"/>
      <c r="GM410" s="98"/>
      <c r="GN410" s="98"/>
      <c r="GO410" s="98"/>
      <c r="GP410" s="98"/>
      <c r="GQ410" s="98"/>
      <c r="GR410" s="98"/>
      <c r="GS410" s="98"/>
      <c r="GT410" s="98"/>
      <c r="GU410" s="98"/>
      <c r="GV410" s="98"/>
      <c r="GW410" s="98"/>
      <c r="GX410" s="98"/>
      <c r="GY410" s="98"/>
      <c r="GZ410" s="98"/>
      <c r="HA410" s="98"/>
      <c r="HB410" s="98"/>
      <c r="HC410" s="98"/>
      <c r="HD410" s="98"/>
      <c r="HE410" s="98"/>
      <c r="HF410" s="98"/>
      <c r="HG410" s="98"/>
      <c r="HH410" s="98"/>
      <c r="HI410" s="98"/>
      <c r="HJ410" s="98"/>
      <c r="HK410" s="98"/>
      <c r="HL410" s="98"/>
      <c r="HM410" s="98"/>
      <c r="HN410" s="98"/>
      <c r="HO410" s="98"/>
      <c r="HP410" s="98"/>
      <c r="HQ410" s="98"/>
      <c r="HR410" s="98"/>
      <c r="HS410" s="98"/>
      <c r="HT410" s="98"/>
      <c r="HU410" s="98"/>
      <c r="HV410" s="98"/>
      <c r="HW410" s="98"/>
      <c r="HX410" s="98"/>
      <c r="HY410" s="98"/>
      <c r="HZ410" s="98"/>
      <c r="IA410" s="98"/>
      <c r="IB410" s="98"/>
      <c r="IC410" s="98"/>
      <c r="ID410" s="98"/>
      <c r="IE410" s="98"/>
      <c r="IF410" s="98"/>
      <c r="IG410" s="98"/>
      <c r="IH410" s="98"/>
      <c r="II410" s="98"/>
      <c r="IJ410" s="98"/>
      <c r="IK410" s="98"/>
      <c r="IL410" s="98"/>
      <c r="IM410" s="98"/>
      <c r="IN410" s="98"/>
      <c r="IO410" s="98"/>
      <c r="IP410" s="98"/>
      <c r="IQ410" s="98"/>
      <c r="IR410" s="98"/>
      <c r="IS410" s="98"/>
      <c r="IT410" s="98"/>
      <c r="IU410" s="98"/>
      <c r="IV410" s="98"/>
      <c r="IW410" s="98"/>
      <c r="IX410" s="98"/>
      <c r="IY410" s="98"/>
      <c r="IZ410" s="98"/>
      <c r="JA410" s="98"/>
      <c r="JB410" s="98"/>
      <c r="JC410" s="98"/>
      <c r="JD410" s="98"/>
      <c r="JE410" s="98"/>
      <c r="JF410" s="98"/>
      <c r="JG410" s="98"/>
      <c r="JH410" s="98"/>
      <c r="JI410" s="98"/>
      <c r="JJ410" s="98"/>
      <c r="JK410" s="98"/>
      <c r="JL410" s="98"/>
      <c r="JM410" s="98"/>
      <c r="JN410" s="98"/>
      <c r="JO410" s="98"/>
      <c r="JP410" s="98"/>
      <c r="JQ410" s="98"/>
      <c r="JR410" s="98"/>
      <c r="JS410" s="98"/>
      <c r="JT410" s="98"/>
      <c r="JU410" s="98"/>
      <c r="JV410" s="98"/>
      <c r="JW410" s="98"/>
      <c r="JX410" s="98"/>
      <c r="JY410" s="98"/>
      <c r="JZ410" s="98"/>
      <c r="KA410" s="98"/>
      <c r="KB410" s="98"/>
      <c r="KC410" s="98"/>
      <c r="KD410" s="98"/>
      <c r="KE410" s="98"/>
      <c r="KF410" s="98"/>
      <c r="KG410" s="98"/>
      <c r="KH410" s="98"/>
      <c r="KI410" s="98"/>
      <c r="KJ410" s="98"/>
      <c r="KK410" s="98"/>
      <c r="KL410" s="98"/>
      <c r="KM410" s="98"/>
      <c r="KN410" s="98"/>
      <c r="KO410" s="98"/>
      <c r="KP410" s="98"/>
      <c r="KQ410" s="98"/>
      <c r="KR410" s="98"/>
      <c r="KS410" s="98"/>
      <c r="KT410" s="98"/>
      <c r="KU410" s="98"/>
      <c r="KV410" s="98"/>
      <c r="KW410" s="98"/>
      <c r="KX410" s="98"/>
      <c r="KY410" s="98"/>
      <c r="KZ410" s="98"/>
      <c r="LA410" s="98"/>
      <c r="LB410" s="98"/>
      <c r="LC410" s="98"/>
      <c r="LD410" s="98"/>
      <c r="LE410" s="98"/>
      <c r="LF410" s="98"/>
      <c r="LG410" s="98"/>
      <c r="LH410" s="98"/>
      <c r="LI410" s="98"/>
      <c r="LJ410" s="98"/>
      <c r="LK410" s="98"/>
      <c r="LL410" s="98"/>
      <c r="LM410" s="98"/>
      <c r="LN410" s="98"/>
      <c r="LO410" s="98"/>
      <c r="LP410" s="98"/>
      <c r="LQ410" s="98"/>
      <c r="LR410" s="98"/>
      <c r="LS410" s="98"/>
      <c r="LT410" s="98"/>
      <c r="LU410" s="98"/>
      <c r="LV410" s="98"/>
      <c r="LW410" s="98"/>
      <c r="LX410" s="98"/>
      <c r="LY410" s="98"/>
      <c r="LZ410" s="98"/>
      <c r="MA410" s="98"/>
      <c r="MB410" s="98"/>
      <c r="MC410" s="98"/>
      <c r="MD410" s="98"/>
      <c r="ME410" s="98"/>
      <c r="MF410" s="98"/>
      <c r="MG410" s="98"/>
      <c r="MH410" s="98"/>
      <c r="MI410" s="98"/>
      <c r="MJ410" s="98"/>
      <c r="MK410" s="98"/>
      <c r="ML410" s="98"/>
      <c r="MM410" s="98"/>
      <c r="MN410" s="98"/>
      <c r="MO410" s="98"/>
      <c r="MP410" s="98"/>
      <c r="MQ410" s="98"/>
      <c r="MR410" s="98"/>
      <c r="MS410" s="98"/>
      <c r="MT410" s="98"/>
      <c r="MU410" s="98"/>
      <c r="MV410" s="98"/>
      <c r="MW410" s="98"/>
    </row>
    <row r="411" spans="1:361" ht="230.25" outlineLevel="3" thickBot="1" x14ac:dyDescent="0.25">
      <c r="A411" s="10" t="s">
        <v>1111</v>
      </c>
      <c r="B411" s="140"/>
      <c r="C411" s="54"/>
      <c r="D411" s="140"/>
      <c r="E411" s="25" t="s">
        <v>90</v>
      </c>
      <c r="F411" s="25" t="s">
        <v>1112</v>
      </c>
      <c r="G411" s="48" t="s">
        <v>191</v>
      </c>
      <c r="H411" s="26" t="s">
        <v>46</v>
      </c>
      <c r="I411" s="42">
        <v>3</v>
      </c>
      <c r="J411" s="28" t="s">
        <v>84</v>
      </c>
      <c r="K411" s="29" t="s">
        <v>1059</v>
      </c>
      <c r="L411" s="30">
        <v>1</v>
      </c>
      <c r="M411" s="31">
        <f t="shared" si="56"/>
        <v>3</v>
      </c>
      <c r="N411" s="32" t="s">
        <v>39</v>
      </c>
      <c r="O411" s="60" t="s">
        <v>884</v>
      </c>
      <c r="P411" s="30">
        <v>3</v>
      </c>
      <c r="Q411" s="34">
        <f t="shared" si="55"/>
        <v>9</v>
      </c>
      <c r="R411" s="114"/>
      <c r="S411" s="114"/>
      <c r="T411" s="114"/>
      <c r="U411" s="50"/>
      <c r="V411" s="51"/>
      <c r="W411" s="52"/>
      <c r="X411" s="51"/>
      <c r="Y411" s="51"/>
      <c r="Z411" s="53"/>
      <c r="AA411" s="40"/>
      <c r="AB411" s="41"/>
      <c r="AD411" s="17">
        <f t="shared" si="53"/>
        <v>6012</v>
      </c>
      <c r="AE411" s="18">
        <f t="shared" si="57"/>
        <v>6012</v>
      </c>
      <c r="AF411" s="98"/>
      <c r="AG411" s="98"/>
      <c r="AH411" s="98"/>
      <c r="AI411" s="98"/>
      <c r="AJ411" s="98"/>
      <c r="AK411" s="98"/>
      <c r="AL411" s="98"/>
      <c r="AM411" s="98"/>
      <c r="AN411" s="98"/>
      <c r="AO411" s="98"/>
      <c r="AP411" s="98"/>
      <c r="AQ411" s="98"/>
      <c r="AR411" s="98"/>
      <c r="AS411" s="98"/>
      <c r="AT411" s="98"/>
      <c r="AU411" s="98"/>
      <c r="AV411" s="98"/>
      <c r="AW411" s="98"/>
      <c r="AX411" s="98"/>
      <c r="AY411" s="98"/>
      <c r="AZ411" s="98"/>
      <c r="BA411" s="98"/>
      <c r="BB411" s="98"/>
      <c r="BC411" s="98"/>
      <c r="BD411" s="98"/>
      <c r="BE411" s="98"/>
      <c r="BF411" s="98"/>
      <c r="BG411" s="98"/>
      <c r="BH411" s="98"/>
      <c r="BI411" s="98"/>
      <c r="BJ411" s="98"/>
      <c r="BK411" s="98"/>
      <c r="BL411" s="98"/>
      <c r="BM411" s="98"/>
      <c r="BN411" s="98"/>
      <c r="BO411" s="98"/>
      <c r="BP411" s="98"/>
      <c r="BQ411" s="98"/>
      <c r="BR411" s="98"/>
      <c r="BS411" s="98"/>
      <c r="BT411" s="98"/>
      <c r="BU411" s="98"/>
      <c r="BV411" s="98"/>
      <c r="BW411" s="98"/>
      <c r="BX411" s="98"/>
      <c r="BY411" s="98"/>
      <c r="BZ411" s="98"/>
      <c r="CA411" s="98"/>
      <c r="CB411" s="98"/>
      <c r="CC411" s="98"/>
      <c r="CD411" s="98"/>
      <c r="CE411" s="98"/>
      <c r="CF411" s="98"/>
      <c r="CG411" s="98"/>
      <c r="CH411" s="98"/>
      <c r="CI411" s="98"/>
      <c r="CJ411" s="98"/>
      <c r="CK411" s="98"/>
      <c r="CL411" s="98"/>
      <c r="CM411" s="98"/>
      <c r="CN411" s="98"/>
      <c r="CO411" s="98"/>
      <c r="CP411" s="98"/>
      <c r="CQ411" s="98"/>
      <c r="CR411" s="98"/>
      <c r="CS411" s="98"/>
      <c r="CT411" s="98"/>
      <c r="CU411" s="98"/>
      <c r="CV411" s="98"/>
      <c r="CW411" s="98"/>
      <c r="CX411" s="98"/>
      <c r="CY411" s="98"/>
      <c r="CZ411" s="98"/>
      <c r="DA411" s="98"/>
      <c r="DB411" s="98"/>
      <c r="DC411" s="98"/>
      <c r="DD411" s="98"/>
      <c r="DE411" s="98"/>
      <c r="DF411" s="98"/>
      <c r="DG411" s="98"/>
      <c r="DH411" s="98"/>
      <c r="DI411" s="98"/>
      <c r="DJ411" s="98"/>
      <c r="DK411" s="98"/>
      <c r="DL411" s="98"/>
      <c r="DM411" s="98"/>
      <c r="DN411" s="98"/>
      <c r="DO411" s="98"/>
      <c r="DP411" s="98"/>
      <c r="DQ411" s="98"/>
      <c r="DR411" s="98"/>
      <c r="DS411" s="98"/>
      <c r="DT411" s="98"/>
      <c r="DU411" s="98"/>
      <c r="DV411" s="98"/>
      <c r="DW411" s="98"/>
      <c r="DX411" s="98"/>
      <c r="DY411" s="98"/>
      <c r="DZ411" s="98"/>
      <c r="EA411" s="98"/>
      <c r="EB411" s="98"/>
      <c r="EC411" s="98"/>
      <c r="ED411" s="98"/>
      <c r="EE411" s="98"/>
      <c r="EF411" s="98"/>
      <c r="EG411" s="98"/>
      <c r="EH411" s="98"/>
      <c r="EI411" s="98"/>
      <c r="EJ411" s="98"/>
      <c r="EK411" s="98"/>
      <c r="EL411" s="98"/>
      <c r="EM411" s="98"/>
      <c r="EN411" s="98"/>
      <c r="EO411" s="98"/>
      <c r="EP411" s="98"/>
      <c r="EQ411" s="98"/>
      <c r="ER411" s="98"/>
      <c r="ES411" s="98"/>
      <c r="ET411" s="98"/>
      <c r="EU411" s="98"/>
      <c r="EV411" s="98"/>
      <c r="EW411" s="98"/>
      <c r="EX411" s="98"/>
      <c r="EY411" s="98"/>
      <c r="EZ411" s="98"/>
      <c r="FA411" s="98"/>
      <c r="FB411" s="98"/>
      <c r="FC411" s="98"/>
      <c r="FD411" s="98"/>
      <c r="FE411" s="98"/>
      <c r="FF411" s="98"/>
      <c r="FG411" s="98"/>
      <c r="FH411" s="98"/>
      <c r="FI411" s="98"/>
      <c r="FJ411" s="98"/>
      <c r="FK411" s="98"/>
      <c r="FL411" s="98"/>
      <c r="FM411" s="98"/>
      <c r="FN411" s="98"/>
      <c r="FO411" s="98"/>
      <c r="FP411" s="98"/>
      <c r="FQ411" s="98"/>
      <c r="FR411" s="98"/>
      <c r="FS411" s="98"/>
      <c r="FT411" s="98"/>
      <c r="FU411" s="98"/>
      <c r="FV411" s="98"/>
      <c r="FW411" s="98"/>
      <c r="FX411" s="98"/>
      <c r="FY411" s="98"/>
      <c r="FZ411" s="98"/>
      <c r="GA411" s="98"/>
      <c r="GB411" s="98"/>
      <c r="GC411" s="98"/>
      <c r="GD411" s="98"/>
      <c r="GE411" s="98"/>
      <c r="GF411" s="98"/>
      <c r="GG411" s="98"/>
      <c r="GH411" s="98"/>
      <c r="GI411" s="98"/>
      <c r="GJ411" s="98"/>
      <c r="GK411" s="98"/>
      <c r="GL411" s="98"/>
      <c r="GM411" s="98"/>
      <c r="GN411" s="98"/>
      <c r="GO411" s="98"/>
      <c r="GP411" s="98"/>
      <c r="GQ411" s="98"/>
      <c r="GR411" s="98"/>
      <c r="GS411" s="98"/>
      <c r="GT411" s="98"/>
      <c r="GU411" s="98"/>
      <c r="GV411" s="98"/>
      <c r="GW411" s="98"/>
      <c r="GX411" s="98"/>
      <c r="GY411" s="98"/>
      <c r="GZ411" s="98"/>
      <c r="HA411" s="98"/>
      <c r="HB411" s="98"/>
      <c r="HC411" s="98"/>
      <c r="HD411" s="98"/>
      <c r="HE411" s="98"/>
      <c r="HF411" s="98"/>
      <c r="HG411" s="98"/>
      <c r="HH411" s="98"/>
      <c r="HI411" s="98"/>
      <c r="HJ411" s="98"/>
      <c r="HK411" s="98"/>
      <c r="HL411" s="98"/>
      <c r="HM411" s="98"/>
      <c r="HN411" s="98"/>
      <c r="HO411" s="98"/>
      <c r="HP411" s="98"/>
      <c r="HQ411" s="98"/>
      <c r="HR411" s="98"/>
      <c r="HS411" s="98"/>
      <c r="HT411" s="98"/>
      <c r="HU411" s="98"/>
      <c r="HV411" s="98"/>
      <c r="HW411" s="98"/>
      <c r="HX411" s="98"/>
      <c r="HY411" s="98"/>
      <c r="HZ411" s="98"/>
      <c r="IA411" s="98"/>
      <c r="IB411" s="98"/>
      <c r="IC411" s="98"/>
      <c r="ID411" s="98"/>
      <c r="IE411" s="98"/>
      <c r="IF411" s="98"/>
      <c r="IG411" s="98"/>
      <c r="IH411" s="98"/>
      <c r="II411" s="98"/>
      <c r="IJ411" s="98"/>
      <c r="IK411" s="98"/>
      <c r="IL411" s="98"/>
      <c r="IM411" s="98"/>
      <c r="IN411" s="98"/>
      <c r="IO411" s="98"/>
      <c r="IP411" s="98"/>
      <c r="IQ411" s="98"/>
      <c r="IR411" s="98"/>
      <c r="IS411" s="98"/>
      <c r="IT411" s="98"/>
      <c r="IU411" s="98"/>
      <c r="IV411" s="98"/>
      <c r="IW411" s="98"/>
      <c r="IX411" s="98"/>
      <c r="IY411" s="98"/>
      <c r="IZ411" s="98"/>
      <c r="JA411" s="98"/>
      <c r="JB411" s="98"/>
      <c r="JC411" s="98"/>
      <c r="JD411" s="98"/>
      <c r="JE411" s="98"/>
      <c r="JF411" s="98"/>
      <c r="JG411" s="98"/>
      <c r="JH411" s="98"/>
      <c r="JI411" s="98"/>
      <c r="JJ411" s="98"/>
      <c r="JK411" s="98"/>
      <c r="JL411" s="98"/>
      <c r="JM411" s="98"/>
      <c r="JN411" s="98"/>
      <c r="JO411" s="98"/>
      <c r="JP411" s="98"/>
      <c r="JQ411" s="98"/>
      <c r="JR411" s="98"/>
      <c r="JS411" s="98"/>
      <c r="JT411" s="98"/>
      <c r="JU411" s="98"/>
      <c r="JV411" s="98"/>
      <c r="JW411" s="98"/>
      <c r="JX411" s="98"/>
      <c r="JY411" s="98"/>
      <c r="JZ411" s="98"/>
      <c r="KA411" s="98"/>
      <c r="KB411" s="98"/>
      <c r="KC411" s="98"/>
      <c r="KD411" s="98"/>
      <c r="KE411" s="98"/>
      <c r="KF411" s="98"/>
      <c r="KG411" s="98"/>
      <c r="KH411" s="98"/>
      <c r="KI411" s="98"/>
      <c r="KJ411" s="98"/>
      <c r="KK411" s="98"/>
      <c r="KL411" s="98"/>
      <c r="KM411" s="98"/>
      <c r="KN411" s="98"/>
      <c r="KO411" s="98"/>
      <c r="KP411" s="98"/>
      <c r="KQ411" s="98"/>
      <c r="KR411" s="98"/>
      <c r="KS411" s="98"/>
      <c r="KT411" s="98"/>
      <c r="KU411" s="98"/>
      <c r="KV411" s="98"/>
      <c r="KW411" s="98"/>
      <c r="KX411" s="98"/>
      <c r="KY411" s="98"/>
      <c r="KZ411" s="98"/>
      <c r="LA411" s="98"/>
      <c r="LB411" s="98"/>
      <c r="LC411" s="98"/>
      <c r="LD411" s="98"/>
      <c r="LE411" s="98"/>
      <c r="LF411" s="98"/>
      <c r="LG411" s="98"/>
      <c r="LH411" s="98"/>
      <c r="LI411" s="98"/>
      <c r="LJ411" s="98"/>
      <c r="LK411" s="98"/>
      <c r="LL411" s="98"/>
      <c r="LM411" s="98"/>
      <c r="LN411" s="98"/>
      <c r="LO411" s="98"/>
      <c r="LP411" s="98"/>
      <c r="LQ411" s="98"/>
      <c r="LR411" s="98"/>
      <c r="LS411" s="98"/>
      <c r="LT411" s="98"/>
      <c r="LU411" s="98"/>
      <c r="LV411" s="98"/>
      <c r="LW411" s="98"/>
      <c r="LX411" s="98"/>
      <c r="LY411" s="98"/>
      <c r="LZ411" s="98"/>
      <c r="MA411" s="98"/>
      <c r="MB411" s="98"/>
      <c r="MC411" s="98"/>
      <c r="MD411" s="98"/>
      <c r="ME411" s="98"/>
      <c r="MF411" s="98"/>
      <c r="MG411" s="98"/>
      <c r="MH411" s="98"/>
      <c r="MI411" s="98"/>
      <c r="MJ411" s="98"/>
      <c r="MK411" s="98"/>
      <c r="ML411" s="98"/>
      <c r="MM411" s="98"/>
      <c r="MN411" s="98"/>
      <c r="MO411" s="98"/>
      <c r="MP411" s="98"/>
      <c r="MQ411" s="98"/>
      <c r="MR411" s="98"/>
      <c r="MS411" s="98"/>
      <c r="MT411" s="98"/>
      <c r="MU411" s="98"/>
      <c r="MV411" s="98"/>
      <c r="MW411" s="98"/>
    </row>
    <row r="412" spans="1:361" ht="230.25" outlineLevel="3" thickBot="1" x14ac:dyDescent="0.25">
      <c r="A412" s="10" t="s">
        <v>1113</v>
      </c>
      <c r="B412" s="141"/>
      <c r="C412" s="55"/>
      <c r="D412" s="141"/>
      <c r="E412" s="25" t="s">
        <v>1114</v>
      </c>
      <c r="F412" s="25" t="s">
        <v>1115</v>
      </c>
      <c r="G412" s="48" t="s">
        <v>191</v>
      </c>
      <c r="H412" s="26" t="s">
        <v>46</v>
      </c>
      <c r="I412" s="42">
        <v>3</v>
      </c>
      <c r="J412" s="28" t="s">
        <v>84</v>
      </c>
      <c r="K412" s="29" t="s">
        <v>1059</v>
      </c>
      <c r="L412" s="30">
        <v>1</v>
      </c>
      <c r="M412" s="31">
        <f t="shared" si="56"/>
        <v>3</v>
      </c>
      <c r="N412" s="32" t="s">
        <v>39</v>
      </c>
      <c r="O412" s="60" t="s">
        <v>884</v>
      </c>
      <c r="P412" s="30">
        <v>3</v>
      </c>
      <c r="Q412" s="34">
        <f t="shared" si="55"/>
        <v>9</v>
      </c>
      <c r="R412" s="114"/>
      <c r="S412" s="114"/>
      <c r="T412" s="114"/>
      <c r="U412" s="50"/>
      <c r="V412" s="51"/>
      <c r="W412" s="52"/>
      <c r="X412" s="51"/>
      <c r="Y412" s="51"/>
      <c r="Z412" s="53"/>
      <c r="AA412" s="40"/>
      <c r="AB412" s="41"/>
      <c r="AD412" s="17">
        <f t="shared" si="53"/>
        <v>6013</v>
      </c>
      <c r="AE412" s="18">
        <f t="shared" si="57"/>
        <v>6013</v>
      </c>
      <c r="AF412" s="98"/>
      <c r="AG412" s="98"/>
      <c r="AH412" s="98"/>
      <c r="AI412" s="98"/>
      <c r="AJ412" s="98"/>
      <c r="AK412" s="98"/>
      <c r="AL412" s="98"/>
      <c r="AM412" s="98"/>
      <c r="AN412" s="98"/>
      <c r="AO412" s="98"/>
      <c r="AP412" s="98"/>
      <c r="AQ412" s="98"/>
      <c r="AR412" s="98"/>
      <c r="AS412" s="98"/>
      <c r="AT412" s="98"/>
      <c r="AU412" s="98"/>
      <c r="AV412" s="98"/>
      <c r="AW412" s="98"/>
      <c r="AX412" s="98"/>
      <c r="AY412" s="98"/>
      <c r="AZ412" s="98"/>
      <c r="BA412" s="98"/>
      <c r="BB412" s="98"/>
      <c r="BC412" s="98"/>
      <c r="BD412" s="98"/>
      <c r="BE412" s="98"/>
      <c r="BF412" s="98"/>
      <c r="BG412" s="98"/>
      <c r="BH412" s="98"/>
      <c r="BI412" s="98"/>
      <c r="BJ412" s="98"/>
      <c r="BK412" s="98"/>
      <c r="BL412" s="98"/>
      <c r="BM412" s="98"/>
      <c r="BN412" s="98"/>
      <c r="BO412" s="98"/>
      <c r="BP412" s="98"/>
      <c r="BQ412" s="98"/>
      <c r="BR412" s="98"/>
      <c r="BS412" s="98"/>
      <c r="BT412" s="98"/>
      <c r="BU412" s="98"/>
      <c r="BV412" s="98"/>
      <c r="BW412" s="98"/>
      <c r="BX412" s="98"/>
      <c r="BY412" s="98"/>
      <c r="BZ412" s="98"/>
      <c r="CA412" s="98"/>
      <c r="CB412" s="98"/>
      <c r="CC412" s="98"/>
      <c r="CD412" s="98"/>
      <c r="CE412" s="98"/>
      <c r="CF412" s="98"/>
      <c r="CG412" s="98"/>
      <c r="CH412" s="98"/>
      <c r="CI412" s="98"/>
      <c r="CJ412" s="98"/>
      <c r="CK412" s="98"/>
      <c r="CL412" s="98"/>
      <c r="CM412" s="98"/>
      <c r="CN412" s="98"/>
      <c r="CO412" s="98"/>
      <c r="CP412" s="98"/>
      <c r="CQ412" s="98"/>
      <c r="CR412" s="98"/>
      <c r="CS412" s="98"/>
      <c r="CT412" s="98"/>
      <c r="CU412" s="98"/>
      <c r="CV412" s="98"/>
      <c r="CW412" s="98"/>
      <c r="CX412" s="98"/>
      <c r="CY412" s="98"/>
      <c r="CZ412" s="98"/>
      <c r="DA412" s="98"/>
      <c r="DB412" s="98"/>
      <c r="DC412" s="98"/>
      <c r="DD412" s="98"/>
      <c r="DE412" s="98"/>
      <c r="DF412" s="98"/>
      <c r="DG412" s="98"/>
      <c r="DH412" s="98"/>
      <c r="DI412" s="98"/>
      <c r="DJ412" s="98"/>
      <c r="DK412" s="98"/>
      <c r="DL412" s="98"/>
      <c r="DM412" s="98"/>
      <c r="DN412" s="98"/>
      <c r="DO412" s="98"/>
      <c r="DP412" s="98"/>
      <c r="DQ412" s="98"/>
      <c r="DR412" s="98"/>
      <c r="DS412" s="98"/>
      <c r="DT412" s="98"/>
      <c r="DU412" s="98"/>
      <c r="DV412" s="98"/>
      <c r="DW412" s="98"/>
      <c r="DX412" s="98"/>
      <c r="DY412" s="98"/>
      <c r="DZ412" s="98"/>
      <c r="EA412" s="98"/>
      <c r="EB412" s="98"/>
      <c r="EC412" s="98"/>
      <c r="ED412" s="98"/>
      <c r="EE412" s="98"/>
      <c r="EF412" s="98"/>
      <c r="EG412" s="98"/>
      <c r="EH412" s="98"/>
      <c r="EI412" s="98"/>
      <c r="EJ412" s="98"/>
      <c r="EK412" s="98"/>
      <c r="EL412" s="98"/>
      <c r="EM412" s="98"/>
      <c r="EN412" s="98"/>
      <c r="EO412" s="98"/>
      <c r="EP412" s="98"/>
      <c r="EQ412" s="98"/>
      <c r="ER412" s="98"/>
      <c r="ES412" s="98"/>
      <c r="ET412" s="98"/>
      <c r="EU412" s="98"/>
      <c r="EV412" s="98"/>
      <c r="EW412" s="98"/>
      <c r="EX412" s="98"/>
      <c r="EY412" s="98"/>
      <c r="EZ412" s="98"/>
      <c r="FA412" s="98"/>
      <c r="FB412" s="98"/>
      <c r="FC412" s="98"/>
      <c r="FD412" s="98"/>
      <c r="FE412" s="98"/>
      <c r="FF412" s="98"/>
      <c r="FG412" s="98"/>
      <c r="FH412" s="98"/>
      <c r="FI412" s="98"/>
      <c r="FJ412" s="98"/>
      <c r="FK412" s="98"/>
      <c r="FL412" s="98"/>
      <c r="FM412" s="98"/>
      <c r="FN412" s="98"/>
      <c r="FO412" s="98"/>
      <c r="FP412" s="98"/>
      <c r="FQ412" s="98"/>
      <c r="FR412" s="98"/>
      <c r="FS412" s="98"/>
      <c r="FT412" s="98"/>
      <c r="FU412" s="98"/>
      <c r="FV412" s="98"/>
      <c r="FW412" s="98"/>
      <c r="FX412" s="98"/>
      <c r="FY412" s="98"/>
      <c r="FZ412" s="98"/>
      <c r="GA412" s="98"/>
      <c r="GB412" s="98"/>
      <c r="GC412" s="98"/>
      <c r="GD412" s="98"/>
      <c r="GE412" s="98"/>
      <c r="GF412" s="98"/>
      <c r="GG412" s="98"/>
      <c r="GH412" s="98"/>
      <c r="GI412" s="98"/>
      <c r="GJ412" s="98"/>
      <c r="GK412" s="98"/>
      <c r="GL412" s="98"/>
      <c r="GM412" s="98"/>
      <c r="GN412" s="98"/>
      <c r="GO412" s="98"/>
      <c r="GP412" s="98"/>
      <c r="GQ412" s="98"/>
      <c r="GR412" s="98"/>
      <c r="GS412" s="98"/>
      <c r="GT412" s="98"/>
      <c r="GU412" s="98"/>
      <c r="GV412" s="98"/>
      <c r="GW412" s="98"/>
      <c r="GX412" s="98"/>
      <c r="GY412" s="98"/>
      <c r="GZ412" s="98"/>
      <c r="HA412" s="98"/>
      <c r="HB412" s="98"/>
      <c r="HC412" s="98"/>
      <c r="HD412" s="98"/>
      <c r="HE412" s="98"/>
      <c r="HF412" s="98"/>
      <c r="HG412" s="98"/>
      <c r="HH412" s="98"/>
      <c r="HI412" s="98"/>
      <c r="HJ412" s="98"/>
      <c r="HK412" s="98"/>
      <c r="HL412" s="98"/>
      <c r="HM412" s="98"/>
      <c r="HN412" s="98"/>
      <c r="HO412" s="98"/>
      <c r="HP412" s="98"/>
      <c r="HQ412" s="98"/>
      <c r="HR412" s="98"/>
      <c r="HS412" s="98"/>
      <c r="HT412" s="98"/>
      <c r="HU412" s="98"/>
      <c r="HV412" s="98"/>
      <c r="HW412" s="98"/>
      <c r="HX412" s="98"/>
      <c r="HY412" s="98"/>
      <c r="HZ412" s="98"/>
      <c r="IA412" s="98"/>
      <c r="IB412" s="98"/>
      <c r="IC412" s="98"/>
      <c r="ID412" s="98"/>
      <c r="IE412" s="98"/>
      <c r="IF412" s="98"/>
      <c r="IG412" s="98"/>
      <c r="IH412" s="98"/>
      <c r="II412" s="98"/>
      <c r="IJ412" s="98"/>
      <c r="IK412" s="98"/>
      <c r="IL412" s="98"/>
      <c r="IM412" s="98"/>
      <c r="IN412" s="98"/>
      <c r="IO412" s="98"/>
      <c r="IP412" s="98"/>
      <c r="IQ412" s="98"/>
      <c r="IR412" s="98"/>
      <c r="IS412" s="98"/>
      <c r="IT412" s="98"/>
      <c r="IU412" s="98"/>
      <c r="IV412" s="98"/>
      <c r="IW412" s="98"/>
      <c r="IX412" s="98"/>
      <c r="IY412" s="98"/>
      <c r="IZ412" s="98"/>
      <c r="JA412" s="98"/>
      <c r="JB412" s="98"/>
      <c r="JC412" s="98"/>
      <c r="JD412" s="98"/>
      <c r="JE412" s="98"/>
      <c r="JF412" s="98"/>
      <c r="JG412" s="98"/>
      <c r="JH412" s="98"/>
      <c r="JI412" s="98"/>
      <c r="JJ412" s="98"/>
      <c r="JK412" s="98"/>
      <c r="JL412" s="98"/>
      <c r="JM412" s="98"/>
      <c r="JN412" s="98"/>
      <c r="JO412" s="98"/>
      <c r="JP412" s="98"/>
      <c r="JQ412" s="98"/>
      <c r="JR412" s="98"/>
      <c r="JS412" s="98"/>
      <c r="JT412" s="98"/>
      <c r="JU412" s="98"/>
      <c r="JV412" s="98"/>
      <c r="JW412" s="98"/>
      <c r="JX412" s="98"/>
      <c r="JY412" s="98"/>
      <c r="JZ412" s="98"/>
      <c r="KA412" s="98"/>
      <c r="KB412" s="98"/>
      <c r="KC412" s="98"/>
      <c r="KD412" s="98"/>
      <c r="KE412" s="98"/>
      <c r="KF412" s="98"/>
      <c r="KG412" s="98"/>
      <c r="KH412" s="98"/>
      <c r="KI412" s="98"/>
      <c r="KJ412" s="98"/>
      <c r="KK412" s="98"/>
      <c r="KL412" s="98"/>
      <c r="KM412" s="98"/>
      <c r="KN412" s="98"/>
      <c r="KO412" s="98"/>
      <c r="KP412" s="98"/>
      <c r="KQ412" s="98"/>
      <c r="KR412" s="98"/>
      <c r="KS412" s="98"/>
      <c r="KT412" s="98"/>
      <c r="KU412" s="98"/>
      <c r="KV412" s="98"/>
      <c r="KW412" s="98"/>
      <c r="KX412" s="98"/>
      <c r="KY412" s="98"/>
      <c r="KZ412" s="98"/>
      <c r="LA412" s="98"/>
      <c r="LB412" s="98"/>
      <c r="LC412" s="98"/>
      <c r="LD412" s="98"/>
      <c r="LE412" s="98"/>
      <c r="LF412" s="98"/>
      <c r="LG412" s="98"/>
      <c r="LH412" s="98"/>
      <c r="LI412" s="98"/>
      <c r="LJ412" s="98"/>
      <c r="LK412" s="98"/>
      <c r="LL412" s="98"/>
      <c r="LM412" s="98"/>
      <c r="LN412" s="98"/>
      <c r="LO412" s="98"/>
      <c r="LP412" s="98"/>
      <c r="LQ412" s="98"/>
      <c r="LR412" s="98"/>
      <c r="LS412" s="98"/>
      <c r="LT412" s="98"/>
      <c r="LU412" s="98"/>
      <c r="LV412" s="98"/>
      <c r="LW412" s="98"/>
      <c r="LX412" s="98"/>
      <c r="LY412" s="98"/>
      <c r="LZ412" s="98"/>
      <c r="MA412" s="98"/>
      <c r="MB412" s="98"/>
      <c r="MC412" s="98"/>
      <c r="MD412" s="98"/>
      <c r="ME412" s="98"/>
      <c r="MF412" s="98"/>
      <c r="MG412" s="98"/>
      <c r="MH412" s="98"/>
      <c r="MI412" s="98"/>
      <c r="MJ412" s="98"/>
      <c r="MK412" s="98"/>
      <c r="ML412" s="98"/>
      <c r="MM412" s="98"/>
      <c r="MN412" s="98"/>
      <c r="MO412" s="98"/>
      <c r="MP412" s="98"/>
      <c r="MQ412" s="98"/>
      <c r="MR412" s="98"/>
      <c r="MS412" s="98"/>
      <c r="MT412" s="98"/>
      <c r="MU412" s="98"/>
      <c r="MV412" s="98"/>
      <c r="MW412" s="98"/>
    </row>
    <row r="413" spans="1:361" ht="230.25" outlineLevel="3" thickBot="1" x14ac:dyDescent="0.25">
      <c r="A413" s="10" t="s">
        <v>1116</v>
      </c>
      <c r="B413" s="142" t="s">
        <v>1117</v>
      </c>
      <c r="C413" s="47" t="s">
        <v>1118</v>
      </c>
      <c r="D413" s="142" t="s">
        <v>1119</v>
      </c>
      <c r="E413" s="25" t="s">
        <v>256</v>
      </c>
      <c r="F413" s="25" t="s">
        <v>1058</v>
      </c>
      <c r="G413" s="48" t="s">
        <v>191</v>
      </c>
      <c r="H413" s="26" t="s">
        <v>46</v>
      </c>
      <c r="I413" s="27">
        <v>3</v>
      </c>
      <c r="J413" s="28" t="s">
        <v>1120</v>
      </c>
      <c r="K413" s="29" t="s">
        <v>1059</v>
      </c>
      <c r="L413" s="30">
        <v>1</v>
      </c>
      <c r="M413" s="31">
        <f t="shared" si="56"/>
        <v>3</v>
      </c>
      <c r="N413" s="32" t="s">
        <v>39</v>
      </c>
      <c r="O413" s="60" t="s">
        <v>884</v>
      </c>
      <c r="P413" s="30">
        <v>3</v>
      </c>
      <c r="Q413" s="34">
        <f t="shared" si="55"/>
        <v>9</v>
      </c>
      <c r="R413" s="35"/>
      <c r="S413" s="35"/>
      <c r="T413" s="35"/>
      <c r="U413" s="36"/>
      <c r="V413" s="37"/>
      <c r="W413" s="38"/>
      <c r="X413" s="37"/>
      <c r="Y413" s="37"/>
      <c r="Z413" s="39"/>
      <c r="AA413" s="40"/>
      <c r="AB413" s="41"/>
      <c r="AD413" s="17">
        <f t="shared" si="53"/>
        <v>-1583</v>
      </c>
      <c r="AE413" s="18">
        <f t="shared" si="57"/>
        <v>1583</v>
      </c>
      <c r="AF413" s="98"/>
      <c r="AG413" s="98"/>
      <c r="AH413" s="98"/>
      <c r="AI413" s="98"/>
      <c r="AJ413" s="98"/>
      <c r="AK413" s="98"/>
      <c r="AL413" s="98"/>
      <c r="AM413" s="98"/>
      <c r="AN413" s="98"/>
      <c r="AO413" s="98"/>
      <c r="AP413" s="98"/>
      <c r="AQ413" s="98"/>
      <c r="AR413" s="98"/>
      <c r="AS413" s="98"/>
      <c r="AT413" s="98"/>
      <c r="AU413" s="98"/>
      <c r="AV413" s="98"/>
      <c r="AW413" s="98"/>
      <c r="AX413" s="98"/>
      <c r="AY413" s="98"/>
      <c r="AZ413" s="98"/>
      <c r="BA413" s="98"/>
      <c r="BB413" s="98"/>
      <c r="BC413" s="98"/>
      <c r="BD413" s="98"/>
      <c r="BE413" s="98"/>
      <c r="BF413" s="98"/>
      <c r="BG413" s="98"/>
      <c r="BH413" s="98"/>
      <c r="BI413" s="98"/>
      <c r="BJ413" s="98"/>
      <c r="BK413" s="98"/>
      <c r="BL413" s="98"/>
      <c r="BM413" s="98"/>
      <c r="BN413" s="98"/>
      <c r="BO413" s="98"/>
      <c r="BP413" s="98"/>
      <c r="BQ413" s="98"/>
      <c r="BR413" s="98"/>
      <c r="BS413" s="98"/>
      <c r="BT413" s="98"/>
      <c r="BU413" s="98"/>
      <c r="BV413" s="98"/>
      <c r="BW413" s="98"/>
      <c r="BX413" s="98"/>
      <c r="BY413" s="98"/>
      <c r="BZ413" s="98"/>
      <c r="CA413" s="98"/>
      <c r="CB413" s="98"/>
      <c r="CC413" s="98"/>
      <c r="CD413" s="98"/>
      <c r="CE413" s="98"/>
      <c r="CF413" s="98"/>
      <c r="CG413" s="98"/>
      <c r="CH413" s="98"/>
      <c r="CI413" s="98"/>
      <c r="CJ413" s="98"/>
      <c r="CK413" s="98"/>
      <c r="CL413" s="98"/>
      <c r="CM413" s="98"/>
      <c r="CN413" s="98"/>
      <c r="CO413" s="98"/>
      <c r="CP413" s="98"/>
      <c r="CQ413" s="98"/>
      <c r="CR413" s="98"/>
      <c r="CS413" s="98"/>
      <c r="CT413" s="98"/>
      <c r="CU413" s="98"/>
      <c r="CV413" s="98"/>
      <c r="CW413" s="98"/>
      <c r="CX413" s="98"/>
      <c r="CY413" s="98"/>
      <c r="CZ413" s="98"/>
      <c r="DA413" s="98"/>
      <c r="DB413" s="98"/>
      <c r="DC413" s="98"/>
      <c r="DD413" s="98"/>
      <c r="DE413" s="98"/>
      <c r="DF413" s="98"/>
      <c r="DG413" s="98"/>
      <c r="DH413" s="98"/>
      <c r="DI413" s="98"/>
      <c r="DJ413" s="98"/>
      <c r="DK413" s="98"/>
      <c r="DL413" s="98"/>
      <c r="DM413" s="98"/>
      <c r="DN413" s="98"/>
      <c r="DO413" s="98"/>
      <c r="DP413" s="98"/>
      <c r="DQ413" s="98"/>
      <c r="DR413" s="98"/>
      <c r="DS413" s="98"/>
      <c r="DT413" s="98"/>
      <c r="DU413" s="98"/>
      <c r="DV413" s="98"/>
      <c r="DW413" s="98"/>
      <c r="DX413" s="98"/>
      <c r="DY413" s="98"/>
      <c r="DZ413" s="98"/>
      <c r="EA413" s="98"/>
      <c r="EB413" s="98"/>
      <c r="EC413" s="98"/>
      <c r="ED413" s="98"/>
      <c r="EE413" s="98"/>
      <c r="EF413" s="98"/>
      <c r="EG413" s="98"/>
      <c r="EH413" s="98"/>
      <c r="EI413" s="98"/>
      <c r="EJ413" s="98"/>
      <c r="EK413" s="98"/>
      <c r="EL413" s="98"/>
      <c r="EM413" s="98"/>
      <c r="EN413" s="98"/>
      <c r="EO413" s="98"/>
      <c r="EP413" s="98"/>
      <c r="EQ413" s="98"/>
      <c r="ER413" s="98"/>
      <c r="ES413" s="98"/>
      <c r="ET413" s="98"/>
      <c r="EU413" s="98"/>
      <c r="EV413" s="98"/>
      <c r="EW413" s="98"/>
      <c r="EX413" s="98"/>
      <c r="EY413" s="98"/>
      <c r="EZ413" s="98"/>
      <c r="FA413" s="98"/>
      <c r="FB413" s="98"/>
      <c r="FC413" s="98"/>
      <c r="FD413" s="98"/>
      <c r="FE413" s="98"/>
      <c r="FF413" s="98"/>
      <c r="FG413" s="98"/>
      <c r="FH413" s="98"/>
      <c r="FI413" s="98"/>
      <c r="FJ413" s="98"/>
      <c r="FK413" s="98"/>
      <c r="FL413" s="98"/>
      <c r="FM413" s="98"/>
      <c r="FN413" s="98"/>
      <c r="FO413" s="98"/>
      <c r="FP413" s="98"/>
      <c r="FQ413" s="98"/>
      <c r="FR413" s="98"/>
      <c r="FS413" s="98"/>
      <c r="FT413" s="98"/>
      <c r="FU413" s="98"/>
      <c r="FV413" s="98"/>
      <c r="FW413" s="98"/>
      <c r="FX413" s="98"/>
      <c r="FY413" s="98"/>
      <c r="FZ413" s="98"/>
      <c r="GA413" s="98"/>
      <c r="GB413" s="98"/>
      <c r="GC413" s="98"/>
      <c r="GD413" s="98"/>
      <c r="GE413" s="98"/>
      <c r="GF413" s="98"/>
      <c r="GG413" s="98"/>
      <c r="GH413" s="98"/>
      <c r="GI413" s="98"/>
      <c r="GJ413" s="98"/>
      <c r="GK413" s="98"/>
      <c r="GL413" s="98"/>
      <c r="GM413" s="98"/>
      <c r="GN413" s="98"/>
      <c r="GO413" s="98"/>
      <c r="GP413" s="98"/>
      <c r="GQ413" s="98"/>
      <c r="GR413" s="98"/>
      <c r="GS413" s="98"/>
      <c r="GT413" s="98"/>
      <c r="GU413" s="98"/>
      <c r="GV413" s="98"/>
      <c r="GW413" s="98"/>
      <c r="GX413" s="98"/>
      <c r="GY413" s="98"/>
      <c r="GZ413" s="98"/>
      <c r="HA413" s="98"/>
      <c r="HB413" s="98"/>
      <c r="HC413" s="98"/>
      <c r="HD413" s="98"/>
      <c r="HE413" s="98"/>
      <c r="HF413" s="98"/>
      <c r="HG413" s="98"/>
      <c r="HH413" s="98"/>
      <c r="HI413" s="98"/>
      <c r="HJ413" s="98"/>
      <c r="HK413" s="98"/>
      <c r="HL413" s="98"/>
      <c r="HM413" s="98"/>
      <c r="HN413" s="98"/>
      <c r="HO413" s="98"/>
      <c r="HP413" s="98"/>
      <c r="HQ413" s="98"/>
      <c r="HR413" s="98"/>
      <c r="HS413" s="98"/>
      <c r="HT413" s="98"/>
      <c r="HU413" s="98"/>
      <c r="HV413" s="98"/>
      <c r="HW413" s="98"/>
      <c r="HX413" s="98"/>
      <c r="HY413" s="98"/>
      <c r="HZ413" s="98"/>
      <c r="IA413" s="98"/>
      <c r="IB413" s="98"/>
      <c r="IC413" s="98"/>
      <c r="ID413" s="98"/>
      <c r="IE413" s="98"/>
      <c r="IF413" s="98"/>
      <c r="IG413" s="98"/>
      <c r="IH413" s="98"/>
      <c r="II413" s="98"/>
      <c r="IJ413" s="98"/>
      <c r="IK413" s="98"/>
      <c r="IL413" s="98"/>
      <c r="IM413" s="98"/>
      <c r="IN413" s="98"/>
      <c r="IO413" s="98"/>
      <c r="IP413" s="98"/>
      <c r="IQ413" s="98"/>
      <c r="IR413" s="98"/>
      <c r="IS413" s="98"/>
      <c r="IT413" s="98"/>
      <c r="IU413" s="98"/>
      <c r="IV413" s="98"/>
      <c r="IW413" s="98"/>
      <c r="IX413" s="98"/>
      <c r="IY413" s="98"/>
      <c r="IZ413" s="98"/>
      <c r="JA413" s="98"/>
      <c r="JB413" s="98"/>
      <c r="JC413" s="98"/>
      <c r="JD413" s="98"/>
      <c r="JE413" s="98"/>
      <c r="JF413" s="98"/>
      <c r="JG413" s="98"/>
      <c r="JH413" s="98"/>
      <c r="JI413" s="98"/>
      <c r="JJ413" s="98"/>
      <c r="JK413" s="98"/>
      <c r="JL413" s="98"/>
      <c r="JM413" s="98"/>
      <c r="JN413" s="98"/>
      <c r="JO413" s="98"/>
      <c r="JP413" s="98"/>
      <c r="JQ413" s="98"/>
      <c r="JR413" s="98"/>
      <c r="JS413" s="98"/>
      <c r="JT413" s="98"/>
      <c r="JU413" s="98"/>
      <c r="JV413" s="98"/>
      <c r="JW413" s="98"/>
      <c r="JX413" s="98"/>
      <c r="JY413" s="98"/>
      <c r="JZ413" s="98"/>
      <c r="KA413" s="98"/>
      <c r="KB413" s="98"/>
      <c r="KC413" s="98"/>
      <c r="KD413" s="98"/>
      <c r="KE413" s="98"/>
      <c r="KF413" s="98"/>
      <c r="KG413" s="98"/>
      <c r="KH413" s="98"/>
      <c r="KI413" s="98"/>
      <c r="KJ413" s="98"/>
      <c r="KK413" s="98"/>
      <c r="KL413" s="98"/>
      <c r="KM413" s="98"/>
      <c r="KN413" s="98"/>
      <c r="KO413" s="98"/>
      <c r="KP413" s="98"/>
      <c r="KQ413" s="98"/>
      <c r="KR413" s="98"/>
      <c r="KS413" s="98"/>
      <c r="KT413" s="98"/>
      <c r="KU413" s="98"/>
      <c r="KV413" s="98"/>
      <c r="KW413" s="98"/>
      <c r="KX413" s="98"/>
      <c r="KY413" s="98"/>
      <c r="KZ413" s="98"/>
      <c r="LA413" s="98"/>
      <c r="LB413" s="98"/>
      <c r="LC413" s="98"/>
      <c r="LD413" s="98"/>
      <c r="LE413" s="98"/>
      <c r="LF413" s="98"/>
      <c r="LG413" s="98"/>
      <c r="LH413" s="98"/>
      <c r="LI413" s="98"/>
      <c r="LJ413" s="98"/>
      <c r="LK413" s="98"/>
      <c r="LL413" s="98"/>
      <c r="LM413" s="98"/>
      <c r="LN413" s="98"/>
      <c r="LO413" s="98"/>
      <c r="LP413" s="98"/>
      <c r="LQ413" s="98"/>
      <c r="LR413" s="98"/>
      <c r="LS413" s="98"/>
      <c r="LT413" s="98"/>
      <c r="LU413" s="98"/>
      <c r="LV413" s="98"/>
      <c r="LW413" s="98"/>
      <c r="LX413" s="98"/>
      <c r="LY413" s="98"/>
      <c r="LZ413" s="98"/>
      <c r="MA413" s="98"/>
      <c r="MB413" s="98"/>
      <c r="MC413" s="98"/>
      <c r="MD413" s="98"/>
      <c r="ME413" s="98"/>
      <c r="MF413" s="98"/>
      <c r="MG413" s="98"/>
      <c r="MH413" s="98"/>
      <c r="MI413" s="98"/>
      <c r="MJ413" s="98"/>
      <c r="MK413" s="98"/>
      <c r="ML413" s="98"/>
      <c r="MM413" s="98"/>
      <c r="MN413" s="98"/>
      <c r="MO413" s="98"/>
      <c r="MP413" s="98"/>
      <c r="MQ413" s="98"/>
      <c r="MR413" s="98"/>
      <c r="MS413" s="98"/>
      <c r="MT413" s="98"/>
      <c r="MU413" s="98"/>
      <c r="MV413" s="98"/>
      <c r="MW413" s="98"/>
    </row>
    <row r="414" spans="1:361" ht="230.25" outlineLevel="3" thickBot="1" x14ac:dyDescent="0.25">
      <c r="A414" s="10" t="s">
        <v>1121</v>
      </c>
      <c r="B414" s="140"/>
      <c r="C414" s="54"/>
      <c r="D414" s="140"/>
      <c r="E414" s="25" t="s">
        <v>155</v>
      </c>
      <c r="F414" s="25" t="s">
        <v>1058</v>
      </c>
      <c r="G414" s="48" t="s">
        <v>191</v>
      </c>
      <c r="H414" s="26" t="s">
        <v>46</v>
      </c>
      <c r="I414" s="27">
        <v>3</v>
      </c>
      <c r="J414" s="28" t="s">
        <v>74</v>
      </c>
      <c r="K414" s="29" t="s">
        <v>1059</v>
      </c>
      <c r="L414" s="30">
        <v>1</v>
      </c>
      <c r="M414" s="31">
        <f t="shared" si="56"/>
        <v>3</v>
      </c>
      <c r="N414" s="32" t="s">
        <v>39</v>
      </c>
      <c r="O414" s="60" t="s">
        <v>884</v>
      </c>
      <c r="P414" s="30">
        <v>3</v>
      </c>
      <c r="Q414" s="34">
        <f t="shared" si="55"/>
        <v>9</v>
      </c>
      <c r="R414" s="35"/>
      <c r="S414" s="35"/>
      <c r="T414" s="35"/>
      <c r="U414" s="36"/>
      <c r="V414" s="37"/>
      <c r="W414" s="38"/>
      <c r="X414" s="37"/>
      <c r="Y414" s="37"/>
      <c r="Z414" s="39"/>
      <c r="AA414" s="40"/>
      <c r="AB414" s="41"/>
      <c r="AD414" s="17">
        <f t="shared" si="53"/>
        <v>6014</v>
      </c>
      <c r="AE414" s="18">
        <f t="shared" si="57"/>
        <v>6014</v>
      </c>
      <c r="AF414" s="98"/>
      <c r="AG414" s="98"/>
      <c r="AH414" s="98"/>
      <c r="AI414" s="98"/>
      <c r="AJ414" s="98"/>
      <c r="AK414" s="98"/>
      <c r="AL414" s="98"/>
      <c r="AM414" s="98"/>
      <c r="AN414" s="98"/>
      <c r="AO414" s="98"/>
      <c r="AP414" s="98"/>
      <c r="AQ414" s="98"/>
      <c r="AR414" s="98"/>
      <c r="AS414" s="98"/>
      <c r="AT414" s="98"/>
      <c r="AU414" s="98"/>
      <c r="AV414" s="98"/>
      <c r="AW414" s="98"/>
      <c r="AX414" s="98"/>
      <c r="AY414" s="98"/>
      <c r="AZ414" s="98"/>
      <c r="BA414" s="98"/>
      <c r="BB414" s="98"/>
      <c r="BC414" s="98"/>
      <c r="BD414" s="98"/>
      <c r="BE414" s="98"/>
      <c r="BF414" s="98"/>
      <c r="BG414" s="98"/>
      <c r="BH414" s="98"/>
      <c r="BI414" s="98"/>
      <c r="BJ414" s="98"/>
      <c r="BK414" s="98"/>
      <c r="BL414" s="98"/>
      <c r="BM414" s="98"/>
      <c r="BN414" s="98"/>
      <c r="BO414" s="98"/>
      <c r="BP414" s="98"/>
      <c r="BQ414" s="98"/>
      <c r="BR414" s="98"/>
      <c r="BS414" s="98"/>
      <c r="BT414" s="98"/>
      <c r="BU414" s="98"/>
      <c r="BV414" s="98"/>
      <c r="BW414" s="98"/>
      <c r="BX414" s="98"/>
      <c r="BY414" s="98"/>
      <c r="BZ414" s="98"/>
      <c r="CA414" s="98"/>
      <c r="CB414" s="98"/>
      <c r="CC414" s="98"/>
      <c r="CD414" s="98"/>
      <c r="CE414" s="98"/>
      <c r="CF414" s="98"/>
      <c r="CG414" s="98"/>
      <c r="CH414" s="98"/>
      <c r="CI414" s="98"/>
      <c r="CJ414" s="98"/>
      <c r="CK414" s="98"/>
      <c r="CL414" s="98"/>
      <c r="CM414" s="98"/>
      <c r="CN414" s="98"/>
      <c r="CO414" s="98"/>
      <c r="CP414" s="98"/>
      <c r="CQ414" s="98"/>
      <c r="CR414" s="98"/>
      <c r="CS414" s="98"/>
      <c r="CT414" s="98"/>
      <c r="CU414" s="98"/>
      <c r="CV414" s="98"/>
      <c r="CW414" s="98"/>
      <c r="CX414" s="98"/>
      <c r="CY414" s="98"/>
      <c r="CZ414" s="98"/>
      <c r="DA414" s="98"/>
      <c r="DB414" s="98"/>
      <c r="DC414" s="98"/>
      <c r="DD414" s="98"/>
      <c r="DE414" s="98"/>
      <c r="DF414" s="98"/>
      <c r="DG414" s="98"/>
      <c r="DH414" s="98"/>
      <c r="DI414" s="98"/>
      <c r="DJ414" s="98"/>
      <c r="DK414" s="98"/>
      <c r="DL414" s="98"/>
      <c r="DM414" s="98"/>
      <c r="DN414" s="98"/>
      <c r="DO414" s="98"/>
      <c r="DP414" s="98"/>
      <c r="DQ414" s="98"/>
      <c r="DR414" s="98"/>
      <c r="DS414" s="98"/>
      <c r="DT414" s="98"/>
      <c r="DU414" s="98"/>
      <c r="DV414" s="98"/>
      <c r="DW414" s="98"/>
      <c r="DX414" s="98"/>
      <c r="DY414" s="98"/>
      <c r="DZ414" s="98"/>
      <c r="EA414" s="98"/>
      <c r="EB414" s="98"/>
      <c r="EC414" s="98"/>
      <c r="ED414" s="98"/>
      <c r="EE414" s="98"/>
      <c r="EF414" s="98"/>
      <c r="EG414" s="98"/>
      <c r="EH414" s="98"/>
      <c r="EI414" s="98"/>
      <c r="EJ414" s="98"/>
      <c r="EK414" s="98"/>
      <c r="EL414" s="98"/>
      <c r="EM414" s="98"/>
      <c r="EN414" s="98"/>
      <c r="EO414" s="98"/>
      <c r="EP414" s="98"/>
      <c r="EQ414" s="98"/>
      <c r="ER414" s="98"/>
      <c r="ES414" s="98"/>
      <c r="ET414" s="98"/>
      <c r="EU414" s="98"/>
      <c r="EV414" s="98"/>
      <c r="EW414" s="98"/>
      <c r="EX414" s="98"/>
      <c r="EY414" s="98"/>
      <c r="EZ414" s="98"/>
      <c r="FA414" s="98"/>
      <c r="FB414" s="98"/>
      <c r="FC414" s="98"/>
      <c r="FD414" s="98"/>
      <c r="FE414" s="98"/>
      <c r="FF414" s="98"/>
      <c r="FG414" s="98"/>
      <c r="FH414" s="98"/>
      <c r="FI414" s="98"/>
      <c r="FJ414" s="98"/>
      <c r="FK414" s="98"/>
      <c r="FL414" s="98"/>
      <c r="FM414" s="98"/>
      <c r="FN414" s="98"/>
      <c r="FO414" s="98"/>
      <c r="FP414" s="98"/>
      <c r="FQ414" s="98"/>
      <c r="FR414" s="98"/>
      <c r="FS414" s="98"/>
      <c r="FT414" s="98"/>
      <c r="FU414" s="98"/>
      <c r="FV414" s="98"/>
      <c r="FW414" s="98"/>
      <c r="FX414" s="98"/>
      <c r="FY414" s="98"/>
      <c r="FZ414" s="98"/>
      <c r="GA414" s="98"/>
      <c r="GB414" s="98"/>
      <c r="GC414" s="98"/>
      <c r="GD414" s="98"/>
      <c r="GE414" s="98"/>
      <c r="GF414" s="98"/>
      <c r="GG414" s="98"/>
      <c r="GH414" s="98"/>
      <c r="GI414" s="98"/>
      <c r="GJ414" s="98"/>
      <c r="GK414" s="98"/>
      <c r="GL414" s="98"/>
      <c r="GM414" s="98"/>
      <c r="GN414" s="98"/>
      <c r="GO414" s="98"/>
      <c r="GP414" s="98"/>
      <c r="GQ414" s="98"/>
      <c r="GR414" s="98"/>
      <c r="GS414" s="98"/>
      <c r="GT414" s="98"/>
      <c r="GU414" s="98"/>
      <c r="GV414" s="98"/>
      <c r="GW414" s="98"/>
      <c r="GX414" s="98"/>
      <c r="GY414" s="98"/>
      <c r="GZ414" s="98"/>
      <c r="HA414" s="98"/>
      <c r="HB414" s="98"/>
      <c r="HC414" s="98"/>
      <c r="HD414" s="98"/>
      <c r="HE414" s="98"/>
      <c r="HF414" s="98"/>
      <c r="HG414" s="98"/>
      <c r="HH414" s="98"/>
      <c r="HI414" s="98"/>
      <c r="HJ414" s="98"/>
      <c r="HK414" s="98"/>
      <c r="HL414" s="98"/>
      <c r="HM414" s="98"/>
      <c r="HN414" s="98"/>
      <c r="HO414" s="98"/>
      <c r="HP414" s="98"/>
      <c r="HQ414" s="98"/>
      <c r="HR414" s="98"/>
      <c r="HS414" s="98"/>
      <c r="HT414" s="98"/>
      <c r="HU414" s="98"/>
      <c r="HV414" s="98"/>
      <c r="HW414" s="98"/>
      <c r="HX414" s="98"/>
      <c r="HY414" s="98"/>
      <c r="HZ414" s="98"/>
      <c r="IA414" s="98"/>
      <c r="IB414" s="98"/>
      <c r="IC414" s="98"/>
      <c r="ID414" s="98"/>
      <c r="IE414" s="98"/>
      <c r="IF414" s="98"/>
      <c r="IG414" s="98"/>
      <c r="IH414" s="98"/>
      <c r="II414" s="98"/>
      <c r="IJ414" s="98"/>
      <c r="IK414" s="98"/>
      <c r="IL414" s="98"/>
      <c r="IM414" s="98"/>
      <c r="IN414" s="98"/>
      <c r="IO414" s="98"/>
      <c r="IP414" s="98"/>
      <c r="IQ414" s="98"/>
      <c r="IR414" s="98"/>
      <c r="IS414" s="98"/>
      <c r="IT414" s="98"/>
      <c r="IU414" s="98"/>
      <c r="IV414" s="98"/>
      <c r="IW414" s="98"/>
      <c r="IX414" s="98"/>
      <c r="IY414" s="98"/>
      <c r="IZ414" s="98"/>
      <c r="JA414" s="98"/>
      <c r="JB414" s="98"/>
      <c r="JC414" s="98"/>
      <c r="JD414" s="98"/>
      <c r="JE414" s="98"/>
      <c r="JF414" s="98"/>
      <c r="JG414" s="98"/>
      <c r="JH414" s="98"/>
      <c r="JI414" s="98"/>
      <c r="JJ414" s="98"/>
      <c r="JK414" s="98"/>
      <c r="JL414" s="98"/>
      <c r="JM414" s="98"/>
      <c r="JN414" s="98"/>
      <c r="JO414" s="98"/>
      <c r="JP414" s="98"/>
      <c r="JQ414" s="98"/>
      <c r="JR414" s="98"/>
      <c r="JS414" s="98"/>
      <c r="JT414" s="98"/>
      <c r="JU414" s="98"/>
      <c r="JV414" s="98"/>
      <c r="JW414" s="98"/>
      <c r="JX414" s="98"/>
      <c r="JY414" s="98"/>
      <c r="JZ414" s="98"/>
      <c r="KA414" s="98"/>
      <c r="KB414" s="98"/>
      <c r="KC414" s="98"/>
      <c r="KD414" s="98"/>
      <c r="KE414" s="98"/>
      <c r="KF414" s="98"/>
      <c r="KG414" s="98"/>
      <c r="KH414" s="98"/>
      <c r="KI414" s="98"/>
      <c r="KJ414" s="98"/>
      <c r="KK414" s="98"/>
      <c r="KL414" s="98"/>
      <c r="KM414" s="98"/>
      <c r="KN414" s="98"/>
      <c r="KO414" s="98"/>
      <c r="KP414" s="98"/>
      <c r="KQ414" s="98"/>
      <c r="KR414" s="98"/>
      <c r="KS414" s="98"/>
      <c r="KT414" s="98"/>
      <c r="KU414" s="98"/>
      <c r="KV414" s="98"/>
      <c r="KW414" s="98"/>
      <c r="KX414" s="98"/>
      <c r="KY414" s="98"/>
      <c r="KZ414" s="98"/>
      <c r="LA414" s="98"/>
      <c r="LB414" s="98"/>
      <c r="LC414" s="98"/>
      <c r="LD414" s="98"/>
      <c r="LE414" s="98"/>
      <c r="LF414" s="98"/>
      <c r="LG414" s="98"/>
      <c r="LH414" s="98"/>
      <c r="LI414" s="98"/>
      <c r="LJ414" s="98"/>
      <c r="LK414" s="98"/>
      <c r="LL414" s="98"/>
      <c r="LM414" s="98"/>
      <c r="LN414" s="98"/>
      <c r="LO414" s="98"/>
      <c r="LP414" s="98"/>
      <c r="LQ414" s="98"/>
      <c r="LR414" s="98"/>
      <c r="LS414" s="98"/>
      <c r="LT414" s="98"/>
      <c r="LU414" s="98"/>
      <c r="LV414" s="98"/>
      <c r="LW414" s="98"/>
      <c r="LX414" s="98"/>
      <c r="LY414" s="98"/>
      <c r="LZ414" s="98"/>
      <c r="MA414" s="98"/>
      <c r="MB414" s="98"/>
      <c r="MC414" s="98"/>
      <c r="MD414" s="98"/>
      <c r="ME414" s="98"/>
      <c r="MF414" s="98"/>
      <c r="MG414" s="98"/>
      <c r="MH414" s="98"/>
      <c r="MI414" s="98"/>
      <c r="MJ414" s="98"/>
      <c r="MK414" s="98"/>
      <c r="ML414" s="98"/>
      <c r="MM414" s="98"/>
      <c r="MN414" s="98"/>
      <c r="MO414" s="98"/>
      <c r="MP414" s="98"/>
      <c r="MQ414" s="98"/>
      <c r="MR414" s="98"/>
      <c r="MS414" s="98"/>
      <c r="MT414" s="98"/>
      <c r="MU414" s="98"/>
      <c r="MV414" s="98"/>
      <c r="MW414" s="98"/>
    </row>
    <row r="415" spans="1:361" ht="230.25" outlineLevel="3" thickBot="1" x14ac:dyDescent="0.25">
      <c r="A415" s="10" t="s">
        <v>1122</v>
      </c>
      <c r="B415" s="140"/>
      <c r="C415" s="54"/>
      <c r="D415" s="140"/>
      <c r="E415" s="25" t="s">
        <v>1123</v>
      </c>
      <c r="F415" s="25" t="s">
        <v>1058</v>
      </c>
      <c r="G415" s="48" t="s">
        <v>191</v>
      </c>
      <c r="H415" s="26" t="s">
        <v>46</v>
      </c>
      <c r="I415" s="27">
        <v>3</v>
      </c>
      <c r="J415" s="28" t="s">
        <v>1124</v>
      </c>
      <c r="K415" s="29" t="s">
        <v>1059</v>
      </c>
      <c r="L415" s="30">
        <v>1</v>
      </c>
      <c r="M415" s="31">
        <f t="shared" si="56"/>
        <v>3</v>
      </c>
      <c r="N415" s="32" t="s">
        <v>39</v>
      </c>
      <c r="O415" s="60" t="s">
        <v>884</v>
      </c>
      <c r="P415" s="30">
        <v>3</v>
      </c>
      <c r="Q415" s="34">
        <f t="shared" si="55"/>
        <v>9</v>
      </c>
      <c r="R415" s="35"/>
      <c r="S415" s="35"/>
      <c r="T415" s="35"/>
      <c r="U415" s="36"/>
      <c r="V415" s="37"/>
      <c r="W415" s="38"/>
      <c r="X415" s="37"/>
      <c r="Y415" s="37"/>
      <c r="Z415" s="39"/>
      <c r="AA415" s="40"/>
      <c r="AB415" s="41"/>
      <c r="AD415" s="17">
        <f t="shared" si="53"/>
        <v>6015</v>
      </c>
      <c r="AE415" s="18">
        <f t="shared" si="57"/>
        <v>6015</v>
      </c>
      <c r="AF415" s="98"/>
      <c r="AG415" s="98"/>
      <c r="AH415" s="98"/>
      <c r="AI415" s="98"/>
      <c r="AJ415" s="98"/>
      <c r="AK415" s="98"/>
      <c r="AL415" s="98"/>
      <c r="AM415" s="98"/>
      <c r="AN415" s="98"/>
      <c r="AO415" s="98"/>
      <c r="AP415" s="98"/>
      <c r="AQ415" s="98"/>
      <c r="AR415" s="98"/>
      <c r="AS415" s="98"/>
      <c r="AT415" s="98"/>
      <c r="AU415" s="98"/>
      <c r="AV415" s="98"/>
      <c r="AW415" s="98"/>
      <c r="AX415" s="98"/>
      <c r="AY415" s="98"/>
      <c r="AZ415" s="98"/>
      <c r="BA415" s="98"/>
      <c r="BB415" s="98"/>
      <c r="BC415" s="98"/>
      <c r="BD415" s="98"/>
      <c r="BE415" s="98"/>
      <c r="BF415" s="98"/>
      <c r="BG415" s="98"/>
      <c r="BH415" s="98"/>
      <c r="BI415" s="98"/>
      <c r="BJ415" s="98"/>
      <c r="BK415" s="98"/>
      <c r="BL415" s="98"/>
      <c r="BM415" s="98"/>
      <c r="BN415" s="98"/>
      <c r="BO415" s="98"/>
      <c r="BP415" s="98"/>
      <c r="BQ415" s="98"/>
      <c r="BR415" s="98"/>
      <c r="BS415" s="98"/>
      <c r="BT415" s="98"/>
      <c r="BU415" s="98"/>
      <c r="BV415" s="98"/>
      <c r="BW415" s="98"/>
      <c r="BX415" s="98"/>
      <c r="BY415" s="98"/>
      <c r="BZ415" s="98"/>
      <c r="CA415" s="98"/>
      <c r="CB415" s="98"/>
      <c r="CC415" s="98"/>
      <c r="CD415" s="98"/>
      <c r="CE415" s="98"/>
      <c r="CF415" s="98"/>
      <c r="CG415" s="98"/>
      <c r="CH415" s="98"/>
      <c r="CI415" s="98"/>
      <c r="CJ415" s="98"/>
      <c r="CK415" s="98"/>
      <c r="CL415" s="98"/>
      <c r="CM415" s="98"/>
      <c r="CN415" s="98"/>
      <c r="CO415" s="98"/>
      <c r="CP415" s="98"/>
      <c r="CQ415" s="98"/>
      <c r="CR415" s="98"/>
      <c r="CS415" s="98"/>
      <c r="CT415" s="98"/>
      <c r="CU415" s="98"/>
      <c r="CV415" s="98"/>
      <c r="CW415" s="98"/>
      <c r="CX415" s="98"/>
      <c r="CY415" s="98"/>
      <c r="CZ415" s="98"/>
      <c r="DA415" s="98"/>
      <c r="DB415" s="98"/>
      <c r="DC415" s="98"/>
      <c r="DD415" s="98"/>
      <c r="DE415" s="98"/>
      <c r="DF415" s="98"/>
      <c r="DG415" s="98"/>
      <c r="DH415" s="98"/>
      <c r="DI415" s="98"/>
      <c r="DJ415" s="98"/>
      <c r="DK415" s="98"/>
      <c r="DL415" s="98"/>
      <c r="DM415" s="98"/>
      <c r="DN415" s="98"/>
      <c r="DO415" s="98"/>
      <c r="DP415" s="98"/>
      <c r="DQ415" s="98"/>
      <c r="DR415" s="98"/>
      <c r="DS415" s="98"/>
      <c r="DT415" s="98"/>
      <c r="DU415" s="98"/>
      <c r="DV415" s="98"/>
      <c r="DW415" s="98"/>
      <c r="DX415" s="98"/>
      <c r="DY415" s="98"/>
      <c r="DZ415" s="98"/>
      <c r="EA415" s="98"/>
      <c r="EB415" s="98"/>
      <c r="EC415" s="98"/>
      <c r="ED415" s="98"/>
      <c r="EE415" s="98"/>
      <c r="EF415" s="98"/>
      <c r="EG415" s="98"/>
      <c r="EH415" s="98"/>
      <c r="EI415" s="98"/>
      <c r="EJ415" s="98"/>
      <c r="EK415" s="98"/>
      <c r="EL415" s="98"/>
      <c r="EM415" s="98"/>
      <c r="EN415" s="98"/>
      <c r="EO415" s="98"/>
      <c r="EP415" s="98"/>
      <c r="EQ415" s="98"/>
      <c r="ER415" s="98"/>
      <c r="ES415" s="98"/>
      <c r="ET415" s="98"/>
      <c r="EU415" s="98"/>
      <c r="EV415" s="98"/>
      <c r="EW415" s="98"/>
      <c r="EX415" s="98"/>
      <c r="EY415" s="98"/>
      <c r="EZ415" s="98"/>
      <c r="FA415" s="98"/>
      <c r="FB415" s="98"/>
      <c r="FC415" s="98"/>
      <c r="FD415" s="98"/>
      <c r="FE415" s="98"/>
      <c r="FF415" s="98"/>
      <c r="FG415" s="98"/>
      <c r="FH415" s="98"/>
      <c r="FI415" s="98"/>
      <c r="FJ415" s="98"/>
      <c r="FK415" s="98"/>
      <c r="FL415" s="98"/>
      <c r="FM415" s="98"/>
      <c r="FN415" s="98"/>
      <c r="FO415" s="98"/>
      <c r="FP415" s="98"/>
      <c r="FQ415" s="98"/>
      <c r="FR415" s="98"/>
      <c r="FS415" s="98"/>
      <c r="FT415" s="98"/>
      <c r="FU415" s="98"/>
      <c r="FV415" s="98"/>
      <c r="FW415" s="98"/>
      <c r="FX415" s="98"/>
      <c r="FY415" s="98"/>
      <c r="FZ415" s="98"/>
      <c r="GA415" s="98"/>
      <c r="GB415" s="98"/>
      <c r="GC415" s="98"/>
      <c r="GD415" s="98"/>
      <c r="GE415" s="98"/>
      <c r="GF415" s="98"/>
      <c r="GG415" s="98"/>
      <c r="GH415" s="98"/>
      <c r="GI415" s="98"/>
      <c r="GJ415" s="98"/>
      <c r="GK415" s="98"/>
      <c r="GL415" s="98"/>
      <c r="GM415" s="98"/>
      <c r="GN415" s="98"/>
      <c r="GO415" s="98"/>
      <c r="GP415" s="98"/>
      <c r="GQ415" s="98"/>
      <c r="GR415" s="98"/>
      <c r="GS415" s="98"/>
      <c r="GT415" s="98"/>
      <c r="GU415" s="98"/>
      <c r="GV415" s="98"/>
      <c r="GW415" s="98"/>
      <c r="GX415" s="98"/>
      <c r="GY415" s="98"/>
      <c r="GZ415" s="98"/>
      <c r="HA415" s="98"/>
      <c r="HB415" s="98"/>
      <c r="HC415" s="98"/>
      <c r="HD415" s="98"/>
      <c r="HE415" s="98"/>
      <c r="HF415" s="98"/>
      <c r="HG415" s="98"/>
      <c r="HH415" s="98"/>
      <c r="HI415" s="98"/>
      <c r="HJ415" s="98"/>
      <c r="HK415" s="98"/>
      <c r="HL415" s="98"/>
      <c r="HM415" s="98"/>
      <c r="HN415" s="98"/>
      <c r="HO415" s="98"/>
      <c r="HP415" s="98"/>
      <c r="HQ415" s="98"/>
      <c r="HR415" s="98"/>
      <c r="HS415" s="98"/>
      <c r="HT415" s="98"/>
      <c r="HU415" s="98"/>
      <c r="HV415" s="98"/>
      <c r="HW415" s="98"/>
      <c r="HX415" s="98"/>
      <c r="HY415" s="98"/>
      <c r="HZ415" s="98"/>
      <c r="IA415" s="98"/>
      <c r="IB415" s="98"/>
      <c r="IC415" s="98"/>
      <c r="ID415" s="98"/>
      <c r="IE415" s="98"/>
      <c r="IF415" s="98"/>
      <c r="IG415" s="98"/>
      <c r="IH415" s="98"/>
      <c r="II415" s="98"/>
      <c r="IJ415" s="98"/>
      <c r="IK415" s="98"/>
      <c r="IL415" s="98"/>
      <c r="IM415" s="98"/>
      <c r="IN415" s="98"/>
      <c r="IO415" s="98"/>
      <c r="IP415" s="98"/>
      <c r="IQ415" s="98"/>
      <c r="IR415" s="98"/>
      <c r="IS415" s="98"/>
      <c r="IT415" s="98"/>
      <c r="IU415" s="98"/>
      <c r="IV415" s="98"/>
      <c r="IW415" s="98"/>
      <c r="IX415" s="98"/>
      <c r="IY415" s="98"/>
      <c r="IZ415" s="98"/>
      <c r="JA415" s="98"/>
      <c r="JB415" s="98"/>
      <c r="JC415" s="98"/>
      <c r="JD415" s="98"/>
      <c r="JE415" s="98"/>
      <c r="JF415" s="98"/>
      <c r="JG415" s="98"/>
      <c r="JH415" s="98"/>
      <c r="JI415" s="98"/>
      <c r="JJ415" s="98"/>
      <c r="JK415" s="98"/>
      <c r="JL415" s="98"/>
      <c r="JM415" s="98"/>
      <c r="JN415" s="98"/>
      <c r="JO415" s="98"/>
      <c r="JP415" s="98"/>
      <c r="JQ415" s="98"/>
      <c r="JR415" s="98"/>
      <c r="JS415" s="98"/>
      <c r="JT415" s="98"/>
      <c r="JU415" s="98"/>
      <c r="JV415" s="98"/>
      <c r="JW415" s="98"/>
      <c r="JX415" s="98"/>
      <c r="JY415" s="98"/>
      <c r="JZ415" s="98"/>
      <c r="KA415" s="98"/>
      <c r="KB415" s="98"/>
      <c r="KC415" s="98"/>
      <c r="KD415" s="98"/>
      <c r="KE415" s="98"/>
      <c r="KF415" s="98"/>
      <c r="KG415" s="98"/>
      <c r="KH415" s="98"/>
      <c r="KI415" s="98"/>
      <c r="KJ415" s="98"/>
      <c r="KK415" s="98"/>
      <c r="KL415" s="98"/>
      <c r="KM415" s="98"/>
      <c r="KN415" s="98"/>
      <c r="KO415" s="98"/>
      <c r="KP415" s="98"/>
      <c r="KQ415" s="98"/>
      <c r="KR415" s="98"/>
      <c r="KS415" s="98"/>
      <c r="KT415" s="98"/>
      <c r="KU415" s="98"/>
      <c r="KV415" s="98"/>
      <c r="KW415" s="98"/>
      <c r="KX415" s="98"/>
      <c r="KY415" s="98"/>
      <c r="KZ415" s="98"/>
      <c r="LA415" s="98"/>
      <c r="LB415" s="98"/>
      <c r="LC415" s="98"/>
      <c r="LD415" s="98"/>
      <c r="LE415" s="98"/>
      <c r="LF415" s="98"/>
      <c r="LG415" s="98"/>
      <c r="LH415" s="98"/>
      <c r="LI415" s="98"/>
      <c r="LJ415" s="98"/>
      <c r="LK415" s="98"/>
      <c r="LL415" s="98"/>
      <c r="LM415" s="98"/>
      <c r="LN415" s="98"/>
      <c r="LO415" s="98"/>
      <c r="LP415" s="98"/>
      <c r="LQ415" s="98"/>
      <c r="LR415" s="98"/>
      <c r="LS415" s="98"/>
      <c r="LT415" s="98"/>
      <c r="LU415" s="98"/>
      <c r="LV415" s="98"/>
      <c r="LW415" s="98"/>
      <c r="LX415" s="98"/>
      <c r="LY415" s="98"/>
      <c r="LZ415" s="98"/>
      <c r="MA415" s="98"/>
      <c r="MB415" s="98"/>
      <c r="MC415" s="98"/>
      <c r="MD415" s="98"/>
      <c r="ME415" s="98"/>
      <c r="MF415" s="98"/>
      <c r="MG415" s="98"/>
      <c r="MH415" s="98"/>
      <c r="MI415" s="98"/>
      <c r="MJ415" s="98"/>
      <c r="MK415" s="98"/>
      <c r="ML415" s="98"/>
      <c r="MM415" s="98"/>
      <c r="MN415" s="98"/>
      <c r="MO415" s="98"/>
      <c r="MP415" s="98"/>
      <c r="MQ415" s="98"/>
      <c r="MR415" s="98"/>
      <c r="MS415" s="98"/>
      <c r="MT415" s="98"/>
      <c r="MU415" s="98"/>
      <c r="MV415" s="98"/>
      <c r="MW415" s="98"/>
    </row>
    <row r="416" spans="1:361" ht="230.25" outlineLevel="3" thickBot="1" x14ac:dyDescent="0.25">
      <c r="A416" s="10" t="s">
        <v>1125</v>
      </c>
      <c r="B416" s="141"/>
      <c r="C416" s="55"/>
      <c r="D416" s="141"/>
      <c r="E416" s="25" t="s">
        <v>1126</v>
      </c>
      <c r="F416" s="25" t="s">
        <v>1058</v>
      </c>
      <c r="G416" s="48" t="s">
        <v>191</v>
      </c>
      <c r="H416" s="26" t="s">
        <v>46</v>
      </c>
      <c r="I416" s="27">
        <v>3</v>
      </c>
      <c r="J416" s="28" t="s">
        <v>1124</v>
      </c>
      <c r="K416" s="29" t="s">
        <v>1059</v>
      </c>
      <c r="L416" s="30">
        <v>1</v>
      </c>
      <c r="M416" s="31">
        <f t="shared" si="56"/>
        <v>3</v>
      </c>
      <c r="N416" s="32" t="s">
        <v>39</v>
      </c>
      <c r="O416" s="60" t="s">
        <v>884</v>
      </c>
      <c r="P416" s="30">
        <v>3</v>
      </c>
      <c r="Q416" s="34">
        <f t="shared" si="55"/>
        <v>9</v>
      </c>
      <c r="R416" s="35"/>
      <c r="S416" s="35"/>
      <c r="T416" s="35"/>
      <c r="U416" s="36"/>
      <c r="V416" s="37"/>
      <c r="W416" s="38"/>
      <c r="X416" s="37"/>
      <c r="Y416" s="37"/>
      <c r="Z416" s="39"/>
      <c r="AA416" s="40"/>
      <c r="AB416" s="41"/>
      <c r="AD416" s="17">
        <f t="shared" si="53"/>
        <v>-1584</v>
      </c>
      <c r="AE416" s="18">
        <f t="shared" si="57"/>
        <v>1584</v>
      </c>
      <c r="AF416" s="98"/>
      <c r="AG416" s="98"/>
      <c r="AH416" s="98"/>
      <c r="AI416" s="98"/>
      <c r="AJ416" s="98"/>
      <c r="AK416" s="98"/>
      <c r="AL416" s="98"/>
      <c r="AM416" s="98"/>
      <c r="AN416" s="98"/>
      <c r="AO416" s="98"/>
      <c r="AP416" s="98"/>
      <c r="AQ416" s="98"/>
      <c r="AR416" s="98"/>
      <c r="AS416" s="98"/>
      <c r="AT416" s="98"/>
      <c r="AU416" s="98"/>
      <c r="AV416" s="98"/>
      <c r="AW416" s="98"/>
      <c r="AX416" s="98"/>
      <c r="AY416" s="98"/>
      <c r="AZ416" s="98"/>
      <c r="BA416" s="98"/>
      <c r="BB416" s="98"/>
      <c r="BC416" s="98"/>
      <c r="BD416" s="98"/>
      <c r="BE416" s="98"/>
      <c r="BF416" s="98"/>
      <c r="BG416" s="98"/>
      <c r="BH416" s="98"/>
      <c r="BI416" s="98"/>
      <c r="BJ416" s="98"/>
      <c r="BK416" s="98"/>
      <c r="BL416" s="98"/>
      <c r="BM416" s="98"/>
      <c r="BN416" s="98"/>
      <c r="BO416" s="98"/>
      <c r="BP416" s="98"/>
      <c r="BQ416" s="98"/>
      <c r="BR416" s="98"/>
      <c r="BS416" s="98"/>
      <c r="BT416" s="98"/>
      <c r="BU416" s="98"/>
      <c r="BV416" s="98"/>
      <c r="BW416" s="98"/>
      <c r="BX416" s="98"/>
      <c r="BY416" s="98"/>
      <c r="BZ416" s="98"/>
      <c r="CA416" s="98"/>
      <c r="CB416" s="98"/>
      <c r="CC416" s="98"/>
      <c r="CD416" s="98"/>
      <c r="CE416" s="98"/>
      <c r="CF416" s="98"/>
      <c r="CG416" s="98"/>
      <c r="CH416" s="98"/>
      <c r="CI416" s="98"/>
      <c r="CJ416" s="98"/>
      <c r="CK416" s="98"/>
      <c r="CL416" s="98"/>
      <c r="CM416" s="98"/>
      <c r="CN416" s="98"/>
      <c r="CO416" s="98"/>
      <c r="CP416" s="98"/>
      <c r="CQ416" s="98"/>
      <c r="CR416" s="98"/>
      <c r="CS416" s="98"/>
      <c r="CT416" s="98"/>
      <c r="CU416" s="98"/>
      <c r="CV416" s="98"/>
      <c r="CW416" s="98"/>
      <c r="CX416" s="98"/>
      <c r="CY416" s="98"/>
      <c r="CZ416" s="98"/>
      <c r="DA416" s="98"/>
      <c r="DB416" s="98"/>
      <c r="DC416" s="98"/>
      <c r="DD416" s="98"/>
      <c r="DE416" s="98"/>
      <c r="DF416" s="98"/>
      <c r="DG416" s="98"/>
      <c r="DH416" s="98"/>
      <c r="DI416" s="98"/>
      <c r="DJ416" s="98"/>
      <c r="DK416" s="98"/>
      <c r="DL416" s="98"/>
      <c r="DM416" s="98"/>
      <c r="DN416" s="98"/>
      <c r="DO416" s="98"/>
      <c r="DP416" s="98"/>
      <c r="DQ416" s="98"/>
      <c r="DR416" s="98"/>
      <c r="DS416" s="98"/>
      <c r="DT416" s="98"/>
      <c r="DU416" s="98"/>
      <c r="DV416" s="98"/>
      <c r="DW416" s="98"/>
      <c r="DX416" s="98"/>
      <c r="DY416" s="98"/>
      <c r="DZ416" s="98"/>
      <c r="EA416" s="98"/>
      <c r="EB416" s="98"/>
      <c r="EC416" s="98"/>
      <c r="ED416" s="98"/>
      <c r="EE416" s="98"/>
      <c r="EF416" s="98"/>
      <c r="EG416" s="98"/>
      <c r="EH416" s="98"/>
      <c r="EI416" s="98"/>
      <c r="EJ416" s="98"/>
      <c r="EK416" s="98"/>
      <c r="EL416" s="98"/>
      <c r="EM416" s="98"/>
      <c r="EN416" s="98"/>
      <c r="EO416" s="98"/>
      <c r="EP416" s="98"/>
      <c r="EQ416" s="98"/>
      <c r="ER416" s="98"/>
      <c r="ES416" s="98"/>
      <c r="ET416" s="98"/>
      <c r="EU416" s="98"/>
      <c r="EV416" s="98"/>
      <c r="EW416" s="98"/>
      <c r="EX416" s="98"/>
      <c r="EY416" s="98"/>
      <c r="EZ416" s="98"/>
      <c r="FA416" s="98"/>
      <c r="FB416" s="98"/>
      <c r="FC416" s="98"/>
      <c r="FD416" s="98"/>
      <c r="FE416" s="98"/>
      <c r="FF416" s="98"/>
      <c r="FG416" s="98"/>
      <c r="FH416" s="98"/>
      <c r="FI416" s="98"/>
      <c r="FJ416" s="98"/>
      <c r="FK416" s="98"/>
      <c r="FL416" s="98"/>
      <c r="FM416" s="98"/>
      <c r="FN416" s="98"/>
      <c r="FO416" s="98"/>
      <c r="FP416" s="98"/>
      <c r="FQ416" s="98"/>
      <c r="FR416" s="98"/>
      <c r="FS416" s="98"/>
      <c r="FT416" s="98"/>
      <c r="FU416" s="98"/>
      <c r="FV416" s="98"/>
      <c r="FW416" s="98"/>
      <c r="FX416" s="98"/>
      <c r="FY416" s="98"/>
      <c r="FZ416" s="98"/>
      <c r="GA416" s="98"/>
      <c r="GB416" s="98"/>
      <c r="GC416" s="98"/>
      <c r="GD416" s="98"/>
      <c r="GE416" s="98"/>
      <c r="GF416" s="98"/>
      <c r="GG416" s="98"/>
      <c r="GH416" s="98"/>
      <c r="GI416" s="98"/>
      <c r="GJ416" s="98"/>
      <c r="GK416" s="98"/>
      <c r="GL416" s="98"/>
      <c r="GM416" s="98"/>
      <c r="GN416" s="98"/>
      <c r="GO416" s="98"/>
      <c r="GP416" s="98"/>
      <c r="GQ416" s="98"/>
      <c r="GR416" s="98"/>
      <c r="GS416" s="98"/>
      <c r="GT416" s="98"/>
      <c r="GU416" s="98"/>
      <c r="GV416" s="98"/>
      <c r="GW416" s="98"/>
      <c r="GX416" s="98"/>
      <c r="GY416" s="98"/>
      <c r="GZ416" s="98"/>
      <c r="HA416" s="98"/>
      <c r="HB416" s="98"/>
      <c r="HC416" s="98"/>
      <c r="HD416" s="98"/>
      <c r="HE416" s="98"/>
      <c r="HF416" s="98"/>
      <c r="HG416" s="98"/>
      <c r="HH416" s="98"/>
      <c r="HI416" s="98"/>
      <c r="HJ416" s="98"/>
      <c r="HK416" s="98"/>
      <c r="HL416" s="98"/>
      <c r="HM416" s="98"/>
      <c r="HN416" s="98"/>
      <c r="HO416" s="98"/>
      <c r="HP416" s="98"/>
      <c r="HQ416" s="98"/>
      <c r="HR416" s="98"/>
      <c r="HS416" s="98"/>
      <c r="HT416" s="98"/>
      <c r="HU416" s="98"/>
      <c r="HV416" s="98"/>
      <c r="HW416" s="98"/>
      <c r="HX416" s="98"/>
      <c r="HY416" s="98"/>
      <c r="HZ416" s="98"/>
      <c r="IA416" s="98"/>
      <c r="IB416" s="98"/>
      <c r="IC416" s="98"/>
      <c r="ID416" s="98"/>
      <c r="IE416" s="98"/>
      <c r="IF416" s="98"/>
      <c r="IG416" s="98"/>
      <c r="IH416" s="98"/>
      <c r="II416" s="98"/>
      <c r="IJ416" s="98"/>
      <c r="IK416" s="98"/>
      <c r="IL416" s="98"/>
      <c r="IM416" s="98"/>
      <c r="IN416" s="98"/>
      <c r="IO416" s="98"/>
      <c r="IP416" s="98"/>
      <c r="IQ416" s="98"/>
      <c r="IR416" s="98"/>
      <c r="IS416" s="98"/>
      <c r="IT416" s="98"/>
      <c r="IU416" s="98"/>
      <c r="IV416" s="98"/>
      <c r="IW416" s="98"/>
      <c r="IX416" s="98"/>
      <c r="IY416" s="98"/>
      <c r="IZ416" s="98"/>
      <c r="JA416" s="98"/>
      <c r="JB416" s="98"/>
      <c r="JC416" s="98"/>
      <c r="JD416" s="98"/>
      <c r="JE416" s="98"/>
      <c r="JF416" s="98"/>
      <c r="JG416" s="98"/>
      <c r="JH416" s="98"/>
      <c r="JI416" s="98"/>
      <c r="JJ416" s="98"/>
      <c r="JK416" s="98"/>
      <c r="JL416" s="98"/>
      <c r="JM416" s="98"/>
      <c r="JN416" s="98"/>
      <c r="JO416" s="98"/>
      <c r="JP416" s="98"/>
      <c r="JQ416" s="98"/>
      <c r="JR416" s="98"/>
      <c r="JS416" s="98"/>
      <c r="JT416" s="98"/>
      <c r="JU416" s="98"/>
      <c r="JV416" s="98"/>
      <c r="JW416" s="98"/>
      <c r="JX416" s="98"/>
      <c r="JY416" s="98"/>
      <c r="JZ416" s="98"/>
      <c r="KA416" s="98"/>
      <c r="KB416" s="98"/>
      <c r="KC416" s="98"/>
      <c r="KD416" s="98"/>
      <c r="KE416" s="98"/>
      <c r="KF416" s="98"/>
      <c r="KG416" s="98"/>
      <c r="KH416" s="98"/>
      <c r="KI416" s="98"/>
      <c r="KJ416" s="98"/>
      <c r="KK416" s="98"/>
      <c r="KL416" s="98"/>
      <c r="KM416" s="98"/>
      <c r="KN416" s="98"/>
      <c r="KO416" s="98"/>
      <c r="KP416" s="98"/>
      <c r="KQ416" s="98"/>
      <c r="KR416" s="98"/>
      <c r="KS416" s="98"/>
      <c r="KT416" s="98"/>
      <c r="KU416" s="98"/>
      <c r="KV416" s="98"/>
      <c r="KW416" s="98"/>
      <c r="KX416" s="98"/>
      <c r="KY416" s="98"/>
      <c r="KZ416" s="98"/>
      <c r="LA416" s="98"/>
      <c r="LB416" s="98"/>
      <c r="LC416" s="98"/>
      <c r="LD416" s="98"/>
      <c r="LE416" s="98"/>
      <c r="LF416" s="98"/>
      <c r="LG416" s="98"/>
      <c r="LH416" s="98"/>
      <c r="LI416" s="98"/>
      <c r="LJ416" s="98"/>
      <c r="LK416" s="98"/>
      <c r="LL416" s="98"/>
      <c r="LM416" s="98"/>
      <c r="LN416" s="98"/>
      <c r="LO416" s="98"/>
      <c r="LP416" s="98"/>
      <c r="LQ416" s="98"/>
      <c r="LR416" s="98"/>
      <c r="LS416" s="98"/>
      <c r="LT416" s="98"/>
      <c r="LU416" s="98"/>
      <c r="LV416" s="98"/>
      <c r="LW416" s="98"/>
      <c r="LX416" s="98"/>
      <c r="LY416" s="98"/>
      <c r="LZ416" s="98"/>
      <c r="MA416" s="98"/>
      <c r="MB416" s="98"/>
      <c r="MC416" s="98"/>
      <c r="MD416" s="98"/>
      <c r="ME416" s="98"/>
      <c r="MF416" s="98"/>
      <c r="MG416" s="98"/>
      <c r="MH416" s="98"/>
      <c r="MI416" s="98"/>
      <c r="MJ416" s="98"/>
      <c r="MK416" s="98"/>
      <c r="ML416" s="98"/>
      <c r="MM416" s="98"/>
      <c r="MN416" s="98"/>
      <c r="MO416" s="98"/>
      <c r="MP416" s="98"/>
      <c r="MQ416" s="98"/>
      <c r="MR416" s="98"/>
      <c r="MS416" s="98"/>
      <c r="MT416" s="98"/>
      <c r="MU416" s="98"/>
      <c r="MV416" s="98"/>
      <c r="MW416" s="98"/>
    </row>
    <row r="417" spans="1:615" ht="230.25" outlineLevel="3" thickBot="1" x14ac:dyDescent="0.25">
      <c r="A417" s="10" t="s">
        <v>1127</v>
      </c>
      <c r="B417" s="142" t="s">
        <v>1128</v>
      </c>
      <c r="C417" s="47" t="s">
        <v>1129</v>
      </c>
      <c r="D417" s="142" t="s">
        <v>1130</v>
      </c>
      <c r="E417" s="25" t="s">
        <v>1131</v>
      </c>
      <c r="F417" s="25" t="s">
        <v>1058</v>
      </c>
      <c r="G417" s="48" t="s">
        <v>191</v>
      </c>
      <c r="H417" s="26" t="s">
        <v>46</v>
      </c>
      <c r="I417" s="42">
        <v>3</v>
      </c>
      <c r="J417" s="28" t="s">
        <v>1132</v>
      </c>
      <c r="K417" s="29" t="s">
        <v>1059</v>
      </c>
      <c r="L417" s="30">
        <v>1</v>
      </c>
      <c r="M417" s="31">
        <f t="shared" si="56"/>
        <v>3</v>
      </c>
      <c r="N417" s="32" t="s">
        <v>39</v>
      </c>
      <c r="O417" s="60" t="s">
        <v>884</v>
      </c>
      <c r="P417" s="30">
        <v>3</v>
      </c>
      <c r="Q417" s="34">
        <f t="shared" si="55"/>
        <v>9</v>
      </c>
      <c r="R417" s="49"/>
      <c r="S417" s="49"/>
      <c r="T417" s="49"/>
      <c r="U417" s="50"/>
      <c r="V417" s="51"/>
      <c r="W417" s="52"/>
      <c r="X417" s="51"/>
      <c r="Y417" s="51"/>
      <c r="Z417" s="53"/>
      <c r="AA417" s="40"/>
      <c r="AB417" s="41"/>
      <c r="AD417" s="17">
        <f t="shared" si="53"/>
        <v>-1585</v>
      </c>
      <c r="AE417" s="18">
        <f t="shared" si="57"/>
        <v>1585</v>
      </c>
      <c r="AF417" s="98"/>
      <c r="AG417" s="98"/>
      <c r="AH417" s="98"/>
      <c r="AI417" s="98"/>
      <c r="AJ417" s="98"/>
      <c r="AK417" s="98"/>
      <c r="AL417" s="98"/>
      <c r="AM417" s="98"/>
      <c r="AN417" s="98"/>
      <c r="AO417" s="98"/>
      <c r="AP417" s="98"/>
      <c r="AQ417" s="98"/>
      <c r="AR417" s="98"/>
      <c r="AS417" s="98"/>
      <c r="AT417" s="98"/>
      <c r="AU417" s="98"/>
      <c r="AV417" s="98"/>
      <c r="AW417" s="98"/>
      <c r="AX417" s="98"/>
      <c r="AY417" s="98"/>
      <c r="AZ417" s="98"/>
      <c r="BA417" s="98"/>
      <c r="BB417" s="98"/>
      <c r="BC417" s="98"/>
      <c r="BD417" s="98"/>
      <c r="BE417" s="98"/>
      <c r="BF417" s="98"/>
      <c r="BG417" s="98"/>
      <c r="BH417" s="98"/>
      <c r="BI417" s="98"/>
      <c r="BJ417" s="98"/>
      <c r="BK417" s="98"/>
      <c r="BL417" s="98"/>
      <c r="BM417" s="98"/>
      <c r="BN417" s="98"/>
      <c r="BO417" s="98"/>
      <c r="BP417" s="98"/>
      <c r="BQ417" s="98"/>
      <c r="BR417" s="98"/>
      <c r="BS417" s="98"/>
      <c r="BT417" s="98"/>
      <c r="BU417" s="98"/>
      <c r="BV417" s="98"/>
      <c r="BW417" s="98"/>
      <c r="BX417" s="98"/>
      <c r="BY417" s="98"/>
      <c r="BZ417" s="98"/>
      <c r="CA417" s="98"/>
      <c r="CB417" s="98"/>
      <c r="CC417" s="98"/>
      <c r="CD417" s="98"/>
      <c r="CE417" s="98"/>
      <c r="CF417" s="98"/>
      <c r="CG417" s="98"/>
      <c r="CH417" s="98"/>
      <c r="CI417" s="98"/>
      <c r="CJ417" s="98"/>
      <c r="CK417" s="98"/>
      <c r="CL417" s="98"/>
      <c r="CM417" s="98"/>
      <c r="CN417" s="98"/>
      <c r="CO417" s="98"/>
      <c r="CP417" s="98"/>
      <c r="CQ417" s="98"/>
      <c r="CR417" s="98"/>
      <c r="CS417" s="98"/>
      <c r="CT417" s="98"/>
      <c r="CU417" s="98"/>
      <c r="CV417" s="98"/>
      <c r="CW417" s="98"/>
      <c r="CX417" s="98"/>
      <c r="CY417" s="98"/>
      <c r="CZ417" s="98"/>
      <c r="DA417" s="98"/>
      <c r="DB417" s="98"/>
      <c r="DC417" s="98"/>
      <c r="DD417" s="98"/>
      <c r="DE417" s="98"/>
      <c r="DF417" s="98"/>
      <c r="DG417" s="98"/>
      <c r="DH417" s="98"/>
      <c r="DI417" s="98"/>
      <c r="DJ417" s="98"/>
      <c r="DK417" s="98"/>
      <c r="DL417" s="98"/>
      <c r="DM417" s="98"/>
      <c r="DN417" s="98"/>
      <c r="DO417" s="98"/>
      <c r="DP417" s="98"/>
      <c r="DQ417" s="98"/>
      <c r="DR417" s="98"/>
      <c r="DS417" s="98"/>
      <c r="DT417" s="98"/>
      <c r="DU417" s="98"/>
      <c r="DV417" s="98"/>
      <c r="DW417" s="98"/>
      <c r="DX417" s="98"/>
      <c r="DY417" s="98"/>
      <c r="DZ417" s="98"/>
      <c r="EA417" s="98"/>
      <c r="EB417" s="98"/>
      <c r="EC417" s="98"/>
      <c r="ED417" s="98"/>
      <c r="EE417" s="98"/>
      <c r="EF417" s="98"/>
      <c r="EG417" s="98"/>
      <c r="EH417" s="98"/>
      <c r="EI417" s="98"/>
      <c r="EJ417" s="98"/>
      <c r="EK417" s="98"/>
      <c r="EL417" s="98"/>
      <c r="EM417" s="98"/>
      <c r="EN417" s="98"/>
      <c r="EO417" s="98"/>
      <c r="EP417" s="98"/>
      <c r="EQ417" s="98"/>
      <c r="ER417" s="98"/>
      <c r="ES417" s="98"/>
      <c r="ET417" s="98"/>
      <c r="EU417" s="98"/>
      <c r="EV417" s="98"/>
      <c r="EW417" s="98"/>
      <c r="EX417" s="98"/>
      <c r="EY417" s="98"/>
      <c r="EZ417" s="98"/>
      <c r="FA417" s="98"/>
      <c r="FB417" s="98"/>
      <c r="FC417" s="98"/>
      <c r="FD417" s="98"/>
      <c r="FE417" s="98"/>
      <c r="FF417" s="98"/>
      <c r="FG417" s="98"/>
      <c r="FH417" s="98"/>
      <c r="FI417" s="98"/>
      <c r="FJ417" s="98"/>
      <c r="FK417" s="98"/>
      <c r="FL417" s="98"/>
      <c r="FM417" s="98"/>
      <c r="FN417" s="98"/>
      <c r="FO417" s="98"/>
      <c r="FP417" s="98"/>
      <c r="FQ417" s="98"/>
      <c r="FR417" s="98"/>
      <c r="FS417" s="98"/>
      <c r="FT417" s="98"/>
      <c r="FU417" s="98"/>
      <c r="FV417" s="98"/>
      <c r="FW417" s="98"/>
      <c r="FX417" s="98"/>
      <c r="FY417" s="98"/>
      <c r="FZ417" s="98"/>
      <c r="GA417" s="98"/>
      <c r="GB417" s="98"/>
      <c r="GC417" s="98"/>
      <c r="GD417" s="98"/>
      <c r="GE417" s="98"/>
      <c r="GF417" s="98"/>
      <c r="GG417" s="98"/>
      <c r="GH417" s="98"/>
      <c r="GI417" s="98"/>
      <c r="GJ417" s="98"/>
      <c r="GK417" s="98"/>
      <c r="GL417" s="98"/>
      <c r="GM417" s="98"/>
      <c r="GN417" s="98"/>
      <c r="GO417" s="98"/>
      <c r="GP417" s="98"/>
      <c r="GQ417" s="98"/>
      <c r="GR417" s="98"/>
      <c r="GS417" s="98"/>
      <c r="GT417" s="98"/>
      <c r="GU417" s="98"/>
      <c r="GV417" s="98"/>
      <c r="GW417" s="98"/>
      <c r="GX417" s="98"/>
      <c r="GY417" s="98"/>
      <c r="GZ417" s="98"/>
      <c r="HA417" s="98"/>
      <c r="HB417" s="98"/>
      <c r="HC417" s="98"/>
      <c r="HD417" s="98"/>
      <c r="HE417" s="98"/>
      <c r="HF417" s="98"/>
      <c r="HG417" s="98"/>
      <c r="HH417" s="98"/>
      <c r="HI417" s="98"/>
      <c r="HJ417" s="98"/>
      <c r="HK417" s="98"/>
      <c r="HL417" s="98"/>
      <c r="HM417" s="98"/>
      <c r="HN417" s="98"/>
      <c r="HO417" s="98"/>
      <c r="HP417" s="98"/>
      <c r="HQ417" s="98"/>
      <c r="HR417" s="98"/>
      <c r="HS417" s="98"/>
      <c r="HT417" s="98"/>
      <c r="HU417" s="98"/>
      <c r="HV417" s="98"/>
      <c r="HW417" s="98"/>
      <c r="HX417" s="98"/>
      <c r="HY417" s="98"/>
      <c r="HZ417" s="98"/>
      <c r="IA417" s="98"/>
      <c r="IB417" s="98"/>
      <c r="IC417" s="98"/>
      <c r="ID417" s="98"/>
      <c r="IE417" s="98"/>
      <c r="IF417" s="98"/>
      <c r="IG417" s="98"/>
      <c r="IH417" s="98"/>
      <c r="II417" s="98"/>
      <c r="IJ417" s="98"/>
      <c r="IK417" s="98"/>
      <c r="IL417" s="98"/>
      <c r="IM417" s="98"/>
      <c r="IN417" s="98"/>
      <c r="IO417" s="98"/>
      <c r="IP417" s="98"/>
      <c r="IQ417" s="98"/>
      <c r="IR417" s="98"/>
      <c r="IS417" s="98"/>
      <c r="IT417" s="98"/>
      <c r="IU417" s="98"/>
      <c r="IV417" s="98"/>
      <c r="IW417" s="98"/>
      <c r="IX417" s="98"/>
      <c r="IY417" s="98"/>
      <c r="IZ417" s="98"/>
      <c r="JA417" s="98"/>
      <c r="JB417" s="98"/>
      <c r="JC417" s="98"/>
      <c r="JD417" s="98"/>
      <c r="JE417" s="98"/>
      <c r="JF417" s="98"/>
      <c r="JG417" s="98"/>
      <c r="JH417" s="98"/>
      <c r="JI417" s="98"/>
      <c r="JJ417" s="98"/>
      <c r="JK417" s="98"/>
      <c r="JL417" s="98"/>
      <c r="JM417" s="98"/>
      <c r="JN417" s="98"/>
      <c r="JO417" s="98"/>
      <c r="JP417" s="98"/>
      <c r="JQ417" s="98"/>
      <c r="JR417" s="98"/>
      <c r="JS417" s="98"/>
      <c r="JT417" s="98"/>
      <c r="JU417" s="98"/>
      <c r="JV417" s="98"/>
      <c r="JW417" s="98"/>
      <c r="JX417" s="98"/>
      <c r="JY417" s="98"/>
      <c r="JZ417" s="98"/>
      <c r="KA417" s="98"/>
      <c r="KB417" s="98"/>
      <c r="KC417" s="98"/>
      <c r="KD417" s="98"/>
      <c r="KE417" s="98"/>
      <c r="KF417" s="98"/>
      <c r="KG417" s="98"/>
      <c r="KH417" s="98"/>
      <c r="KI417" s="98"/>
      <c r="KJ417" s="98"/>
      <c r="KK417" s="98"/>
      <c r="KL417" s="98"/>
      <c r="KM417" s="98"/>
      <c r="KN417" s="98"/>
      <c r="KO417" s="98"/>
      <c r="KP417" s="98"/>
      <c r="KQ417" s="98"/>
      <c r="KR417" s="98"/>
      <c r="KS417" s="98"/>
      <c r="KT417" s="98"/>
      <c r="KU417" s="98"/>
      <c r="KV417" s="98"/>
      <c r="KW417" s="98"/>
      <c r="KX417" s="98"/>
      <c r="KY417" s="98"/>
      <c r="KZ417" s="98"/>
      <c r="LA417" s="98"/>
      <c r="LB417" s="98"/>
      <c r="LC417" s="98"/>
      <c r="LD417" s="98"/>
      <c r="LE417" s="98"/>
      <c r="LF417" s="98"/>
      <c r="LG417" s="98"/>
      <c r="LH417" s="98"/>
      <c r="LI417" s="98"/>
      <c r="LJ417" s="98"/>
      <c r="LK417" s="98"/>
      <c r="LL417" s="98"/>
      <c r="LM417" s="98"/>
      <c r="LN417" s="98"/>
      <c r="LO417" s="98"/>
      <c r="LP417" s="98"/>
      <c r="LQ417" s="98"/>
      <c r="LR417" s="98"/>
      <c r="LS417" s="98"/>
      <c r="LT417" s="98"/>
      <c r="LU417" s="98"/>
      <c r="LV417" s="98"/>
      <c r="LW417" s="98"/>
      <c r="LX417" s="98"/>
      <c r="LY417" s="98"/>
      <c r="LZ417" s="98"/>
      <c r="MA417" s="98"/>
      <c r="MB417" s="98"/>
      <c r="MC417" s="98"/>
      <c r="MD417" s="98"/>
      <c r="ME417" s="98"/>
      <c r="MF417" s="98"/>
      <c r="MG417" s="98"/>
      <c r="MH417" s="98"/>
      <c r="MI417" s="98"/>
      <c r="MJ417" s="98"/>
      <c r="MK417" s="98"/>
      <c r="ML417" s="98"/>
      <c r="MM417" s="98"/>
      <c r="MN417" s="98"/>
      <c r="MO417" s="98"/>
      <c r="MP417" s="98"/>
      <c r="MQ417" s="98"/>
      <c r="MR417" s="98"/>
      <c r="MS417" s="98"/>
      <c r="MT417" s="98"/>
      <c r="MU417" s="98"/>
      <c r="MV417" s="98"/>
      <c r="MW417" s="98"/>
    </row>
    <row r="418" spans="1:615" ht="230.25" outlineLevel="3" thickBot="1" x14ac:dyDescent="0.25">
      <c r="A418" s="10" t="s">
        <v>1133</v>
      </c>
      <c r="B418" s="141"/>
      <c r="C418" s="55"/>
      <c r="D418" s="141"/>
      <c r="E418" s="25" t="s">
        <v>1134</v>
      </c>
      <c r="F418" s="25" t="s">
        <v>1058</v>
      </c>
      <c r="G418" s="48" t="s">
        <v>191</v>
      </c>
      <c r="H418" s="26" t="s">
        <v>46</v>
      </c>
      <c r="I418" s="42">
        <v>3</v>
      </c>
      <c r="J418" s="28" t="s">
        <v>1132</v>
      </c>
      <c r="K418" s="29" t="s">
        <v>1059</v>
      </c>
      <c r="L418" s="30">
        <v>1</v>
      </c>
      <c r="M418" s="31">
        <f t="shared" si="56"/>
        <v>3</v>
      </c>
      <c r="N418" s="32" t="s">
        <v>39</v>
      </c>
      <c r="O418" s="60" t="s">
        <v>884</v>
      </c>
      <c r="P418" s="30">
        <v>3</v>
      </c>
      <c r="Q418" s="34">
        <f t="shared" si="55"/>
        <v>9</v>
      </c>
      <c r="R418" s="49"/>
      <c r="S418" s="49"/>
      <c r="T418" s="49"/>
      <c r="U418" s="50"/>
      <c r="V418" s="51"/>
      <c r="W418" s="52"/>
      <c r="X418" s="51"/>
      <c r="Y418" s="51"/>
      <c r="Z418" s="53"/>
      <c r="AA418" s="40"/>
      <c r="AB418" s="41"/>
      <c r="AD418" s="17">
        <f t="shared" si="53"/>
        <v>-1586</v>
      </c>
      <c r="AE418" s="18">
        <f t="shared" si="57"/>
        <v>1586</v>
      </c>
      <c r="AF418" s="98"/>
      <c r="AG418" s="98"/>
      <c r="AH418" s="98"/>
      <c r="AI418" s="98"/>
      <c r="AJ418" s="98"/>
      <c r="AK418" s="98"/>
      <c r="AL418" s="98"/>
      <c r="AM418" s="98"/>
      <c r="AN418" s="98"/>
      <c r="AO418" s="98"/>
      <c r="AP418" s="98"/>
      <c r="AQ418" s="98"/>
      <c r="AR418" s="98"/>
      <c r="AS418" s="98"/>
      <c r="AT418" s="98"/>
      <c r="AU418" s="98"/>
      <c r="AV418" s="98"/>
      <c r="AW418" s="98"/>
      <c r="AX418" s="98"/>
      <c r="AY418" s="98"/>
      <c r="AZ418" s="98"/>
      <c r="BA418" s="98"/>
      <c r="BB418" s="98"/>
      <c r="BC418" s="98"/>
      <c r="BD418" s="98"/>
      <c r="BE418" s="98"/>
      <c r="BF418" s="98"/>
      <c r="BG418" s="98"/>
      <c r="BH418" s="98"/>
      <c r="BI418" s="98"/>
      <c r="BJ418" s="98"/>
      <c r="BK418" s="98"/>
      <c r="BL418" s="98"/>
      <c r="BM418" s="98"/>
      <c r="BN418" s="98"/>
      <c r="BO418" s="98"/>
      <c r="BP418" s="98"/>
      <c r="BQ418" s="98"/>
      <c r="BR418" s="98"/>
      <c r="BS418" s="98"/>
      <c r="BT418" s="98"/>
      <c r="BU418" s="98"/>
      <c r="BV418" s="98"/>
      <c r="BW418" s="98"/>
      <c r="BX418" s="98"/>
      <c r="BY418" s="98"/>
      <c r="BZ418" s="98"/>
      <c r="CA418" s="98"/>
      <c r="CB418" s="98"/>
      <c r="CC418" s="98"/>
      <c r="CD418" s="98"/>
      <c r="CE418" s="98"/>
      <c r="CF418" s="98"/>
      <c r="CG418" s="98"/>
      <c r="CH418" s="98"/>
      <c r="CI418" s="98"/>
      <c r="CJ418" s="98"/>
      <c r="CK418" s="98"/>
      <c r="CL418" s="98"/>
      <c r="CM418" s="98"/>
      <c r="CN418" s="98"/>
      <c r="CO418" s="98"/>
      <c r="CP418" s="98"/>
      <c r="CQ418" s="98"/>
      <c r="CR418" s="98"/>
      <c r="CS418" s="98"/>
      <c r="CT418" s="98"/>
      <c r="CU418" s="98"/>
      <c r="CV418" s="98"/>
      <c r="CW418" s="98"/>
      <c r="CX418" s="98"/>
      <c r="CY418" s="98"/>
      <c r="CZ418" s="98"/>
      <c r="DA418" s="98"/>
      <c r="DB418" s="98"/>
      <c r="DC418" s="98"/>
      <c r="DD418" s="98"/>
      <c r="DE418" s="98"/>
      <c r="DF418" s="98"/>
      <c r="DG418" s="98"/>
      <c r="DH418" s="98"/>
      <c r="DI418" s="98"/>
      <c r="DJ418" s="98"/>
      <c r="DK418" s="98"/>
      <c r="DL418" s="98"/>
      <c r="DM418" s="98"/>
      <c r="DN418" s="98"/>
      <c r="DO418" s="98"/>
      <c r="DP418" s="98"/>
      <c r="DQ418" s="98"/>
      <c r="DR418" s="98"/>
      <c r="DS418" s="98"/>
      <c r="DT418" s="98"/>
      <c r="DU418" s="98"/>
      <c r="DV418" s="98"/>
      <c r="DW418" s="98"/>
      <c r="DX418" s="98"/>
      <c r="DY418" s="98"/>
      <c r="DZ418" s="98"/>
      <c r="EA418" s="98"/>
      <c r="EB418" s="98"/>
      <c r="EC418" s="98"/>
      <c r="ED418" s="98"/>
      <c r="EE418" s="98"/>
      <c r="EF418" s="98"/>
      <c r="EG418" s="98"/>
      <c r="EH418" s="98"/>
      <c r="EI418" s="98"/>
      <c r="EJ418" s="98"/>
      <c r="EK418" s="98"/>
      <c r="EL418" s="98"/>
      <c r="EM418" s="98"/>
      <c r="EN418" s="98"/>
      <c r="EO418" s="98"/>
      <c r="EP418" s="98"/>
      <c r="EQ418" s="98"/>
      <c r="ER418" s="98"/>
      <c r="ES418" s="98"/>
      <c r="ET418" s="98"/>
      <c r="EU418" s="98"/>
      <c r="EV418" s="98"/>
      <c r="EW418" s="98"/>
      <c r="EX418" s="98"/>
      <c r="EY418" s="98"/>
      <c r="EZ418" s="98"/>
      <c r="FA418" s="98"/>
      <c r="FB418" s="98"/>
      <c r="FC418" s="98"/>
      <c r="FD418" s="98"/>
      <c r="FE418" s="98"/>
      <c r="FF418" s="98"/>
      <c r="FG418" s="98"/>
      <c r="FH418" s="98"/>
      <c r="FI418" s="98"/>
      <c r="FJ418" s="98"/>
      <c r="FK418" s="98"/>
      <c r="FL418" s="98"/>
      <c r="FM418" s="98"/>
      <c r="FN418" s="98"/>
      <c r="FO418" s="98"/>
      <c r="FP418" s="98"/>
      <c r="FQ418" s="98"/>
      <c r="FR418" s="98"/>
      <c r="FS418" s="98"/>
      <c r="FT418" s="98"/>
      <c r="FU418" s="98"/>
      <c r="FV418" s="98"/>
      <c r="FW418" s="98"/>
      <c r="FX418" s="98"/>
      <c r="FY418" s="98"/>
      <c r="FZ418" s="98"/>
      <c r="GA418" s="98"/>
      <c r="GB418" s="98"/>
      <c r="GC418" s="98"/>
      <c r="GD418" s="98"/>
      <c r="GE418" s="98"/>
      <c r="GF418" s="98"/>
      <c r="GG418" s="98"/>
      <c r="GH418" s="98"/>
      <c r="GI418" s="98"/>
      <c r="GJ418" s="98"/>
      <c r="GK418" s="98"/>
      <c r="GL418" s="98"/>
      <c r="GM418" s="98"/>
      <c r="GN418" s="98"/>
      <c r="GO418" s="98"/>
      <c r="GP418" s="98"/>
      <c r="GQ418" s="98"/>
      <c r="GR418" s="98"/>
      <c r="GS418" s="98"/>
      <c r="GT418" s="98"/>
      <c r="GU418" s="98"/>
      <c r="GV418" s="98"/>
      <c r="GW418" s="98"/>
      <c r="GX418" s="98"/>
      <c r="GY418" s="98"/>
      <c r="GZ418" s="98"/>
      <c r="HA418" s="98"/>
      <c r="HB418" s="98"/>
      <c r="HC418" s="98"/>
      <c r="HD418" s="98"/>
      <c r="HE418" s="98"/>
      <c r="HF418" s="98"/>
      <c r="HG418" s="98"/>
      <c r="HH418" s="98"/>
      <c r="HI418" s="98"/>
      <c r="HJ418" s="98"/>
      <c r="HK418" s="98"/>
      <c r="HL418" s="98"/>
      <c r="HM418" s="98"/>
      <c r="HN418" s="98"/>
      <c r="HO418" s="98"/>
      <c r="HP418" s="98"/>
      <c r="HQ418" s="98"/>
      <c r="HR418" s="98"/>
      <c r="HS418" s="98"/>
      <c r="HT418" s="98"/>
      <c r="HU418" s="98"/>
      <c r="HV418" s="98"/>
      <c r="HW418" s="98"/>
      <c r="HX418" s="98"/>
      <c r="HY418" s="98"/>
      <c r="HZ418" s="98"/>
      <c r="IA418" s="98"/>
      <c r="IB418" s="98"/>
      <c r="IC418" s="98"/>
      <c r="ID418" s="98"/>
      <c r="IE418" s="98"/>
      <c r="IF418" s="98"/>
      <c r="IG418" s="98"/>
      <c r="IH418" s="98"/>
      <c r="II418" s="98"/>
      <c r="IJ418" s="98"/>
      <c r="IK418" s="98"/>
      <c r="IL418" s="98"/>
      <c r="IM418" s="98"/>
      <c r="IN418" s="98"/>
      <c r="IO418" s="98"/>
      <c r="IP418" s="98"/>
      <c r="IQ418" s="98"/>
      <c r="IR418" s="98"/>
      <c r="IS418" s="98"/>
      <c r="IT418" s="98"/>
      <c r="IU418" s="98"/>
      <c r="IV418" s="98"/>
      <c r="IW418" s="98"/>
      <c r="IX418" s="98"/>
      <c r="IY418" s="98"/>
      <c r="IZ418" s="98"/>
      <c r="JA418" s="98"/>
      <c r="JB418" s="98"/>
      <c r="JC418" s="98"/>
      <c r="JD418" s="98"/>
      <c r="JE418" s="98"/>
      <c r="JF418" s="98"/>
      <c r="JG418" s="98"/>
      <c r="JH418" s="98"/>
      <c r="JI418" s="98"/>
      <c r="JJ418" s="98"/>
      <c r="JK418" s="98"/>
      <c r="JL418" s="98"/>
      <c r="JM418" s="98"/>
      <c r="JN418" s="98"/>
      <c r="JO418" s="98"/>
      <c r="JP418" s="98"/>
      <c r="JQ418" s="98"/>
      <c r="JR418" s="98"/>
      <c r="JS418" s="98"/>
      <c r="JT418" s="98"/>
      <c r="JU418" s="98"/>
      <c r="JV418" s="98"/>
      <c r="JW418" s="98"/>
      <c r="JX418" s="98"/>
      <c r="JY418" s="98"/>
      <c r="JZ418" s="98"/>
      <c r="KA418" s="98"/>
      <c r="KB418" s="98"/>
      <c r="KC418" s="98"/>
      <c r="KD418" s="98"/>
      <c r="KE418" s="98"/>
      <c r="KF418" s="98"/>
      <c r="KG418" s="98"/>
      <c r="KH418" s="98"/>
      <c r="KI418" s="98"/>
      <c r="KJ418" s="98"/>
      <c r="KK418" s="98"/>
      <c r="KL418" s="98"/>
      <c r="KM418" s="98"/>
      <c r="KN418" s="98"/>
      <c r="KO418" s="98"/>
      <c r="KP418" s="98"/>
      <c r="KQ418" s="98"/>
      <c r="KR418" s="98"/>
      <c r="KS418" s="98"/>
      <c r="KT418" s="98"/>
      <c r="KU418" s="98"/>
      <c r="KV418" s="98"/>
      <c r="KW418" s="98"/>
      <c r="KX418" s="98"/>
      <c r="KY418" s="98"/>
      <c r="KZ418" s="98"/>
      <c r="LA418" s="98"/>
      <c r="LB418" s="98"/>
      <c r="LC418" s="98"/>
      <c r="LD418" s="98"/>
      <c r="LE418" s="98"/>
      <c r="LF418" s="98"/>
      <c r="LG418" s="98"/>
      <c r="LH418" s="98"/>
      <c r="LI418" s="98"/>
      <c r="LJ418" s="98"/>
      <c r="LK418" s="98"/>
      <c r="LL418" s="98"/>
      <c r="LM418" s="98"/>
      <c r="LN418" s="98"/>
      <c r="LO418" s="98"/>
      <c r="LP418" s="98"/>
      <c r="LQ418" s="98"/>
      <c r="LR418" s="98"/>
      <c r="LS418" s="98"/>
      <c r="LT418" s="98"/>
      <c r="LU418" s="98"/>
      <c r="LV418" s="98"/>
      <c r="LW418" s="98"/>
      <c r="LX418" s="98"/>
      <c r="LY418" s="98"/>
      <c r="LZ418" s="98"/>
      <c r="MA418" s="98"/>
      <c r="MB418" s="98"/>
      <c r="MC418" s="98"/>
      <c r="MD418" s="98"/>
      <c r="ME418" s="98"/>
      <c r="MF418" s="98"/>
      <c r="MG418" s="98"/>
      <c r="MH418" s="98"/>
      <c r="MI418" s="98"/>
      <c r="MJ418" s="98"/>
      <c r="MK418" s="98"/>
      <c r="ML418" s="98"/>
      <c r="MM418" s="98"/>
      <c r="MN418" s="98"/>
      <c r="MO418" s="98"/>
      <c r="MP418" s="98"/>
      <c r="MQ418" s="98"/>
      <c r="MR418" s="98"/>
      <c r="MS418" s="98"/>
      <c r="MT418" s="98"/>
      <c r="MU418" s="98"/>
      <c r="MV418" s="98"/>
      <c r="MW418" s="98"/>
    </row>
    <row r="419" spans="1:615" ht="230.25" outlineLevel="3" thickBot="1" x14ac:dyDescent="0.25">
      <c r="A419" s="10" t="s">
        <v>1135</v>
      </c>
      <c r="B419" s="162" t="s">
        <v>1136</v>
      </c>
      <c r="C419" s="47" t="s">
        <v>1137</v>
      </c>
      <c r="D419" s="162" t="s">
        <v>1138</v>
      </c>
      <c r="E419" s="25" t="s">
        <v>198</v>
      </c>
      <c r="F419" s="25" t="s">
        <v>1058</v>
      </c>
      <c r="G419" s="48" t="s">
        <v>191</v>
      </c>
      <c r="H419" s="26" t="s">
        <v>46</v>
      </c>
      <c r="I419" s="42">
        <v>2</v>
      </c>
      <c r="J419" s="28" t="s">
        <v>186</v>
      </c>
      <c r="K419" s="29" t="s">
        <v>1059</v>
      </c>
      <c r="L419" s="30">
        <v>2</v>
      </c>
      <c r="M419" s="31">
        <f t="shared" si="56"/>
        <v>4</v>
      </c>
      <c r="N419" s="32" t="s">
        <v>39</v>
      </c>
      <c r="O419" s="60" t="s">
        <v>884</v>
      </c>
      <c r="P419" s="30">
        <v>1</v>
      </c>
      <c r="Q419" s="34">
        <f t="shared" si="55"/>
        <v>4</v>
      </c>
      <c r="R419" s="49"/>
      <c r="S419" s="49"/>
      <c r="T419" s="49"/>
      <c r="U419" s="50"/>
      <c r="V419" s="51"/>
      <c r="W419" s="52"/>
      <c r="X419" s="51"/>
      <c r="Y419" s="51"/>
      <c r="Z419" s="53"/>
      <c r="AA419" s="40"/>
      <c r="AB419" s="41"/>
      <c r="AD419" s="17">
        <f t="shared" si="53"/>
        <v>-1589</v>
      </c>
      <c r="AE419" s="18">
        <f t="shared" si="57"/>
        <v>1589</v>
      </c>
    </row>
    <row r="420" spans="1:615" ht="230.25" outlineLevel="3" thickBot="1" x14ac:dyDescent="0.25">
      <c r="A420" s="10" t="s">
        <v>1139</v>
      </c>
      <c r="B420" s="163"/>
      <c r="C420" s="55"/>
      <c r="D420" s="163"/>
      <c r="E420" s="25" t="s">
        <v>204</v>
      </c>
      <c r="F420" s="25" t="s">
        <v>1058</v>
      </c>
      <c r="G420" s="48" t="s">
        <v>191</v>
      </c>
      <c r="H420" s="26" t="s">
        <v>46</v>
      </c>
      <c r="I420" s="42">
        <v>4</v>
      </c>
      <c r="J420" s="28" t="s">
        <v>192</v>
      </c>
      <c r="K420" s="29" t="s">
        <v>1059</v>
      </c>
      <c r="L420" s="30">
        <v>2</v>
      </c>
      <c r="M420" s="31">
        <f t="shared" si="56"/>
        <v>8</v>
      </c>
      <c r="N420" s="32" t="s">
        <v>39</v>
      </c>
      <c r="O420" s="60" t="s">
        <v>884</v>
      </c>
      <c r="P420" s="30">
        <v>3</v>
      </c>
      <c r="Q420" s="34">
        <f t="shared" si="55"/>
        <v>24</v>
      </c>
      <c r="R420" s="49"/>
      <c r="S420" s="49"/>
      <c r="T420" s="49"/>
      <c r="U420" s="50"/>
      <c r="V420" s="51"/>
      <c r="W420" s="52"/>
      <c r="X420" s="51"/>
      <c r="Y420" s="51"/>
      <c r="Z420" s="53"/>
      <c r="AA420" s="40"/>
      <c r="AB420" s="41"/>
      <c r="AD420" s="17">
        <f t="shared" si="53"/>
        <v>-1590</v>
      </c>
      <c r="AE420" s="18">
        <f t="shared" si="57"/>
        <v>1590</v>
      </c>
    </row>
    <row r="421" spans="1:615" ht="230.25" outlineLevel="3" thickBot="1" x14ac:dyDescent="0.25">
      <c r="A421" s="10" t="s">
        <v>1140</v>
      </c>
      <c r="B421" s="165" t="s">
        <v>1141</v>
      </c>
      <c r="C421" s="54" t="s">
        <v>1142</v>
      </c>
      <c r="D421" s="162" t="s">
        <v>1143</v>
      </c>
      <c r="E421" s="25" t="s">
        <v>1144</v>
      </c>
      <c r="F421" s="25" t="s">
        <v>1145</v>
      </c>
      <c r="G421" s="48" t="s">
        <v>499</v>
      </c>
      <c r="H421" s="26" t="s">
        <v>147</v>
      </c>
      <c r="I421" s="42">
        <v>1</v>
      </c>
      <c r="J421" s="28" t="s">
        <v>1124</v>
      </c>
      <c r="K421" s="29" t="s">
        <v>276</v>
      </c>
      <c r="L421" s="30">
        <v>1</v>
      </c>
      <c r="M421" s="31">
        <v>5</v>
      </c>
      <c r="N421" s="32" t="s">
        <v>39</v>
      </c>
      <c r="O421" s="53" t="s">
        <v>76</v>
      </c>
      <c r="P421" s="30">
        <v>5</v>
      </c>
      <c r="Q421" s="34">
        <f>M421*P421</f>
        <v>25</v>
      </c>
      <c r="R421" s="49"/>
      <c r="S421" s="49"/>
      <c r="T421" s="49"/>
      <c r="U421" s="50"/>
      <c r="V421" s="51"/>
      <c r="W421" s="52"/>
      <c r="X421" s="51"/>
      <c r="Y421" s="51"/>
      <c r="Z421" s="53"/>
      <c r="AA421" s="40"/>
      <c r="AB421" s="41"/>
      <c r="AD421" s="17">
        <f t="shared" si="53"/>
        <v>10578</v>
      </c>
      <c r="AE421" s="18"/>
    </row>
    <row r="422" spans="1:615" ht="230.25" outlineLevel="3" thickBot="1" x14ac:dyDescent="0.25">
      <c r="A422" s="43" t="s">
        <v>1146</v>
      </c>
      <c r="B422" s="166"/>
      <c r="C422" s="54"/>
      <c r="D422" s="163"/>
      <c r="E422" s="25" t="s">
        <v>1147</v>
      </c>
      <c r="F422" s="25" t="s">
        <v>1058</v>
      </c>
      <c r="G422" s="48" t="s">
        <v>191</v>
      </c>
      <c r="H422" s="26" t="s">
        <v>46</v>
      </c>
      <c r="I422" s="42">
        <v>4</v>
      </c>
      <c r="J422" s="28" t="s">
        <v>1124</v>
      </c>
      <c r="K422" s="29" t="s">
        <v>1059</v>
      </c>
      <c r="L422" s="30">
        <v>1</v>
      </c>
      <c r="M422" s="31">
        <f t="shared" si="56"/>
        <v>4</v>
      </c>
      <c r="N422" s="32" t="s">
        <v>39</v>
      </c>
      <c r="O422" s="60" t="s">
        <v>884</v>
      </c>
      <c r="P422" s="30">
        <v>3</v>
      </c>
      <c r="Q422" s="34">
        <f t="shared" si="55"/>
        <v>12</v>
      </c>
      <c r="R422" s="49"/>
      <c r="S422" s="49"/>
      <c r="T422" s="49"/>
      <c r="U422" s="50"/>
      <c r="V422" s="51"/>
      <c r="W422" s="52"/>
      <c r="X422" s="51"/>
      <c r="Y422" s="51"/>
      <c r="Z422" s="53"/>
      <c r="AA422" s="40"/>
      <c r="AB422" s="41"/>
      <c r="AD422" s="17">
        <f t="shared" si="53"/>
        <v>-1591</v>
      </c>
      <c r="AE422" s="18">
        <f t="shared" si="57"/>
        <v>1591</v>
      </c>
    </row>
    <row r="423" spans="1:615" ht="255.75" outlineLevel="3" thickBot="1" x14ac:dyDescent="0.25">
      <c r="A423" s="10" t="s">
        <v>1148</v>
      </c>
      <c r="B423" s="142" t="s">
        <v>1149</v>
      </c>
      <c r="C423" s="47" t="s">
        <v>1150</v>
      </c>
      <c r="D423" s="167" t="s">
        <v>1151</v>
      </c>
      <c r="E423" s="48" t="s">
        <v>81</v>
      </c>
      <c r="F423" s="48" t="s">
        <v>1152</v>
      </c>
      <c r="G423" s="48" t="s">
        <v>191</v>
      </c>
      <c r="H423" s="26" t="s">
        <v>46</v>
      </c>
      <c r="I423" s="42">
        <v>4</v>
      </c>
      <c r="J423" s="28" t="s">
        <v>84</v>
      </c>
      <c r="K423" s="29" t="s">
        <v>1059</v>
      </c>
      <c r="L423" s="30">
        <v>1</v>
      </c>
      <c r="M423" s="31">
        <f t="shared" si="56"/>
        <v>4</v>
      </c>
      <c r="N423" s="32" t="s">
        <v>39</v>
      </c>
      <c r="O423" s="60" t="s">
        <v>884</v>
      </c>
      <c r="P423" s="30">
        <v>3</v>
      </c>
      <c r="Q423" s="34">
        <f t="shared" si="55"/>
        <v>12</v>
      </c>
      <c r="R423" s="49"/>
      <c r="S423" s="49"/>
      <c r="T423" s="49"/>
      <c r="U423" s="50"/>
      <c r="V423" s="51"/>
      <c r="W423" s="52"/>
      <c r="X423" s="51"/>
      <c r="Y423" s="51"/>
      <c r="Z423" s="53"/>
      <c r="AA423" s="40"/>
      <c r="AB423" s="41"/>
      <c r="AD423" s="17">
        <f t="shared" si="53"/>
        <v>-1592</v>
      </c>
      <c r="AE423" s="18">
        <f t="shared" si="57"/>
        <v>1592</v>
      </c>
    </row>
    <row r="424" spans="1:615" ht="230.25" outlineLevel="3" thickBot="1" x14ac:dyDescent="0.25">
      <c r="A424" s="10" t="s">
        <v>1153</v>
      </c>
      <c r="B424" s="140"/>
      <c r="C424" s="54"/>
      <c r="D424" s="168"/>
      <c r="E424" s="48" t="s">
        <v>86</v>
      </c>
      <c r="F424" s="48" t="s">
        <v>1154</v>
      </c>
      <c r="G424" s="48" t="s">
        <v>191</v>
      </c>
      <c r="H424" s="26" t="s">
        <v>46</v>
      </c>
      <c r="I424" s="42">
        <v>4</v>
      </c>
      <c r="J424" s="28" t="s">
        <v>84</v>
      </c>
      <c r="K424" s="29" t="s">
        <v>1059</v>
      </c>
      <c r="L424" s="30">
        <v>1</v>
      </c>
      <c r="M424" s="31">
        <f t="shared" si="56"/>
        <v>4</v>
      </c>
      <c r="N424" s="32" t="s">
        <v>39</v>
      </c>
      <c r="O424" s="60" t="s">
        <v>884</v>
      </c>
      <c r="P424" s="30">
        <v>3</v>
      </c>
      <c r="Q424" s="34">
        <f t="shared" si="55"/>
        <v>12</v>
      </c>
      <c r="R424" s="49"/>
      <c r="S424" s="49"/>
      <c r="T424" s="49"/>
      <c r="U424" s="50"/>
      <c r="V424" s="51"/>
      <c r="W424" s="52"/>
      <c r="X424" s="51"/>
      <c r="Y424" s="51"/>
      <c r="Z424" s="53"/>
      <c r="AA424" s="40"/>
      <c r="AB424" s="41"/>
      <c r="AD424" s="17">
        <f t="shared" si="53"/>
        <v>6016</v>
      </c>
      <c r="AE424" s="18">
        <f t="shared" si="57"/>
        <v>6016</v>
      </c>
    </row>
    <row r="425" spans="1:615" ht="230.25" outlineLevel="3" thickBot="1" x14ac:dyDescent="0.25">
      <c r="A425" s="10" t="s">
        <v>1155</v>
      </c>
      <c r="B425" s="140"/>
      <c r="C425" s="54"/>
      <c r="D425" s="168"/>
      <c r="E425" s="48" t="s">
        <v>90</v>
      </c>
      <c r="F425" s="48" t="s">
        <v>1154</v>
      </c>
      <c r="G425" s="48" t="s">
        <v>191</v>
      </c>
      <c r="H425" s="26" t="s">
        <v>46</v>
      </c>
      <c r="I425" s="42">
        <v>4</v>
      </c>
      <c r="J425" s="28" t="s">
        <v>84</v>
      </c>
      <c r="K425" s="29" t="s">
        <v>1059</v>
      </c>
      <c r="L425" s="30">
        <v>1</v>
      </c>
      <c r="M425" s="31">
        <f t="shared" si="56"/>
        <v>4</v>
      </c>
      <c r="N425" s="32" t="s">
        <v>39</v>
      </c>
      <c r="O425" s="60" t="s">
        <v>884</v>
      </c>
      <c r="P425" s="30">
        <v>3</v>
      </c>
      <c r="Q425" s="34">
        <f t="shared" si="55"/>
        <v>12</v>
      </c>
      <c r="R425" s="49"/>
      <c r="S425" s="49"/>
      <c r="T425" s="49"/>
      <c r="U425" s="50"/>
      <c r="V425" s="51"/>
      <c r="W425" s="52"/>
      <c r="X425" s="51"/>
      <c r="Y425" s="51"/>
      <c r="Z425" s="53"/>
      <c r="AA425" s="40"/>
      <c r="AB425" s="41"/>
      <c r="AD425" s="17">
        <f t="shared" si="53"/>
        <v>6017</v>
      </c>
      <c r="AE425" s="18">
        <f t="shared" si="57"/>
        <v>6017</v>
      </c>
    </row>
    <row r="426" spans="1:615" ht="255.75" outlineLevel="3" thickBot="1" x14ac:dyDescent="0.25">
      <c r="A426" s="10" t="s">
        <v>1156</v>
      </c>
      <c r="B426" s="141"/>
      <c r="C426" s="55"/>
      <c r="D426" s="169"/>
      <c r="E426" s="48" t="s">
        <v>92</v>
      </c>
      <c r="F426" s="48" t="s">
        <v>1152</v>
      </c>
      <c r="G426" s="48" t="s">
        <v>191</v>
      </c>
      <c r="H426" s="26" t="s">
        <v>46</v>
      </c>
      <c r="I426" s="42">
        <v>4</v>
      </c>
      <c r="J426" s="28" t="s">
        <v>74</v>
      </c>
      <c r="K426" s="29" t="s">
        <v>1059</v>
      </c>
      <c r="L426" s="30">
        <v>1</v>
      </c>
      <c r="M426" s="31">
        <f t="shared" si="56"/>
        <v>4</v>
      </c>
      <c r="N426" s="32" t="s">
        <v>39</v>
      </c>
      <c r="O426" s="60" t="s">
        <v>884</v>
      </c>
      <c r="P426" s="30">
        <v>3</v>
      </c>
      <c r="Q426" s="34">
        <f t="shared" si="55"/>
        <v>12</v>
      </c>
      <c r="R426" s="49"/>
      <c r="S426" s="49"/>
      <c r="T426" s="49"/>
      <c r="U426" s="50"/>
      <c r="V426" s="51"/>
      <c r="W426" s="52"/>
      <c r="X426" s="51"/>
      <c r="Y426" s="51"/>
      <c r="Z426" s="53"/>
      <c r="AA426" s="40"/>
      <c r="AB426" s="41"/>
      <c r="AD426" s="17">
        <f t="shared" si="53"/>
        <v>-1593</v>
      </c>
      <c r="AE426" s="18">
        <f t="shared" si="57"/>
        <v>1593</v>
      </c>
    </row>
    <row r="427" spans="1:615" ht="230.25" outlineLevel="3" thickBot="1" x14ac:dyDescent="0.25">
      <c r="A427" s="61" t="s">
        <v>1157</v>
      </c>
      <c r="B427" s="150" t="s">
        <v>1158</v>
      </c>
      <c r="C427" s="158" t="s">
        <v>1159</v>
      </c>
      <c r="D427" s="147" t="s">
        <v>1160</v>
      </c>
      <c r="E427" s="25" t="s">
        <v>67</v>
      </c>
      <c r="F427" s="25" t="s">
        <v>1161</v>
      </c>
      <c r="G427" s="48" t="s">
        <v>1162</v>
      </c>
      <c r="H427" s="26" t="s">
        <v>61</v>
      </c>
      <c r="I427" s="42">
        <v>1</v>
      </c>
      <c r="J427" s="28" t="s">
        <v>74</v>
      </c>
      <c r="K427" s="29" t="s">
        <v>75</v>
      </c>
      <c r="L427" s="30">
        <v>1</v>
      </c>
      <c r="M427" s="31">
        <f t="shared" si="56"/>
        <v>1</v>
      </c>
      <c r="N427" s="32" t="s">
        <v>39</v>
      </c>
      <c r="O427" s="53" t="s">
        <v>76</v>
      </c>
      <c r="P427" s="30">
        <v>5</v>
      </c>
      <c r="Q427" s="34">
        <f t="shared" si="55"/>
        <v>5</v>
      </c>
      <c r="R427" s="49"/>
      <c r="S427" s="49"/>
      <c r="T427" s="49"/>
      <c r="U427" s="50"/>
      <c r="V427" s="51"/>
      <c r="W427" s="52"/>
      <c r="X427" s="51"/>
      <c r="Y427" s="51"/>
      <c r="Z427" s="53"/>
      <c r="AA427" s="40"/>
      <c r="AB427" s="41"/>
      <c r="AD427" s="17">
        <f t="shared" si="53"/>
        <v>10463</v>
      </c>
      <c r="AE427" s="18"/>
    </row>
    <row r="428" spans="1:615" ht="230.25" outlineLevel="3" thickBot="1" x14ac:dyDescent="0.25">
      <c r="A428" s="61" t="s">
        <v>1163</v>
      </c>
      <c r="B428" s="151"/>
      <c r="C428" s="159"/>
      <c r="D428" s="148"/>
      <c r="E428" s="25" t="s">
        <v>71</v>
      </c>
      <c r="F428" s="87" t="s">
        <v>1164</v>
      </c>
      <c r="G428" s="48" t="s">
        <v>1162</v>
      </c>
      <c r="H428" s="26" t="s">
        <v>61</v>
      </c>
      <c r="I428" s="42">
        <v>1</v>
      </c>
      <c r="J428" s="28" t="s">
        <v>74</v>
      </c>
      <c r="K428" s="29" t="s">
        <v>75</v>
      </c>
      <c r="L428" s="30">
        <v>1</v>
      </c>
      <c r="M428" s="31">
        <f t="shared" si="56"/>
        <v>1</v>
      </c>
      <c r="N428" s="32" t="s">
        <v>39</v>
      </c>
      <c r="O428" s="53" t="s">
        <v>76</v>
      </c>
      <c r="P428" s="30">
        <v>5</v>
      </c>
      <c r="Q428" s="34">
        <f t="shared" si="55"/>
        <v>5</v>
      </c>
      <c r="R428" s="49"/>
      <c r="S428" s="49"/>
      <c r="T428" s="49"/>
      <c r="U428" s="50"/>
      <c r="V428" s="51"/>
      <c r="W428" s="52"/>
      <c r="X428" s="51"/>
      <c r="Y428" s="51"/>
      <c r="Z428" s="53"/>
      <c r="AA428" s="40"/>
      <c r="AB428" s="41"/>
      <c r="AD428" s="17">
        <f t="shared" si="53"/>
        <v>10464</v>
      </c>
      <c r="AE428" s="18"/>
    </row>
    <row r="429" spans="1:615" ht="230.25" outlineLevel="3" thickBot="1" x14ac:dyDescent="0.25">
      <c r="A429" s="61" t="s">
        <v>1165</v>
      </c>
      <c r="B429" s="150" t="s">
        <v>1166</v>
      </c>
      <c r="C429" s="152" t="s">
        <v>1167</v>
      </c>
      <c r="D429" s="147" t="s">
        <v>1168</v>
      </c>
      <c r="E429" s="87" t="s">
        <v>1169</v>
      </c>
      <c r="F429" s="25" t="s">
        <v>1161</v>
      </c>
      <c r="G429" s="48" t="s">
        <v>1162</v>
      </c>
      <c r="H429" s="26" t="s">
        <v>61</v>
      </c>
      <c r="I429" s="42">
        <v>1</v>
      </c>
      <c r="J429" s="28" t="s">
        <v>74</v>
      </c>
      <c r="K429" s="29" t="s">
        <v>75</v>
      </c>
      <c r="L429" s="30">
        <v>1</v>
      </c>
      <c r="M429" s="31">
        <f t="shared" si="56"/>
        <v>1</v>
      </c>
      <c r="N429" s="32" t="s">
        <v>39</v>
      </c>
      <c r="O429" s="53" t="s">
        <v>76</v>
      </c>
      <c r="P429" s="30">
        <v>5</v>
      </c>
      <c r="Q429" s="34">
        <f t="shared" si="55"/>
        <v>5</v>
      </c>
      <c r="R429" s="49"/>
      <c r="S429" s="49"/>
      <c r="T429" s="49"/>
      <c r="U429" s="50"/>
      <c r="V429" s="51"/>
      <c r="W429" s="52"/>
      <c r="X429" s="51"/>
      <c r="Y429" s="51"/>
      <c r="Z429" s="53"/>
      <c r="AA429" s="40"/>
      <c r="AB429" s="41"/>
      <c r="AD429" s="17">
        <f t="shared" si="53"/>
        <v>10465</v>
      </c>
      <c r="AE429" s="18"/>
    </row>
    <row r="430" spans="1:615" ht="230.25" outlineLevel="3" thickBot="1" x14ac:dyDescent="0.25">
      <c r="A430" s="61" t="s">
        <v>1170</v>
      </c>
      <c r="B430" s="151"/>
      <c r="C430" s="153"/>
      <c r="D430" s="148"/>
      <c r="E430" s="87" t="s">
        <v>1171</v>
      </c>
      <c r="F430" s="25" t="s">
        <v>1161</v>
      </c>
      <c r="G430" s="48" t="s">
        <v>1162</v>
      </c>
      <c r="H430" s="26" t="s">
        <v>61</v>
      </c>
      <c r="I430" s="42">
        <v>1</v>
      </c>
      <c r="J430" s="28" t="s">
        <v>74</v>
      </c>
      <c r="K430" s="29" t="s">
        <v>75</v>
      </c>
      <c r="L430" s="30">
        <v>1</v>
      </c>
      <c r="M430" s="31">
        <f t="shared" si="56"/>
        <v>1</v>
      </c>
      <c r="N430" s="32" t="s">
        <v>39</v>
      </c>
      <c r="O430" s="53" t="s">
        <v>76</v>
      </c>
      <c r="P430" s="30">
        <v>5</v>
      </c>
      <c r="Q430" s="34">
        <f t="shared" si="55"/>
        <v>5</v>
      </c>
      <c r="R430" s="49"/>
      <c r="S430" s="49"/>
      <c r="T430" s="49"/>
      <c r="U430" s="50"/>
      <c r="V430" s="51"/>
      <c r="W430" s="52"/>
      <c r="X430" s="51"/>
      <c r="Y430" s="51"/>
      <c r="Z430" s="53"/>
      <c r="AA430" s="40"/>
      <c r="AB430" s="41"/>
      <c r="AD430" s="17">
        <f t="shared" si="53"/>
        <v>10466</v>
      </c>
      <c r="AE430" s="18"/>
    </row>
    <row r="431" spans="1:615" ht="230.25" outlineLevel="3" thickBot="1" x14ac:dyDescent="0.25">
      <c r="A431" s="10" t="s">
        <v>1172</v>
      </c>
      <c r="B431" s="162" t="s">
        <v>1173</v>
      </c>
      <c r="C431" s="47" t="s">
        <v>1174</v>
      </c>
      <c r="D431" s="162" t="s">
        <v>1175</v>
      </c>
      <c r="E431" s="25" t="s">
        <v>67</v>
      </c>
      <c r="F431" s="25" t="s">
        <v>1080</v>
      </c>
      <c r="G431" s="48" t="s">
        <v>275</v>
      </c>
      <c r="H431" s="26" t="s">
        <v>61</v>
      </c>
      <c r="I431" s="42">
        <v>1</v>
      </c>
      <c r="J431" s="28" t="s">
        <v>84</v>
      </c>
      <c r="K431" s="29" t="s">
        <v>75</v>
      </c>
      <c r="L431" s="30">
        <v>1</v>
      </c>
      <c r="M431" s="31">
        <f t="shared" si="56"/>
        <v>1</v>
      </c>
      <c r="N431" s="32" t="s">
        <v>39</v>
      </c>
      <c r="O431" s="33" t="s">
        <v>76</v>
      </c>
      <c r="P431" s="30">
        <v>5</v>
      </c>
      <c r="Q431" s="34">
        <f t="shared" si="55"/>
        <v>5</v>
      </c>
      <c r="R431" s="49"/>
      <c r="S431" s="49"/>
      <c r="T431" s="49"/>
      <c r="U431" s="50"/>
      <c r="V431" s="51"/>
      <c r="W431" s="52"/>
      <c r="X431" s="51"/>
      <c r="Y431" s="51"/>
      <c r="Z431" s="53"/>
      <c r="AA431" s="40"/>
      <c r="AB431" s="41"/>
      <c r="AD431" s="17">
        <f t="shared" si="53"/>
        <v>-4824</v>
      </c>
      <c r="AE431" s="18">
        <f t="shared" si="57"/>
        <v>4824</v>
      </c>
      <c r="HR431" s="98"/>
      <c r="HS431" s="98"/>
      <c r="HT431" s="98"/>
      <c r="HU431" s="98"/>
      <c r="HV431" s="98"/>
      <c r="HW431" s="98"/>
      <c r="HX431" s="98"/>
      <c r="HY431" s="98"/>
      <c r="HZ431" s="98"/>
      <c r="IA431" s="98"/>
      <c r="IB431" s="98"/>
      <c r="IC431" s="98"/>
      <c r="ID431" s="98"/>
      <c r="IE431" s="98"/>
      <c r="IF431" s="98"/>
      <c r="IG431" s="98"/>
      <c r="IH431" s="98"/>
      <c r="II431" s="98"/>
      <c r="IJ431" s="98"/>
      <c r="IK431" s="98"/>
      <c r="IL431" s="98"/>
      <c r="IM431" s="98"/>
      <c r="IN431" s="98"/>
      <c r="IO431" s="98"/>
      <c r="IP431" s="98"/>
      <c r="IQ431" s="98"/>
      <c r="IR431" s="98"/>
      <c r="IS431" s="98"/>
      <c r="IT431" s="98"/>
      <c r="IU431" s="98"/>
      <c r="IV431" s="98"/>
      <c r="IW431" s="98"/>
      <c r="IX431" s="98"/>
      <c r="IY431" s="98"/>
      <c r="IZ431" s="98"/>
      <c r="JA431" s="98"/>
      <c r="JB431" s="98"/>
      <c r="JC431" s="98"/>
      <c r="JD431" s="98"/>
      <c r="JE431" s="98"/>
      <c r="JF431" s="98"/>
      <c r="JG431" s="98"/>
      <c r="JH431" s="98"/>
      <c r="JI431" s="98"/>
      <c r="JJ431" s="98"/>
      <c r="JK431" s="98"/>
      <c r="JL431" s="98"/>
      <c r="JM431" s="98"/>
      <c r="JN431" s="98"/>
      <c r="JO431" s="98"/>
      <c r="JP431" s="98"/>
      <c r="JQ431" s="98"/>
      <c r="JR431" s="98"/>
      <c r="JS431" s="98"/>
      <c r="JT431" s="98"/>
      <c r="JU431" s="98"/>
      <c r="JV431" s="98"/>
      <c r="JW431" s="98"/>
      <c r="JX431" s="98"/>
      <c r="JY431" s="98"/>
      <c r="JZ431" s="98"/>
      <c r="KA431" s="98"/>
      <c r="KB431" s="98"/>
      <c r="KC431" s="98"/>
      <c r="KD431" s="98"/>
      <c r="KE431" s="98"/>
      <c r="KF431" s="98"/>
      <c r="KG431" s="98"/>
      <c r="KH431" s="98"/>
      <c r="KI431" s="98"/>
      <c r="KJ431" s="98"/>
      <c r="KK431" s="98"/>
      <c r="KL431" s="98"/>
      <c r="KM431" s="98"/>
      <c r="KN431" s="98"/>
      <c r="KO431" s="98"/>
      <c r="KP431" s="98"/>
      <c r="KQ431" s="98"/>
      <c r="KR431" s="98"/>
      <c r="KS431" s="98"/>
      <c r="KT431" s="98"/>
      <c r="KU431" s="98"/>
      <c r="KV431" s="98"/>
      <c r="KW431" s="98"/>
      <c r="KX431" s="98"/>
      <c r="KY431" s="98"/>
      <c r="KZ431" s="98"/>
      <c r="LA431" s="98"/>
      <c r="LB431" s="98"/>
      <c r="LC431" s="98"/>
      <c r="LD431" s="98"/>
      <c r="LE431" s="98"/>
      <c r="LF431" s="98"/>
      <c r="LG431" s="98"/>
      <c r="LH431" s="98"/>
      <c r="LI431" s="98"/>
      <c r="LJ431" s="98"/>
      <c r="LK431" s="98"/>
      <c r="LL431" s="98"/>
      <c r="LM431" s="98"/>
      <c r="LN431" s="98"/>
      <c r="LO431" s="98"/>
      <c r="LP431" s="98"/>
      <c r="LQ431" s="98"/>
      <c r="LR431" s="98"/>
      <c r="LS431" s="98"/>
      <c r="LT431" s="98"/>
      <c r="LU431" s="98"/>
      <c r="LV431" s="98"/>
      <c r="LW431" s="98"/>
      <c r="LX431" s="98"/>
      <c r="LY431" s="98"/>
      <c r="LZ431" s="98"/>
      <c r="MA431" s="98"/>
      <c r="MB431" s="98"/>
      <c r="MC431" s="98"/>
      <c r="MD431" s="98"/>
      <c r="ME431" s="98"/>
      <c r="MF431" s="98"/>
      <c r="MG431" s="98"/>
      <c r="MH431" s="98"/>
      <c r="MI431" s="98"/>
      <c r="MJ431" s="98"/>
      <c r="MK431" s="98"/>
      <c r="ML431" s="98"/>
      <c r="MM431" s="98"/>
      <c r="MN431" s="98"/>
      <c r="MO431" s="98"/>
      <c r="MP431" s="98"/>
      <c r="MQ431" s="98"/>
      <c r="MR431" s="98"/>
      <c r="MS431" s="98"/>
      <c r="MT431" s="98"/>
      <c r="MU431" s="98"/>
      <c r="MV431" s="98"/>
      <c r="MW431" s="98"/>
      <c r="MX431" s="98"/>
      <c r="MY431" s="98"/>
      <c r="MZ431" s="98"/>
      <c r="NA431" s="98"/>
      <c r="NB431" s="98"/>
      <c r="NC431" s="98"/>
      <c r="ND431" s="98"/>
      <c r="NE431" s="98"/>
      <c r="NF431" s="98"/>
      <c r="NG431" s="98"/>
      <c r="NH431" s="98"/>
      <c r="NI431" s="98"/>
      <c r="NJ431" s="98"/>
      <c r="NK431" s="98"/>
      <c r="NL431" s="98"/>
      <c r="NM431" s="98"/>
      <c r="NN431" s="98"/>
      <c r="NO431" s="98"/>
      <c r="NP431" s="98"/>
      <c r="NQ431" s="98"/>
      <c r="NR431" s="98"/>
      <c r="NS431" s="98"/>
      <c r="NT431" s="98"/>
      <c r="NU431" s="98"/>
      <c r="NV431" s="98"/>
      <c r="NW431" s="98"/>
      <c r="NX431" s="98"/>
      <c r="NY431" s="98"/>
      <c r="NZ431" s="98"/>
      <c r="OA431" s="98"/>
      <c r="OB431" s="98"/>
      <c r="OC431" s="98"/>
      <c r="OD431" s="98"/>
      <c r="OE431" s="98"/>
      <c r="OF431" s="98"/>
      <c r="OG431" s="98"/>
      <c r="OH431" s="98"/>
      <c r="OI431" s="98"/>
      <c r="OJ431" s="98"/>
      <c r="OK431" s="98"/>
      <c r="OL431" s="98"/>
      <c r="OM431" s="98"/>
      <c r="ON431" s="98"/>
      <c r="OO431" s="98"/>
      <c r="OP431" s="98"/>
      <c r="OQ431" s="98"/>
      <c r="OR431" s="98"/>
      <c r="OS431" s="98"/>
      <c r="OT431" s="98"/>
      <c r="OU431" s="98"/>
      <c r="OV431" s="98"/>
      <c r="OW431" s="98"/>
      <c r="OX431" s="98"/>
      <c r="OY431" s="98"/>
      <c r="OZ431" s="98"/>
      <c r="PA431" s="98"/>
      <c r="PB431" s="98"/>
      <c r="PC431" s="98"/>
      <c r="PD431" s="98"/>
      <c r="PE431" s="98"/>
      <c r="PF431" s="98"/>
      <c r="PG431" s="98"/>
      <c r="PH431" s="98"/>
      <c r="PI431" s="98"/>
      <c r="PJ431" s="98"/>
      <c r="PK431" s="98"/>
      <c r="PL431" s="98"/>
      <c r="PM431" s="98"/>
      <c r="PN431" s="98"/>
      <c r="PO431" s="98"/>
      <c r="PP431" s="98"/>
      <c r="PQ431" s="98"/>
      <c r="PR431" s="98"/>
      <c r="PS431" s="98"/>
      <c r="PT431" s="98"/>
      <c r="PU431" s="98"/>
      <c r="PV431" s="98"/>
      <c r="PW431" s="98"/>
      <c r="PX431" s="98"/>
      <c r="PY431" s="98"/>
      <c r="PZ431" s="98"/>
      <c r="QA431" s="98"/>
      <c r="QB431" s="98"/>
      <c r="QC431" s="98"/>
      <c r="QD431" s="98"/>
      <c r="QE431" s="98"/>
      <c r="QF431" s="98"/>
      <c r="QG431" s="98"/>
      <c r="QH431" s="98"/>
      <c r="QI431" s="98"/>
      <c r="QJ431" s="98"/>
      <c r="QK431" s="98"/>
      <c r="QL431" s="98"/>
      <c r="QM431" s="98"/>
      <c r="QN431" s="98"/>
      <c r="QO431" s="98"/>
      <c r="QP431" s="98"/>
      <c r="QQ431" s="98"/>
      <c r="QR431" s="98"/>
      <c r="QS431" s="98"/>
      <c r="QT431" s="98"/>
      <c r="QU431" s="98"/>
      <c r="QV431" s="98"/>
      <c r="QW431" s="98"/>
      <c r="QX431" s="98"/>
      <c r="QY431" s="98"/>
      <c r="QZ431" s="98"/>
      <c r="RA431" s="98"/>
      <c r="RB431" s="98"/>
      <c r="RC431" s="98"/>
      <c r="RD431" s="98"/>
      <c r="RE431" s="98"/>
      <c r="RF431" s="98"/>
      <c r="RG431" s="98"/>
      <c r="RH431" s="98"/>
      <c r="RI431" s="98"/>
      <c r="RJ431" s="98"/>
      <c r="RK431" s="98"/>
      <c r="RL431" s="98"/>
      <c r="RM431" s="98"/>
      <c r="RN431" s="98"/>
      <c r="RO431" s="98"/>
      <c r="RP431" s="98"/>
      <c r="RQ431" s="98"/>
      <c r="RR431" s="98"/>
      <c r="RS431" s="98"/>
      <c r="RT431" s="98"/>
      <c r="RU431" s="98"/>
      <c r="RV431" s="98"/>
      <c r="RW431" s="98"/>
      <c r="RX431" s="98"/>
      <c r="RY431" s="98"/>
      <c r="RZ431" s="98"/>
      <c r="SA431" s="98"/>
      <c r="SB431" s="98"/>
      <c r="SC431" s="98"/>
      <c r="SD431" s="98"/>
      <c r="SE431" s="98"/>
      <c r="SF431" s="98"/>
      <c r="SG431" s="98"/>
      <c r="SH431" s="98"/>
      <c r="SI431" s="98"/>
      <c r="SJ431" s="98"/>
      <c r="SK431" s="98"/>
      <c r="SL431" s="98"/>
      <c r="SM431" s="98"/>
      <c r="SN431" s="98"/>
      <c r="SO431" s="98"/>
      <c r="SP431" s="98"/>
      <c r="SQ431" s="98"/>
      <c r="SR431" s="98"/>
      <c r="SS431" s="98"/>
      <c r="ST431" s="98"/>
      <c r="SU431" s="98"/>
      <c r="SV431" s="98"/>
      <c r="SW431" s="98"/>
      <c r="SX431" s="98"/>
      <c r="SY431" s="98"/>
      <c r="SZ431" s="98"/>
      <c r="TA431" s="98"/>
      <c r="TB431" s="98"/>
      <c r="TC431" s="98"/>
      <c r="TD431" s="98"/>
      <c r="TE431" s="98"/>
      <c r="TF431" s="98"/>
      <c r="TG431" s="98"/>
      <c r="TH431" s="98"/>
      <c r="TI431" s="98"/>
      <c r="TJ431" s="98"/>
      <c r="TK431" s="98"/>
      <c r="TL431" s="98"/>
      <c r="TM431" s="98"/>
      <c r="TN431" s="98"/>
      <c r="TO431" s="98"/>
      <c r="TP431" s="98"/>
      <c r="TQ431" s="98"/>
      <c r="TR431" s="98"/>
      <c r="TS431" s="98"/>
      <c r="TT431" s="98"/>
      <c r="TU431" s="98"/>
      <c r="TV431" s="98"/>
      <c r="TW431" s="98"/>
      <c r="TX431" s="98"/>
      <c r="TY431" s="98"/>
      <c r="TZ431" s="98"/>
      <c r="UA431" s="98"/>
      <c r="UB431" s="98"/>
      <c r="UC431" s="98"/>
      <c r="UD431" s="98"/>
      <c r="UE431" s="98"/>
      <c r="UF431" s="98"/>
      <c r="UG431" s="98"/>
      <c r="UH431" s="98"/>
      <c r="UI431" s="98"/>
      <c r="UJ431" s="98"/>
      <c r="UK431" s="98"/>
      <c r="UL431" s="98"/>
      <c r="UM431" s="98"/>
      <c r="UN431" s="98"/>
      <c r="UO431" s="98"/>
      <c r="UP431" s="98"/>
      <c r="UQ431" s="98"/>
      <c r="UR431" s="98"/>
      <c r="US431" s="98"/>
      <c r="UT431" s="98"/>
      <c r="UU431" s="98"/>
      <c r="UV431" s="98"/>
      <c r="UW431" s="98"/>
      <c r="UX431" s="98"/>
      <c r="UY431" s="98"/>
      <c r="UZ431" s="98"/>
      <c r="VA431" s="98"/>
      <c r="VB431" s="98"/>
      <c r="VC431" s="98"/>
      <c r="VD431" s="98"/>
      <c r="VE431" s="98"/>
      <c r="VF431" s="98"/>
      <c r="VG431" s="98"/>
      <c r="VH431" s="98"/>
      <c r="VI431" s="98"/>
      <c r="VJ431" s="98"/>
      <c r="VK431" s="98"/>
      <c r="VL431" s="98"/>
      <c r="VM431" s="98"/>
      <c r="VN431" s="98"/>
      <c r="VO431" s="98"/>
      <c r="VP431" s="98"/>
      <c r="VQ431" s="98"/>
      <c r="VR431" s="98"/>
      <c r="VS431" s="98"/>
      <c r="VT431" s="98"/>
      <c r="VU431" s="98"/>
      <c r="VV431" s="98"/>
      <c r="VW431" s="98"/>
      <c r="VX431" s="98"/>
      <c r="VY431" s="98"/>
      <c r="VZ431" s="98"/>
      <c r="WA431" s="98"/>
      <c r="WB431" s="98"/>
      <c r="WC431" s="98"/>
      <c r="WD431" s="98"/>
      <c r="WE431" s="98"/>
      <c r="WF431" s="98"/>
      <c r="WG431" s="98"/>
      <c r="WH431" s="98"/>
      <c r="WI431" s="98"/>
      <c r="WJ431" s="98"/>
      <c r="WK431" s="98"/>
      <c r="WL431" s="98"/>
      <c r="WM431" s="98"/>
      <c r="WN431" s="98"/>
      <c r="WO431" s="98"/>
      <c r="WP431" s="98"/>
      <c r="WQ431" s="98"/>
    </row>
    <row r="432" spans="1:615" ht="230.25" outlineLevel="3" thickBot="1" x14ac:dyDescent="0.25">
      <c r="A432" s="10" t="s">
        <v>1176</v>
      </c>
      <c r="B432" s="163"/>
      <c r="C432" s="55"/>
      <c r="D432" s="163"/>
      <c r="E432" s="25" t="s">
        <v>71</v>
      </c>
      <c r="F432" s="25" t="s">
        <v>1080</v>
      </c>
      <c r="G432" s="48" t="s">
        <v>275</v>
      </c>
      <c r="H432" s="26" t="s">
        <v>61</v>
      </c>
      <c r="I432" s="42">
        <v>1</v>
      </c>
      <c r="J432" s="28" t="s">
        <v>74</v>
      </c>
      <c r="K432" s="29" t="s">
        <v>75</v>
      </c>
      <c r="L432" s="30">
        <v>1</v>
      </c>
      <c r="M432" s="31">
        <f t="shared" si="56"/>
        <v>1</v>
      </c>
      <c r="N432" s="32" t="s">
        <v>39</v>
      </c>
      <c r="O432" s="33" t="s">
        <v>76</v>
      </c>
      <c r="P432" s="30">
        <v>5</v>
      </c>
      <c r="Q432" s="34">
        <f t="shared" si="55"/>
        <v>5</v>
      </c>
      <c r="R432" s="49"/>
      <c r="S432" s="49"/>
      <c r="T432" s="49"/>
      <c r="U432" s="50"/>
      <c r="V432" s="51"/>
      <c r="W432" s="52"/>
      <c r="X432" s="51"/>
      <c r="Y432" s="51"/>
      <c r="Z432" s="53"/>
      <c r="AA432" s="40"/>
      <c r="AB432" s="41"/>
      <c r="AD432" s="17">
        <f t="shared" si="53"/>
        <v>-4825</v>
      </c>
      <c r="AE432" s="18">
        <f t="shared" si="57"/>
        <v>4825</v>
      </c>
      <c r="LK432" s="98"/>
      <c r="LL432" s="98"/>
      <c r="LM432" s="98"/>
      <c r="LN432" s="98"/>
      <c r="LO432" s="98"/>
      <c r="LP432" s="98"/>
      <c r="LQ432" s="98"/>
      <c r="LR432" s="98"/>
      <c r="LS432" s="98"/>
      <c r="LT432" s="98"/>
      <c r="LU432" s="98"/>
      <c r="LV432" s="98"/>
      <c r="LW432" s="98"/>
      <c r="LX432" s="98"/>
      <c r="LY432" s="98"/>
      <c r="LZ432" s="98"/>
      <c r="MA432" s="98"/>
      <c r="MB432" s="98"/>
      <c r="MC432" s="98"/>
      <c r="MD432" s="98"/>
      <c r="ME432" s="98"/>
      <c r="MF432" s="98"/>
      <c r="MG432" s="98"/>
      <c r="MH432" s="98"/>
      <c r="MI432" s="98"/>
      <c r="MJ432" s="98"/>
      <c r="MK432" s="98"/>
      <c r="ML432" s="98"/>
      <c r="MM432" s="98"/>
      <c r="MN432" s="98"/>
      <c r="MO432" s="98"/>
      <c r="MP432" s="98"/>
      <c r="MQ432" s="98"/>
      <c r="MR432" s="98"/>
      <c r="MS432" s="98"/>
      <c r="MT432" s="98"/>
      <c r="MU432" s="98"/>
      <c r="MV432" s="98"/>
      <c r="MW432" s="98"/>
      <c r="MX432" s="98"/>
      <c r="MY432" s="98"/>
      <c r="MZ432" s="98"/>
      <c r="NA432" s="98"/>
      <c r="NB432" s="98"/>
      <c r="NC432" s="98"/>
      <c r="ND432" s="98"/>
      <c r="NE432" s="98"/>
      <c r="NF432" s="98"/>
      <c r="NG432" s="98"/>
      <c r="NH432" s="98"/>
      <c r="NI432" s="98"/>
      <c r="NJ432" s="98"/>
      <c r="NK432" s="98"/>
      <c r="NL432" s="98"/>
      <c r="NM432" s="98"/>
      <c r="NN432" s="98"/>
      <c r="NO432" s="98"/>
      <c r="NP432" s="98"/>
      <c r="NQ432" s="98"/>
      <c r="NR432" s="98"/>
      <c r="NS432" s="98"/>
      <c r="NT432" s="98"/>
      <c r="NU432" s="98"/>
      <c r="NV432" s="98"/>
      <c r="NW432" s="98"/>
      <c r="NX432" s="98"/>
      <c r="NY432" s="98"/>
      <c r="NZ432" s="98"/>
      <c r="OA432" s="98"/>
      <c r="OB432" s="98"/>
      <c r="OC432" s="98"/>
      <c r="OD432" s="98"/>
      <c r="OE432" s="98"/>
      <c r="OF432" s="98"/>
      <c r="OG432" s="98"/>
      <c r="OH432" s="98"/>
      <c r="OI432" s="98"/>
      <c r="OJ432" s="98"/>
      <c r="OK432" s="98"/>
      <c r="OL432" s="98"/>
      <c r="OM432" s="98"/>
      <c r="ON432" s="98"/>
      <c r="OO432" s="98"/>
      <c r="OP432" s="98"/>
      <c r="OQ432" s="98"/>
      <c r="OR432" s="98"/>
      <c r="OS432" s="98"/>
      <c r="OT432" s="98"/>
      <c r="OU432" s="98"/>
      <c r="OV432" s="98"/>
      <c r="OW432" s="98"/>
      <c r="OX432" s="98"/>
      <c r="OY432" s="98"/>
      <c r="OZ432" s="98"/>
      <c r="PA432" s="98"/>
      <c r="PB432" s="98"/>
      <c r="PC432" s="98"/>
      <c r="PD432" s="98"/>
      <c r="PE432" s="98"/>
      <c r="PF432" s="98"/>
      <c r="PG432" s="98"/>
      <c r="PH432" s="98"/>
      <c r="PI432" s="98"/>
      <c r="PJ432" s="98"/>
      <c r="PK432" s="98"/>
      <c r="PL432" s="98"/>
      <c r="PM432" s="98"/>
      <c r="PN432" s="98"/>
      <c r="PO432" s="98"/>
      <c r="PP432" s="98"/>
      <c r="PQ432" s="98"/>
      <c r="PR432" s="98"/>
      <c r="PS432" s="98"/>
      <c r="PT432" s="98"/>
      <c r="PU432" s="98"/>
      <c r="PV432" s="98"/>
      <c r="PW432" s="98"/>
      <c r="PX432" s="98"/>
      <c r="PY432" s="98"/>
      <c r="PZ432" s="98"/>
      <c r="QA432" s="98"/>
      <c r="QB432" s="98"/>
      <c r="QC432" s="98"/>
      <c r="QD432" s="98"/>
      <c r="QE432" s="98"/>
      <c r="QF432" s="98"/>
      <c r="QG432" s="98"/>
      <c r="QH432" s="98"/>
      <c r="QI432" s="98"/>
      <c r="QJ432" s="98"/>
      <c r="QK432" s="98"/>
      <c r="QL432" s="98"/>
      <c r="QM432" s="98"/>
      <c r="QN432" s="98"/>
      <c r="QO432" s="98"/>
      <c r="QP432" s="98"/>
      <c r="QQ432" s="98"/>
      <c r="QR432" s="98"/>
      <c r="QS432" s="98"/>
      <c r="QT432" s="98"/>
      <c r="QU432" s="98"/>
      <c r="QV432" s="98"/>
      <c r="QW432" s="98"/>
      <c r="QX432" s="98"/>
      <c r="QY432" s="98"/>
      <c r="QZ432" s="98"/>
      <c r="RA432" s="98"/>
      <c r="RB432" s="98"/>
      <c r="RC432" s="98"/>
      <c r="RD432" s="98"/>
      <c r="RE432" s="98"/>
      <c r="RF432" s="98"/>
      <c r="RG432" s="98"/>
      <c r="RH432" s="98"/>
      <c r="RI432" s="98"/>
      <c r="RJ432" s="98"/>
      <c r="RK432" s="98"/>
      <c r="RL432" s="98"/>
      <c r="RM432" s="98"/>
      <c r="RN432" s="98"/>
      <c r="RO432" s="98"/>
      <c r="RP432" s="98"/>
      <c r="RQ432" s="98"/>
      <c r="RR432" s="98"/>
      <c r="RS432" s="98"/>
      <c r="RT432" s="98"/>
      <c r="RU432" s="98"/>
      <c r="RV432" s="98"/>
      <c r="RW432" s="98"/>
      <c r="RX432" s="98"/>
      <c r="RY432" s="98"/>
      <c r="RZ432" s="98"/>
      <c r="SA432" s="98"/>
      <c r="SB432" s="98"/>
      <c r="SC432" s="98"/>
      <c r="SD432" s="98"/>
      <c r="SE432" s="98"/>
      <c r="SF432" s="98"/>
      <c r="SG432" s="98"/>
      <c r="SH432" s="98"/>
      <c r="SI432" s="98"/>
      <c r="SJ432" s="98"/>
      <c r="SK432" s="98"/>
      <c r="SL432" s="98"/>
      <c r="SM432" s="98"/>
      <c r="SN432" s="98"/>
      <c r="SO432" s="98"/>
      <c r="SP432" s="98"/>
      <c r="SQ432" s="98"/>
      <c r="SR432" s="98"/>
      <c r="SS432" s="98"/>
      <c r="ST432" s="98"/>
      <c r="SU432" s="98"/>
      <c r="SV432" s="98"/>
      <c r="SW432" s="98"/>
      <c r="SX432" s="98"/>
      <c r="SY432" s="98"/>
      <c r="SZ432" s="98"/>
      <c r="TA432" s="98"/>
      <c r="TB432" s="98"/>
      <c r="TC432" s="98"/>
      <c r="TD432" s="98"/>
      <c r="TE432" s="98"/>
      <c r="TF432" s="98"/>
      <c r="TG432" s="98"/>
      <c r="TH432" s="98"/>
      <c r="TI432" s="98"/>
      <c r="TJ432" s="98"/>
      <c r="TK432" s="98"/>
      <c r="TL432" s="98"/>
      <c r="TM432" s="98"/>
      <c r="TN432" s="98"/>
      <c r="TO432" s="98"/>
      <c r="TP432" s="98"/>
      <c r="TQ432" s="98"/>
      <c r="TR432" s="98"/>
      <c r="TS432" s="98"/>
      <c r="TT432" s="98"/>
      <c r="TU432" s="98"/>
      <c r="TV432" s="98"/>
      <c r="TW432" s="98"/>
      <c r="TX432" s="98"/>
      <c r="TY432" s="98"/>
      <c r="TZ432" s="98"/>
      <c r="UA432" s="98"/>
      <c r="UB432" s="98"/>
      <c r="UC432" s="98"/>
      <c r="UD432" s="98"/>
      <c r="UE432" s="98"/>
      <c r="UF432" s="98"/>
      <c r="UG432" s="98"/>
      <c r="UH432" s="98"/>
      <c r="UI432" s="98"/>
      <c r="UJ432" s="98"/>
      <c r="UK432" s="98"/>
      <c r="UL432" s="98"/>
      <c r="UM432" s="98"/>
      <c r="UN432" s="98"/>
      <c r="UO432" s="98"/>
      <c r="UP432" s="98"/>
      <c r="UQ432" s="98"/>
      <c r="UR432" s="98"/>
      <c r="US432" s="98"/>
      <c r="UT432" s="98"/>
      <c r="UU432" s="98"/>
      <c r="UV432" s="98"/>
      <c r="UW432" s="98"/>
      <c r="UX432" s="98"/>
      <c r="UY432" s="98"/>
      <c r="UZ432" s="98"/>
      <c r="VA432" s="98"/>
      <c r="VB432" s="98"/>
      <c r="VC432" s="98"/>
      <c r="VD432" s="98"/>
      <c r="VE432" s="98"/>
      <c r="VF432" s="98"/>
      <c r="VG432" s="98"/>
      <c r="VH432" s="98"/>
      <c r="VI432" s="98"/>
      <c r="VJ432" s="98"/>
      <c r="VK432" s="98"/>
      <c r="VL432" s="98"/>
      <c r="VM432" s="98"/>
      <c r="VN432" s="98"/>
      <c r="VO432" s="98"/>
      <c r="VP432" s="98"/>
      <c r="VQ432" s="98"/>
      <c r="VR432" s="98"/>
      <c r="VS432" s="98"/>
      <c r="VT432" s="98"/>
      <c r="VU432" s="98"/>
      <c r="VV432" s="98"/>
      <c r="VW432" s="98"/>
      <c r="VX432" s="98"/>
      <c r="VY432" s="98"/>
      <c r="VZ432" s="98"/>
      <c r="WA432" s="98"/>
      <c r="WB432" s="98"/>
      <c r="WC432" s="98"/>
      <c r="WD432" s="98"/>
      <c r="WE432" s="98"/>
      <c r="WF432" s="98"/>
      <c r="WG432" s="98"/>
      <c r="WH432" s="98"/>
      <c r="WI432" s="98"/>
      <c r="WJ432" s="98"/>
      <c r="WK432" s="98"/>
      <c r="WL432" s="98"/>
      <c r="WM432" s="98"/>
      <c r="WN432" s="98"/>
      <c r="WO432" s="98"/>
      <c r="WP432" s="98"/>
      <c r="WQ432" s="98"/>
    </row>
    <row r="433" spans="1:615" ht="230.25" outlineLevel="3" thickBot="1" x14ac:dyDescent="0.25">
      <c r="A433" s="61" t="s">
        <v>1177</v>
      </c>
      <c r="B433" s="105" t="s">
        <v>1178</v>
      </c>
      <c r="C433" s="47" t="s">
        <v>1179</v>
      </c>
      <c r="D433" s="116" t="s">
        <v>613</v>
      </c>
      <c r="E433" s="25" t="s">
        <v>1123</v>
      </c>
      <c r="F433" s="87" t="s">
        <v>1080</v>
      </c>
      <c r="G433" s="48" t="s">
        <v>275</v>
      </c>
      <c r="H433" s="26" t="s">
        <v>61</v>
      </c>
      <c r="I433" s="42">
        <v>1</v>
      </c>
      <c r="J433" s="28" t="s">
        <v>1124</v>
      </c>
      <c r="K433" s="29" t="s">
        <v>1180</v>
      </c>
      <c r="L433" s="30">
        <v>1</v>
      </c>
      <c r="M433" s="31">
        <f t="shared" si="56"/>
        <v>1</v>
      </c>
      <c r="N433" s="32" t="s">
        <v>39</v>
      </c>
      <c r="O433" s="53" t="s">
        <v>76</v>
      </c>
      <c r="P433" s="71">
        <v>5</v>
      </c>
      <c r="Q433" s="34">
        <f t="shared" si="55"/>
        <v>5</v>
      </c>
      <c r="R433" s="49"/>
      <c r="S433" s="49"/>
      <c r="T433" s="49"/>
      <c r="U433" s="50"/>
      <c r="V433" s="51"/>
      <c r="W433" s="52"/>
      <c r="X433" s="51"/>
      <c r="Y433" s="51"/>
      <c r="Z433" s="53"/>
      <c r="AA433" s="40"/>
      <c r="AB433" s="41"/>
      <c r="AD433" s="17">
        <f t="shared" si="53"/>
        <v>10467</v>
      </c>
      <c r="AE433" s="18"/>
      <c r="LK433" s="98"/>
      <c r="LL433" s="98"/>
      <c r="LM433" s="98"/>
      <c r="LN433" s="98"/>
      <c r="LO433" s="98"/>
      <c r="LP433" s="98"/>
      <c r="LQ433" s="98"/>
      <c r="LR433" s="98"/>
      <c r="LS433" s="98"/>
      <c r="LT433" s="98"/>
      <c r="LU433" s="98"/>
      <c r="LV433" s="98"/>
      <c r="LW433" s="98"/>
      <c r="LX433" s="98"/>
      <c r="LY433" s="98"/>
      <c r="LZ433" s="98"/>
      <c r="MA433" s="98"/>
      <c r="MB433" s="98"/>
      <c r="MC433" s="98"/>
      <c r="MD433" s="98"/>
      <c r="ME433" s="98"/>
      <c r="MF433" s="98"/>
      <c r="MG433" s="98"/>
      <c r="MH433" s="98"/>
      <c r="MI433" s="98"/>
      <c r="MJ433" s="98"/>
      <c r="MK433" s="98"/>
      <c r="ML433" s="98"/>
      <c r="MM433" s="98"/>
      <c r="MN433" s="98"/>
      <c r="MO433" s="98"/>
      <c r="MP433" s="98"/>
      <c r="MQ433" s="98"/>
      <c r="MR433" s="98"/>
      <c r="MS433" s="98"/>
      <c r="MT433" s="98"/>
      <c r="MU433" s="98"/>
      <c r="MV433" s="98"/>
      <c r="MW433" s="98"/>
      <c r="MX433" s="98"/>
      <c r="MY433" s="98"/>
      <c r="MZ433" s="98"/>
      <c r="NA433" s="98"/>
      <c r="NB433" s="98"/>
      <c r="NC433" s="98"/>
      <c r="ND433" s="98"/>
      <c r="NE433" s="98"/>
      <c r="NF433" s="98"/>
      <c r="NG433" s="98"/>
      <c r="NH433" s="98"/>
      <c r="NI433" s="98"/>
      <c r="NJ433" s="98"/>
      <c r="NK433" s="98"/>
      <c r="NL433" s="98"/>
      <c r="NM433" s="98"/>
      <c r="NN433" s="98"/>
      <c r="NO433" s="98"/>
      <c r="NP433" s="98"/>
      <c r="NQ433" s="98"/>
      <c r="NR433" s="98"/>
      <c r="NS433" s="98"/>
      <c r="NT433" s="98"/>
      <c r="NU433" s="98"/>
      <c r="NV433" s="98"/>
      <c r="NW433" s="98"/>
      <c r="NX433" s="98"/>
      <c r="NY433" s="98"/>
      <c r="NZ433" s="98"/>
      <c r="OA433" s="98"/>
      <c r="OB433" s="98"/>
      <c r="OC433" s="98"/>
      <c r="OD433" s="98"/>
      <c r="OE433" s="98"/>
      <c r="OF433" s="98"/>
      <c r="OG433" s="98"/>
      <c r="OH433" s="98"/>
      <c r="OI433" s="98"/>
      <c r="OJ433" s="98"/>
      <c r="OK433" s="98"/>
      <c r="OL433" s="98"/>
      <c r="OM433" s="98"/>
      <c r="ON433" s="98"/>
      <c r="OO433" s="98"/>
      <c r="OP433" s="98"/>
      <c r="OQ433" s="98"/>
      <c r="OR433" s="98"/>
      <c r="OS433" s="98"/>
      <c r="OT433" s="98"/>
      <c r="OU433" s="98"/>
      <c r="OV433" s="98"/>
      <c r="OW433" s="98"/>
      <c r="OX433" s="98"/>
      <c r="OY433" s="98"/>
      <c r="OZ433" s="98"/>
      <c r="PA433" s="98"/>
      <c r="PB433" s="98"/>
      <c r="PC433" s="98"/>
      <c r="PD433" s="98"/>
      <c r="PE433" s="98"/>
      <c r="PF433" s="98"/>
      <c r="PG433" s="98"/>
      <c r="PH433" s="98"/>
      <c r="PI433" s="98"/>
      <c r="PJ433" s="98"/>
      <c r="PK433" s="98"/>
      <c r="PL433" s="98"/>
      <c r="PM433" s="98"/>
      <c r="PN433" s="98"/>
      <c r="PO433" s="98"/>
      <c r="PP433" s="98"/>
      <c r="PQ433" s="98"/>
      <c r="PR433" s="98"/>
      <c r="PS433" s="98"/>
      <c r="PT433" s="98"/>
      <c r="PU433" s="98"/>
      <c r="PV433" s="98"/>
      <c r="PW433" s="98"/>
      <c r="PX433" s="98"/>
      <c r="PY433" s="98"/>
      <c r="PZ433" s="98"/>
      <c r="QA433" s="98"/>
      <c r="QB433" s="98"/>
      <c r="QC433" s="98"/>
      <c r="QD433" s="98"/>
      <c r="QE433" s="98"/>
      <c r="QF433" s="98"/>
      <c r="QG433" s="98"/>
      <c r="QH433" s="98"/>
      <c r="QI433" s="98"/>
      <c r="QJ433" s="98"/>
      <c r="QK433" s="98"/>
      <c r="QL433" s="98"/>
      <c r="QM433" s="98"/>
      <c r="QN433" s="98"/>
      <c r="QO433" s="98"/>
      <c r="QP433" s="98"/>
      <c r="QQ433" s="98"/>
      <c r="QR433" s="98"/>
      <c r="QS433" s="98"/>
      <c r="QT433" s="98"/>
      <c r="QU433" s="98"/>
      <c r="QV433" s="98"/>
      <c r="QW433" s="98"/>
      <c r="QX433" s="98"/>
      <c r="QY433" s="98"/>
      <c r="QZ433" s="98"/>
      <c r="RA433" s="98"/>
      <c r="RB433" s="98"/>
      <c r="RC433" s="98"/>
      <c r="RD433" s="98"/>
      <c r="RE433" s="98"/>
      <c r="RF433" s="98"/>
      <c r="RG433" s="98"/>
      <c r="RH433" s="98"/>
      <c r="RI433" s="98"/>
      <c r="RJ433" s="98"/>
      <c r="RK433" s="98"/>
      <c r="RL433" s="98"/>
      <c r="RM433" s="98"/>
      <c r="RN433" s="98"/>
      <c r="RO433" s="98"/>
      <c r="RP433" s="98"/>
      <c r="RQ433" s="98"/>
      <c r="RR433" s="98"/>
      <c r="RS433" s="98"/>
      <c r="RT433" s="98"/>
      <c r="RU433" s="98"/>
      <c r="RV433" s="98"/>
      <c r="RW433" s="98"/>
      <c r="RX433" s="98"/>
      <c r="RY433" s="98"/>
      <c r="RZ433" s="98"/>
      <c r="SA433" s="98"/>
      <c r="SB433" s="98"/>
      <c r="SC433" s="98"/>
      <c r="SD433" s="98"/>
      <c r="SE433" s="98"/>
      <c r="SF433" s="98"/>
      <c r="SG433" s="98"/>
      <c r="SH433" s="98"/>
      <c r="SI433" s="98"/>
      <c r="SJ433" s="98"/>
      <c r="SK433" s="98"/>
      <c r="SL433" s="98"/>
      <c r="SM433" s="98"/>
      <c r="SN433" s="98"/>
      <c r="SO433" s="98"/>
      <c r="SP433" s="98"/>
      <c r="SQ433" s="98"/>
      <c r="SR433" s="98"/>
      <c r="SS433" s="98"/>
      <c r="ST433" s="98"/>
      <c r="SU433" s="98"/>
      <c r="SV433" s="98"/>
      <c r="SW433" s="98"/>
      <c r="SX433" s="98"/>
      <c r="SY433" s="98"/>
      <c r="SZ433" s="98"/>
      <c r="TA433" s="98"/>
      <c r="TB433" s="98"/>
      <c r="TC433" s="98"/>
      <c r="TD433" s="98"/>
      <c r="TE433" s="98"/>
      <c r="TF433" s="98"/>
      <c r="TG433" s="98"/>
      <c r="TH433" s="98"/>
      <c r="TI433" s="98"/>
      <c r="TJ433" s="98"/>
      <c r="TK433" s="98"/>
      <c r="TL433" s="98"/>
      <c r="TM433" s="98"/>
      <c r="TN433" s="98"/>
      <c r="TO433" s="98"/>
      <c r="TP433" s="98"/>
      <c r="TQ433" s="98"/>
      <c r="TR433" s="98"/>
      <c r="TS433" s="98"/>
      <c r="TT433" s="98"/>
      <c r="TU433" s="98"/>
      <c r="TV433" s="98"/>
      <c r="TW433" s="98"/>
      <c r="TX433" s="98"/>
      <c r="TY433" s="98"/>
      <c r="TZ433" s="98"/>
      <c r="UA433" s="98"/>
      <c r="UB433" s="98"/>
      <c r="UC433" s="98"/>
      <c r="UD433" s="98"/>
      <c r="UE433" s="98"/>
      <c r="UF433" s="98"/>
      <c r="UG433" s="98"/>
      <c r="UH433" s="98"/>
      <c r="UI433" s="98"/>
      <c r="UJ433" s="98"/>
      <c r="UK433" s="98"/>
      <c r="UL433" s="98"/>
      <c r="UM433" s="98"/>
      <c r="UN433" s="98"/>
      <c r="UO433" s="98"/>
      <c r="UP433" s="98"/>
      <c r="UQ433" s="98"/>
      <c r="UR433" s="98"/>
      <c r="US433" s="98"/>
      <c r="UT433" s="98"/>
      <c r="UU433" s="98"/>
      <c r="UV433" s="98"/>
      <c r="UW433" s="98"/>
      <c r="UX433" s="98"/>
      <c r="UY433" s="98"/>
      <c r="UZ433" s="98"/>
      <c r="VA433" s="98"/>
      <c r="VB433" s="98"/>
      <c r="VC433" s="98"/>
      <c r="VD433" s="98"/>
      <c r="VE433" s="98"/>
      <c r="VF433" s="98"/>
      <c r="VG433" s="98"/>
      <c r="VH433" s="98"/>
      <c r="VI433" s="98"/>
      <c r="VJ433" s="98"/>
      <c r="VK433" s="98"/>
      <c r="VL433" s="98"/>
      <c r="VM433" s="98"/>
      <c r="VN433" s="98"/>
      <c r="VO433" s="98"/>
      <c r="VP433" s="98"/>
      <c r="VQ433" s="98"/>
      <c r="VR433" s="98"/>
      <c r="VS433" s="98"/>
      <c r="VT433" s="98"/>
      <c r="VU433" s="98"/>
      <c r="VV433" s="98"/>
      <c r="VW433" s="98"/>
      <c r="VX433" s="98"/>
      <c r="VY433" s="98"/>
      <c r="VZ433" s="98"/>
      <c r="WA433" s="98"/>
      <c r="WB433" s="98"/>
      <c r="WC433" s="98"/>
      <c r="WD433" s="98"/>
      <c r="WE433" s="98"/>
      <c r="WF433" s="98"/>
      <c r="WG433" s="98"/>
      <c r="WH433" s="98"/>
      <c r="WI433" s="98"/>
      <c r="WJ433" s="98"/>
      <c r="WK433" s="98"/>
      <c r="WL433" s="98"/>
      <c r="WM433" s="98"/>
      <c r="WN433" s="98"/>
      <c r="WO433" s="98"/>
      <c r="WP433" s="98"/>
      <c r="WQ433" s="98"/>
    </row>
    <row r="434" spans="1:615" ht="230.25" outlineLevel="3" thickBot="1" x14ac:dyDescent="0.25">
      <c r="A434" s="61" t="s">
        <v>1181</v>
      </c>
      <c r="B434" s="106"/>
      <c r="C434" s="54"/>
      <c r="D434" s="117"/>
      <c r="E434" s="25" t="s">
        <v>1126</v>
      </c>
      <c r="F434" s="87" t="s">
        <v>1080</v>
      </c>
      <c r="G434" s="48" t="s">
        <v>275</v>
      </c>
      <c r="H434" s="26" t="s">
        <v>61</v>
      </c>
      <c r="I434" s="42">
        <v>1</v>
      </c>
      <c r="J434" s="28" t="s">
        <v>1124</v>
      </c>
      <c r="K434" s="29" t="s">
        <v>75</v>
      </c>
      <c r="L434" s="30">
        <v>1</v>
      </c>
      <c r="M434" s="31">
        <f t="shared" si="56"/>
        <v>1</v>
      </c>
      <c r="N434" s="32" t="s">
        <v>39</v>
      </c>
      <c r="O434" s="53" t="s">
        <v>76</v>
      </c>
      <c r="P434" s="30">
        <v>5</v>
      </c>
      <c r="Q434" s="34">
        <f t="shared" si="55"/>
        <v>5</v>
      </c>
      <c r="R434" s="49"/>
      <c r="S434" s="49"/>
      <c r="T434" s="49"/>
      <c r="U434" s="50"/>
      <c r="V434" s="51"/>
      <c r="W434" s="52"/>
      <c r="X434" s="51"/>
      <c r="Y434" s="51"/>
      <c r="Z434" s="53"/>
      <c r="AA434" s="40"/>
      <c r="AB434" s="41"/>
      <c r="AD434" s="17">
        <f t="shared" si="53"/>
        <v>10468</v>
      </c>
      <c r="AE434" s="18"/>
      <c r="LK434" s="98"/>
      <c r="LL434" s="98"/>
      <c r="LM434" s="98"/>
      <c r="LN434" s="98"/>
      <c r="LO434" s="98"/>
      <c r="LP434" s="98"/>
      <c r="LQ434" s="98"/>
      <c r="LR434" s="98"/>
      <c r="LS434" s="98"/>
      <c r="LT434" s="98"/>
      <c r="LU434" s="98"/>
      <c r="LV434" s="98"/>
      <c r="LW434" s="98"/>
      <c r="LX434" s="98"/>
      <c r="LY434" s="98"/>
      <c r="LZ434" s="98"/>
      <c r="MA434" s="98"/>
      <c r="MB434" s="98"/>
      <c r="MC434" s="98"/>
      <c r="MD434" s="98"/>
      <c r="ME434" s="98"/>
      <c r="MF434" s="98"/>
      <c r="MG434" s="98"/>
      <c r="MH434" s="98"/>
      <c r="MI434" s="98"/>
      <c r="MJ434" s="98"/>
      <c r="MK434" s="98"/>
      <c r="ML434" s="98"/>
      <c r="MM434" s="98"/>
      <c r="MN434" s="98"/>
      <c r="MO434" s="98"/>
      <c r="MP434" s="98"/>
      <c r="MQ434" s="98"/>
      <c r="MR434" s="98"/>
      <c r="MS434" s="98"/>
      <c r="MT434" s="98"/>
      <c r="MU434" s="98"/>
      <c r="MV434" s="98"/>
      <c r="MW434" s="98"/>
      <c r="MX434" s="98"/>
      <c r="MY434" s="98"/>
      <c r="MZ434" s="98"/>
      <c r="NA434" s="98"/>
      <c r="NB434" s="98"/>
      <c r="NC434" s="98"/>
      <c r="ND434" s="98"/>
      <c r="NE434" s="98"/>
      <c r="NF434" s="98"/>
      <c r="NG434" s="98"/>
      <c r="NH434" s="98"/>
      <c r="NI434" s="98"/>
      <c r="NJ434" s="98"/>
      <c r="NK434" s="98"/>
      <c r="NL434" s="98"/>
      <c r="NM434" s="98"/>
      <c r="NN434" s="98"/>
      <c r="NO434" s="98"/>
      <c r="NP434" s="98"/>
      <c r="NQ434" s="98"/>
      <c r="NR434" s="98"/>
      <c r="NS434" s="98"/>
      <c r="NT434" s="98"/>
      <c r="NU434" s="98"/>
      <c r="NV434" s="98"/>
      <c r="NW434" s="98"/>
      <c r="NX434" s="98"/>
      <c r="NY434" s="98"/>
      <c r="NZ434" s="98"/>
      <c r="OA434" s="98"/>
      <c r="OB434" s="98"/>
      <c r="OC434" s="98"/>
      <c r="OD434" s="98"/>
      <c r="OE434" s="98"/>
      <c r="OF434" s="98"/>
      <c r="OG434" s="98"/>
      <c r="OH434" s="98"/>
      <c r="OI434" s="98"/>
      <c r="OJ434" s="98"/>
      <c r="OK434" s="98"/>
      <c r="OL434" s="98"/>
      <c r="OM434" s="98"/>
      <c r="ON434" s="98"/>
      <c r="OO434" s="98"/>
      <c r="OP434" s="98"/>
      <c r="OQ434" s="98"/>
      <c r="OR434" s="98"/>
      <c r="OS434" s="98"/>
      <c r="OT434" s="98"/>
      <c r="OU434" s="98"/>
      <c r="OV434" s="98"/>
      <c r="OW434" s="98"/>
      <c r="OX434" s="98"/>
      <c r="OY434" s="98"/>
      <c r="OZ434" s="98"/>
      <c r="PA434" s="98"/>
      <c r="PB434" s="98"/>
      <c r="PC434" s="98"/>
      <c r="PD434" s="98"/>
      <c r="PE434" s="98"/>
      <c r="PF434" s="98"/>
      <c r="PG434" s="98"/>
      <c r="PH434" s="98"/>
      <c r="PI434" s="98"/>
      <c r="PJ434" s="98"/>
      <c r="PK434" s="98"/>
      <c r="PL434" s="98"/>
      <c r="PM434" s="98"/>
      <c r="PN434" s="98"/>
      <c r="PO434" s="98"/>
      <c r="PP434" s="98"/>
      <c r="PQ434" s="98"/>
      <c r="PR434" s="98"/>
      <c r="PS434" s="98"/>
      <c r="PT434" s="98"/>
      <c r="PU434" s="98"/>
      <c r="PV434" s="98"/>
      <c r="PW434" s="98"/>
      <c r="PX434" s="98"/>
      <c r="PY434" s="98"/>
      <c r="PZ434" s="98"/>
      <c r="QA434" s="98"/>
      <c r="QB434" s="98"/>
      <c r="QC434" s="98"/>
      <c r="QD434" s="98"/>
      <c r="QE434" s="98"/>
      <c r="QF434" s="98"/>
      <c r="QG434" s="98"/>
      <c r="QH434" s="98"/>
      <c r="QI434" s="98"/>
      <c r="QJ434" s="98"/>
      <c r="QK434" s="98"/>
      <c r="QL434" s="98"/>
      <c r="QM434" s="98"/>
      <c r="QN434" s="98"/>
      <c r="QO434" s="98"/>
      <c r="QP434" s="98"/>
      <c r="QQ434" s="98"/>
      <c r="QR434" s="98"/>
      <c r="QS434" s="98"/>
      <c r="QT434" s="98"/>
      <c r="QU434" s="98"/>
      <c r="QV434" s="98"/>
      <c r="QW434" s="98"/>
      <c r="QX434" s="98"/>
      <c r="QY434" s="98"/>
      <c r="QZ434" s="98"/>
      <c r="RA434" s="98"/>
      <c r="RB434" s="98"/>
      <c r="RC434" s="98"/>
      <c r="RD434" s="98"/>
      <c r="RE434" s="98"/>
      <c r="RF434" s="98"/>
      <c r="RG434" s="98"/>
      <c r="RH434" s="98"/>
      <c r="RI434" s="98"/>
      <c r="RJ434" s="98"/>
      <c r="RK434" s="98"/>
      <c r="RL434" s="98"/>
      <c r="RM434" s="98"/>
      <c r="RN434" s="98"/>
      <c r="RO434" s="98"/>
      <c r="RP434" s="98"/>
      <c r="RQ434" s="98"/>
      <c r="RR434" s="98"/>
      <c r="RS434" s="98"/>
      <c r="RT434" s="98"/>
      <c r="RU434" s="98"/>
      <c r="RV434" s="98"/>
      <c r="RW434" s="98"/>
      <c r="RX434" s="98"/>
      <c r="RY434" s="98"/>
      <c r="RZ434" s="98"/>
      <c r="SA434" s="98"/>
      <c r="SB434" s="98"/>
      <c r="SC434" s="98"/>
      <c r="SD434" s="98"/>
      <c r="SE434" s="98"/>
      <c r="SF434" s="98"/>
      <c r="SG434" s="98"/>
      <c r="SH434" s="98"/>
      <c r="SI434" s="98"/>
      <c r="SJ434" s="98"/>
      <c r="SK434" s="98"/>
      <c r="SL434" s="98"/>
      <c r="SM434" s="98"/>
      <c r="SN434" s="98"/>
      <c r="SO434" s="98"/>
      <c r="SP434" s="98"/>
      <c r="SQ434" s="98"/>
      <c r="SR434" s="98"/>
      <c r="SS434" s="98"/>
      <c r="ST434" s="98"/>
      <c r="SU434" s="98"/>
      <c r="SV434" s="98"/>
      <c r="SW434" s="98"/>
      <c r="SX434" s="98"/>
      <c r="SY434" s="98"/>
      <c r="SZ434" s="98"/>
      <c r="TA434" s="98"/>
      <c r="TB434" s="98"/>
      <c r="TC434" s="98"/>
      <c r="TD434" s="98"/>
      <c r="TE434" s="98"/>
      <c r="TF434" s="98"/>
      <c r="TG434" s="98"/>
      <c r="TH434" s="98"/>
      <c r="TI434" s="98"/>
      <c r="TJ434" s="98"/>
      <c r="TK434" s="98"/>
      <c r="TL434" s="98"/>
      <c r="TM434" s="98"/>
      <c r="TN434" s="98"/>
      <c r="TO434" s="98"/>
      <c r="TP434" s="98"/>
      <c r="TQ434" s="98"/>
      <c r="TR434" s="98"/>
      <c r="TS434" s="98"/>
      <c r="TT434" s="98"/>
      <c r="TU434" s="98"/>
      <c r="TV434" s="98"/>
      <c r="TW434" s="98"/>
      <c r="TX434" s="98"/>
      <c r="TY434" s="98"/>
      <c r="TZ434" s="98"/>
      <c r="UA434" s="98"/>
      <c r="UB434" s="98"/>
      <c r="UC434" s="98"/>
      <c r="UD434" s="98"/>
      <c r="UE434" s="98"/>
      <c r="UF434" s="98"/>
      <c r="UG434" s="98"/>
      <c r="UH434" s="98"/>
      <c r="UI434" s="98"/>
      <c r="UJ434" s="98"/>
      <c r="UK434" s="98"/>
      <c r="UL434" s="98"/>
      <c r="UM434" s="98"/>
      <c r="UN434" s="98"/>
      <c r="UO434" s="98"/>
      <c r="UP434" s="98"/>
      <c r="UQ434" s="98"/>
      <c r="UR434" s="98"/>
      <c r="US434" s="98"/>
      <c r="UT434" s="98"/>
      <c r="UU434" s="98"/>
      <c r="UV434" s="98"/>
      <c r="UW434" s="98"/>
      <c r="UX434" s="98"/>
      <c r="UY434" s="98"/>
      <c r="UZ434" s="98"/>
      <c r="VA434" s="98"/>
      <c r="VB434" s="98"/>
      <c r="VC434" s="98"/>
      <c r="VD434" s="98"/>
      <c r="VE434" s="98"/>
      <c r="VF434" s="98"/>
      <c r="VG434" s="98"/>
      <c r="VH434" s="98"/>
      <c r="VI434" s="98"/>
      <c r="VJ434" s="98"/>
      <c r="VK434" s="98"/>
      <c r="VL434" s="98"/>
      <c r="VM434" s="98"/>
      <c r="VN434" s="98"/>
      <c r="VO434" s="98"/>
      <c r="VP434" s="98"/>
      <c r="VQ434" s="98"/>
      <c r="VR434" s="98"/>
      <c r="VS434" s="98"/>
      <c r="VT434" s="98"/>
      <c r="VU434" s="98"/>
      <c r="VV434" s="98"/>
      <c r="VW434" s="98"/>
      <c r="VX434" s="98"/>
      <c r="VY434" s="98"/>
      <c r="VZ434" s="98"/>
      <c r="WA434" s="98"/>
      <c r="WB434" s="98"/>
      <c r="WC434" s="98"/>
      <c r="WD434" s="98"/>
      <c r="WE434" s="98"/>
      <c r="WF434" s="98"/>
      <c r="WG434" s="98"/>
      <c r="WH434" s="98"/>
      <c r="WI434" s="98"/>
      <c r="WJ434" s="98"/>
      <c r="WK434" s="98"/>
      <c r="WL434" s="98"/>
      <c r="WM434" s="98"/>
      <c r="WN434" s="98"/>
      <c r="WO434" s="98"/>
      <c r="WP434" s="98"/>
      <c r="WQ434" s="98"/>
    </row>
    <row r="435" spans="1:615" ht="230.25" outlineLevel="3" thickBot="1" x14ac:dyDescent="0.25">
      <c r="A435" s="10" t="s">
        <v>1182</v>
      </c>
      <c r="B435" s="162" t="s">
        <v>1183</v>
      </c>
      <c r="C435" s="47" t="s">
        <v>1184</v>
      </c>
      <c r="D435" s="162" t="s">
        <v>1185</v>
      </c>
      <c r="E435" s="25" t="s">
        <v>67</v>
      </c>
      <c r="F435" s="118" t="s">
        <v>1186</v>
      </c>
      <c r="G435" s="48" t="s">
        <v>191</v>
      </c>
      <c r="H435" s="26" t="s">
        <v>46</v>
      </c>
      <c r="I435" s="42">
        <v>3</v>
      </c>
      <c r="J435" s="28" t="s">
        <v>84</v>
      </c>
      <c r="K435" s="29" t="s">
        <v>1059</v>
      </c>
      <c r="L435" s="30">
        <v>1</v>
      </c>
      <c r="M435" s="31">
        <f t="shared" si="56"/>
        <v>3</v>
      </c>
      <c r="N435" s="32" t="s">
        <v>39</v>
      </c>
      <c r="O435" s="60" t="s">
        <v>884</v>
      </c>
      <c r="P435" s="30">
        <v>3</v>
      </c>
      <c r="Q435" s="34">
        <f t="shared" si="55"/>
        <v>9</v>
      </c>
      <c r="R435" s="49"/>
      <c r="S435" s="49"/>
      <c r="T435" s="49"/>
      <c r="U435" s="50"/>
      <c r="V435" s="51"/>
      <c r="W435" s="52"/>
      <c r="X435" s="51"/>
      <c r="Y435" s="51"/>
      <c r="Z435" s="53"/>
      <c r="AA435" s="40"/>
      <c r="AB435" s="41"/>
      <c r="AD435" s="17">
        <f t="shared" si="53"/>
        <v>-4826</v>
      </c>
      <c r="AE435" s="18">
        <f t="shared" si="57"/>
        <v>4826</v>
      </c>
      <c r="LK435" s="98"/>
      <c r="LL435" s="98"/>
      <c r="LM435" s="98"/>
      <c r="LN435" s="98"/>
      <c r="LO435" s="98"/>
      <c r="LP435" s="98"/>
      <c r="LQ435" s="98"/>
      <c r="LR435" s="98"/>
      <c r="LS435" s="98"/>
      <c r="LT435" s="98"/>
      <c r="LU435" s="98"/>
      <c r="LV435" s="98"/>
      <c r="LW435" s="98"/>
      <c r="LX435" s="98"/>
      <c r="LY435" s="98"/>
      <c r="LZ435" s="98"/>
      <c r="MA435" s="98"/>
      <c r="MB435" s="98"/>
      <c r="MC435" s="98"/>
      <c r="MD435" s="98"/>
      <c r="ME435" s="98"/>
      <c r="MF435" s="98"/>
      <c r="MG435" s="98"/>
      <c r="MH435" s="98"/>
      <c r="MI435" s="98"/>
      <c r="MJ435" s="98"/>
      <c r="MK435" s="98"/>
      <c r="ML435" s="98"/>
      <c r="MM435" s="98"/>
      <c r="MN435" s="98"/>
      <c r="MO435" s="98"/>
      <c r="MP435" s="98"/>
      <c r="MQ435" s="98"/>
      <c r="MR435" s="98"/>
      <c r="MS435" s="98"/>
      <c r="MT435" s="98"/>
      <c r="MU435" s="98"/>
      <c r="MV435" s="98"/>
      <c r="MW435" s="98"/>
      <c r="MX435" s="98"/>
      <c r="MY435" s="98"/>
      <c r="MZ435" s="98"/>
      <c r="NA435" s="98"/>
      <c r="NB435" s="98"/>
      <c r="NC435" s="98"/>
      <c r="ND435" s="98"/>
      <c r="NE435" s="98"/>
      <c r="NF435" s="98"/>
      <c r="NG435" s="98"/>
      <c r="NH435" s="98"/>
      <c r="NI435" s="98"/>
      <c r="NJ435" s="98"/>
      <c r="NK435" s="98"/>
      <c r="NL435" s="98"/>
      <c r="NM435" s="98"/>
      <c r="NN435" s="98"/>
      <c r="NO435" s="98"/>
      <c r="NP435" s="98"/>
      <c r="NQ435" s="98"/>
      <c r="NR435" s="98"/>
      <c r="NS435" s="98"/>
      <c r="NT435" s="98"/>
      <c r="NU435" s="98"/>
      <c r="NV435" s="98"/>
      <c r="NW435" s="98"/>
      <c r="NX435" s="98"/>
      <c r="NY435" s="98"/>
      <c r="NZ435" s="98"/>
      <c r="OA435" s="98"/>
      <c r="OB435" s="98"/>
      <c r="OC435" s="98"/>
      <c r="OD435" s="98"/>
      <c r="OE435" s="98"/>
      <c r="OF435" s="98"/>
      <c r="OG435" s="98"/>
      <c r="OH435" s="98"/>
      <c r="OI435" s="98"/>
      <c r="OJ435" s="98"/>
      <c r="OK435" s="98"/>
      <c r="OL435" s="98"/>
      <c r="OM435" s="98"/>
      <c r="ON435" s="98"/>
      <c r="OO435" s="98"/>
      <c r="OP435" s="98"/>
      <c r="OQ435" s="98"/>
      <c r="OR435" s="98"/>
      <c r="OS435" s="98"/>
      <c r="OT435" s="98"/>
      <c r="OU435" s="98"/>
      <c r="OV435" s="98"/>
      <c r="OW435" s="98"/>
      <c r="OX435" s="98"/>
      <c r="OY435" s="98"/>
      <c r="OZ435" s="98"/>
      <c r="PA435" s="98"/>
      <c r="PB435" s="98"/>
      <c r="PC435" s="98"/>
      <c r="PD435" s="98"/>
      <c r="PE435" s="98"/>
      <c r="PF435" s="98"/>
      <c r="PG435" s="98"/>
      <c r="PH435" s="98"/>
      <c r="PI435" s="98"/>
      <c r="PJ435" s="98"/>
      <c r="PK435" s="98"/>
      <c r="PL435" s="98"/>
      <c r="PM435" s="98"/>
      <c r="PN435" s="98"/>
      <c r="PO435" s="98"/>
      <c r="PP435" s="98"/>
      <c r="PQ435" s="98"/>
      <c r="PR435" s="98"/>
      <c r="PS435" s="98"/>
      <c r="PT435" s="98"/>
      <c r="PU435" s="98"/>
      <c r="PV435" s="98"/>
      <c r="PW435" s="98"/>
      <c r="PX435" s="98"/>
      <c r="PY435" s="98"/>
      <c r="PZ435" s="98"/>
      <c r="QA435" s="98"/>
      <c r="QB435" s="98"/>
      <c r="QC435" s="98"/>
      <c r="QD435" s="98"/>
      <c r="QE435" s="98"/>
      <c r="QF435" s="98"/>
      <c r="QG435" s="98"/>
      <c r="QH435" s="98"/>
      <c r="QI435" s="98"/>
      <c r="QJ435" s="98"/>
      <c r="QK435" s="98"/>
      <c r="QL435" s="98"/>
      <c r="QM435" s="98"/>
      <c r="QN435" s="98"/>
      <c r="QO435" s="98"/>
      <c r="QP435" s="98"/>
      <c r="QQ435" s="98"/>
      <c r="QR435" s="98"/>
      <c r="QS435" s="98"/>
      <c r="QT435" s="98"/>
      <c r="QU435" s="98"/>
      <c r="QV435" s="98"/>
      <c r="QW435" s="98"/>
      <c r="QX435" s="98"/>
      <c r="QY435" s="98"/>
      <c r="QZ435" s="98"/>
      <c r="RA435" s="98"/>
      <c r="RB435" s="98"/>
      <c r="RC435" s="98"/>
      <c r="RD435" s="98"/>
      <c r="RE435" s="98"/>
      <c r="RF435" s="98"/>
      <c r="RG435" s="98"/>
      <c r="RH435" s="98"/>
      <c r="RI435" s="98"/>
      <c r="RJ435" s="98"/>
      <c r="RK435" s="98"/>
      <c r="RL435" s="98"/>
      <c r="RM435" s="98"/>
      <c r="RN435" s="98"/>
      <c r="RO435" s="98"/>
      <c r="RP435" s="98"/>
      <c r="RQ435" s="98"/>
      <c r="RR435" s="98"/>
      <c r="RS435" s="98"/>
      <c r="RT435" s="98"/>
      <c r="RU435" s="98"/>
      <c r="RV435" s="98"/>
      <c r="RW435" s="98"/>
      <c r="RX435" s="98"/>
      <c r="RY435" s="98"/>
      <c r="RZ435" s="98"/>
      <c r="SA435" s="98"/>
      <c r="SB435" s="98"/>
      <c r="SC435" s="98"/>
      <c r="SD435" s="98"/>
      <c r="SE435" s="98"/>
      <c r="SF435" s="98"/>
      <c r="SG435" s="98"/>
      <c r="SH435" s="98"/>
      <c r="SI435" s="98"/>
      <c r="SJ435" s="98"/>
      <c r="SK435" s="98"/>
      <c r="SL435" s="98"/>
      <c r="SM435" s="98"/>
      <c r="SN435" s="98"/>
      <c r="SO435" s="98"/>
      <c r="SP435" s="98"/>
      <c r="SQ435" s="98"/>
      <c r="SR435" s="98"/>
      <c r="SS435" s="98"/>
      <c r="ST435" s="98"/>
      <c r="SU435" s="98"/>
      <c r="SV435" s="98"/>
      <c r="SW435" s="98"/>
      <c r="SX435" s="98"/>
      <c r="SY435" s="98"/>
      <c r="SZ435" s="98"/>
      <c r="TA435" s="98"/>
      <c r="TB435" s="98"/>
      <c r="TC435" s="98"/>
      <c r="TD435" s="98"/>
      <c r="TE435" s="98"/>
      <c r="TF435" s="98"/>
      <c r="TG435" s="98"/>
      <c r="TH435" s="98"/>
      <c r="TI435" s="98"/>
      <c r="TJ435" s="98"/>
      <c r="TK435" s="98"/>
      <c r="TL435" s="98"/>
      <c r="TM435" s="98"/>
      <c r="TN435" s="98"/>
      <c r="TO435" s="98"/>
      <c r="TP435" s="98"/>
      <c r="TQ435" s="98"/>
      <c r="TR435" s="98"/>
      <c r="TS435" s="98"/>
      <c r="TT435" s="98"/>
      <c r="TU435" s="98"/>
      <c r="TV435" s="98"/>
      <c r="TW435" s="98"/>
      <c r="TX435" s="98"/>
      <c r="TY435" s="98"/>
      <c r="TZ435" s="98"/>
      <c r="UA435" s="98"/>
      <c r="UB435" s="98"/>
      <c r="UC435" s="98"/>
      <c r="UD435" s="98"/>
      <c r="UE435" s="98"/>
      <c r="UF435" s="98"/>
      <c r="UG435" s="98"/>
      <c r="UH435" s="98"/>
      <c r="UI435" s="98"/>
      <c r="UJ435" s="98"/>
      <c r="UK435" s="98"/>
      <c r="UL435" s="98"/>
      <c r="UM435" s="98"/>
      <c r="UN435" s="98"/>
      <c r="UO435" s="98"/>
      <c r="UP435" s="98"/>
      <c r="UQ435" s="98"/>
      <c r="UR435" s="98"/>
      <c r="US435" s="98"/>
      <c r="UT435" s="98"/>
      <c r="UU435" s="98"/>
      <c r="UV435" s="98"/>
      <c r="UW435" s="98"/>
      <c r="UX435" s="98"/>
      <c r="UY435" s="98"/>
      <c r="UZ435" s="98"/>
      <c r="VA435" s="98"/>
      <c r="VB435" s="98"/>
      <c r="VC435" s="98"/>
      <c r="VD435" s="98"/>
      <c r="VE435" s="98"/>
      <c r="VF435" s="98"/>
      <c r="VG435" s="98"/>
      <c r="VH435" s="98"/>
      <c r="VI435" s="98"/>
      <c r="VJ435" s="98"/>
      <c r="VK435" s="98"/>
      <c r="VL435" s="98"/>
      <c r="VM435" s="98"/>
      <c r="VN435" s="98"/>
      <c r="VO435" s="98"/>
      <c r="VP435" s="98"/>
      <c r="VQ435" s="98"/>
      <c r="VR435" s="98"/>
      <c r="VS435" s="98"/>
      <c r="VT435" s="98"/>
      <c r="VU435" s="98"/>
      <c r="VV435" s="98"/>
      <c r="VW435" s="98"/>
      <c r="VX435" s="98"/>
      <c r="VY435" s="98"/>
      <c r="VZ435" s="98"/>
      <c r="WA435" s="98"/>
      <c r="WB435" s="98"/>
      <c r="WC435" s="98"/>
      <c r="WD435" s="98"/>
      <c r="WE435" s="98"/>
      <c r="WF435" s="98"/>
      <c r="WG435" s="98"/>
      <c r="WH435" s="98"/>
      <c r="WI435" s="98"/>
      <c r="WJ435" s="98"/>
      <c r="WK435" s="98"/>
      <c r="WL435" s="98"/>
      <c r="WM435" s="98"/>
      <c r="WN435" s="98"/>
      <c r="WO435" s="98"/>
      <c r="WP435" s="98"/>
      <c r="WQ435" s="98"/>
    </row>
    <row r="436" spans="1:615" ht="230.25" outlineLevel="3" thickBot="1" x14ac:dyDescent="0.25">
      <c r="A436" s="10" t="s">
        <v>1187</v>
      </c>
      <c r="B436" s="163"/>
      <c r="C436" s="55"/>
      <c r="D436" s="163"/>
      <c r="E436" s="25" t="s">
        <v>71</v>
      </c>
      <c r="F436" s="118" t="s">
        <v>1186</v>
      </c>
      <c r="G436" s="48" t="s">
        <v>191</v>
      </c>
      <c r="H436" s="26" t="s">
        <v>46</v>
      </c>
      <c r="I436" s="42">
        <v>3</v>
      </c>
      <c r="J436" s="28" t="s">
        <v>74</v>
      </c>
      <c r="K436" s="29" t="s">
        <v>1059</v>
      </c>
      <c r="L436" s="30">
        <v>1</v>
      </c>
      <c r="M436" s="31">
        <f t="shared" si="56"/>
        <v>3</v>
      </c>
      <c r="N436" s="32" t="s">
        <v>39</v>
      </c>
      <c r="O436" s="60" t="s">
        <v>884</v>
      </c>
      <c r="P436" s="30">
        <v>3</v>
      </c>
      <c r="Q436" s="34">
        <f t="shared" si="55"/>
        <v>9</v>
      </c>
      <c r="R436" s="49"/>
      <c r="S436" s="49"/>
      <c r="T436" s="49"/>
      <c r="U436" s="50"/>
      <c r="V436" s="51"/>
      <c r="W436" s="52"/>
      <c r="X436" s="51"/>
      <c r="Y436" s="51"/>
      <c r="Z436" s="53"/>
      <c r="AA436" s="40"/>
      <c r="AB436" s="41"/>
      <c r="AD436" s="17">
        <f t="shared" si="53"/>
        <v>-4827</v>
      </c>
      <c r="AE436" s="18">
        <f t="shared" si="57"/>
        <v>4827</v>
      </c>
    </row>
    <row r="437" spans="1:615" ht="230.25" outlineLevel="3" thickBot="1" x14ac:dyDescent="0.25">
      <c r="A437" s="61" t="s">
        <v>1188</v>
      </c>
      <c r="B437" s="150" t="s">
        <v>1189</v>
      </c>
      <c r="C437" s="152" t="s">
        <v>1190</v>
      </c>
      <c r="D437" s="142" t="s">
        <v>1191</v>
      </c>
      <c r="E437" s="25" t="s">
        <v>171</v>
      </c>
      <c r="F437" s="25" t="s">
        <v>1058</v>
      </c>
      <c r="G437" s="48" t="s">
        <v>191</v>
      </c>
      <c r="H437" s="26" t="s">
        <v>46</v>
      </c>
      <c r="I437" s="42">
        <v>3</v>
      </c>
      <c r="J437" s="28" t="s">
        <v>74</v>
      </c>
      <c r="K437" s="29" t="s">
        <v>1059</v>
      </c>
      <c r="L437" s="30">
        <v>1</v>
      </c>
      <c r="M437" s="31">
        <f t="shared" si="56"/>
        <v>3</v>
      </c>
      <c r="N437" s="32" t="s">
        <v>39</v>
      </c>
      <c r="O437" s="60" t="s">
        <v>884</v>
      </c>
      <c r="P437" s="30">
        <v>1</v>
      </c>
      <c r="Q437" s="34">
        <f t="shared" si="55"/>
        <v>3</v>
      </c>
      <c r="R437" s="49"/>
      <c r="S437" s="49"/>
      <c r="T437" s="49"/>
      <c r="U437" s="50"/>
      <c r="V437" s="51"/>
      <c r="W437" s="52"/>
      <c r="X437" s="51"/>
      <c r="Y437" s="51"/>
      <c r="Z437" s="53"/>
      <c r="AA437" s="40"/>
      <c r="AB437" s="41"/>
      <c r="AD437" s="17">
        <f t="shared" si="53"/>
        <v>10470</v>
      </c>
      <c r="AE437" s="18"/>
    </row>
    <row r="438" spans="1:615" ht="230.25" outlineLevel="3" thickBot="1" x14ac:dyDescent="0.25">
      <c r="A438" s="61" t="s">
        <v>1192</v>
      </c>
      <c r="B438" s="151"/>
      <c r="C438" s="153"/>
      <c r="D438" s="141"/>
      <c r="E438" s="25" t="s">
        <v>176</v>
      </c>
      <c r="F438" s="25" t="s">
        <v>1058</v>
      </c>
      <c r="G438" s="48" t="s">
        <v>191</v>
      </c>
      <c r="H438" s="26" t="s">
        <v>46</v>
      </c>
      <c r="I438" s="42">
        <v>3</v>
      </c>
      <c r="J438" s="28" t="s">
        <v>74</v>
      </c>
      <c r="K438" s="29" t="s">
        <v>1059</v>
      </c>
      <c r="L438" s="71">
        <v>1</v>
      </c>
      <c r="M438" s="31">
        <f t="shared" si="56"/>
        <v>3</v>
      </c>
      <c r="N438" s="32" t="s">
        <v>39</v>
      </c>
      <c r="O438" s="60" t="s">
        <v>884</v>
      </c>
      <c r="P438" s="30">
        <v>3</v>
      </c>
      <c r="Q438" s="34">
        <f t="shared" si="55"/>
        <v>9</v>
      </c>
      <c r="R438" s="49"/>
      <c r="S438" s="49"/>
      <c r="T438" s="49"/>
      <c r="U438" s="50"/>
      <c r="V438" s="51"/>
      <c r="W438" s="52"/>
      <c r="X438" s="51"/>
      <c r="Y438" s="51"/>
      <c r="Z438" s="53"/>
      <c r="AA438" s="40"/>
      <c r="AB438" s="41"/>
      <c r="AD438" s="17">
        <f t="shared" si="53"/>
        <v>10471</v>
      </c>
      <c r="AE438" s="18"/>
    </row>
    <row r="439" spans="1:615" ht="230.25" outlineLevel="3" thickBot="1" x14ac:dyDescent="0.25">
      <c r="A439" s="10" t="s">
        <v>1193</v>
      </c>
      <c r="B439" s="162" t="s">
        <v>1141</v>
      </c>
      <c r="C439" s="47" t="s">
        <v>1194</v>
      </c>
      <c r="D439" s="162" t="s">
        <v>1195</v>
      </c>
      <c r="E439" s="25" t="s">
        <v>847</v>
      </c>
      <c r="F439" s="25" t="s">
        <v>1080</v>
      </c>
      <c r="G439" s="48" t="s">
        <v>275</v>
      </c>
      <c r="H439" s="26" t="s">
        <v>61</v>
      </c>
      <c r="I439" s="42">
        <v>1</v>
      </c>
      <c r="J439" s="28" t="s">
        <v>74</v>
      </c>
      <c r="K439" s="29" t="s">
        <v>75</v>
      </c>
      <c r="L439" s="30">
        <v>1</v>
      </c>
      <c r="M439" s="31">
        <f t="shared" si="56"/>
        <v>1</v>
      </c>
      <c r="N439" s="32" t="s">
        <v>39</v>
      </c>
      <c r="O439" s="33" t="s">
        <v>76</v>
      </c>
      <c r="P439" s="30">
        <v>5</v>
      </c>
      <c r="Q439" s="34">
        <f t="shared" si="55"/>
        <v>5</v>
      </c>
      <c r="R439" s="49"/>
      <c r="S439" s="49"/>
      <c r="T439" s="49"/>
      <c r="U439" s="50"/>
      <c r="V439" s="51"/>
      <c r="W439" s="52"/>
      <c r="X439" s="51"/>
      <c r="Y439" s="51"/>
      <c r="Z439" s="53"/>
      <c r="AA439" s="40"/>
      <c r="AB439" s="41"/>
      <c r="AD439" s="17">
        <f t="shared" si="53"/>
        <v>-4828</v>
      </c>
      <c r="AE439" s="18">
        <f t="shared" si="57"/>
        <v>4828</v>
      </c>
    </row>
    <row r="440" spans="1:615" ht="230.25" outlineLevel="3" thickBot="1" x14ac:dyDescent="0.25">
      <c r="A440" s="10" t="s">
        <v>1196</v>
      </c>
      <c r="B440" s="163"/>
      <c r="C440" s="55"/>
      <c r="D440" s="163"/>
      <c r="E440" s="25" t="s">
        <v>851</v>
      </c>
      <c r="F440" s="25" t="s">
        <v>1058</v>
      </c>
      <c r="G440" s="48" t="s">
        <v>191</v>
      </c>
      <c r="H440" s="26" t="s">
        <v>46</v>
      </c>
      <c r="I440" s="42">
        <v>3</v>
      </c>
      <c r="J440" s="70" t="s">
        <v>186</v>
      </c>
      <c r="K440" s="29" t="s">
        <v>1059</v>
      </c>
      <c r="L440" s="71">
        <v>1</v>
      </c>
      <c r="M440" s="31">
        <f t="shared" si="56"/>
        <v>3</v>
      </c>
      <c r="N440" s="32" t="s">
        <v>39</v>
      </c>
      <c r="O440" s="60" t="s">
        <v>884</v>
      </c>
      <c r="P440" s="30">
        <v>3</v>
      </c>
      <c r="Q440" s="34">
        <f t="shared" si="55"/>
        <v>9</v>
      </c>
      <c r="R440" s="49"/>
      <c r="S440" s="49"/>
      <c r="T440" s="49"/>
      <c r="U440" s="50"/>
      <c r="V440" s="51"/>
      <c r="W440" s="52"/>
      <c r="X440" s="51"/>
      <c r="Y440" s="51"/>
      <c r="Z440" s="53"/>
      <c r="AA440" s="40"/>
      <c r="AB440" s="41"/>
      <c r="AD440" s="17">
        <f t="shared" si="53"/>
        <v>-4829</v>
      </c>
      <c r="AE440" s="18">
        <f t="shared" si="57"/>
        <v>4829</v>
      </c>
    </row>
    <row r="441" spans="1:615" ht="230.25" outlineLevel="3" thickBot="1" x14ac:dyDescent="0.25">
      <c r="A441" s="10" t="s">
        <v>1197</v>
      </c>
      <c r="B441" s="119" t="s">
        <v>1198</v>
      </c>
      <c r="C441" s="47" t="s">
        <v>1199</v>
      </c>
      <c r="D441" s="119" t="s">
        <v>1200</v>
      </c>
      <c r="E441" s="25" t="s">
        <v>1201</v>
      </c>
      <c r="F441" s="25" t="s">
        <v>1058</v>
      </c>
      <c r="G441" s="48" t="s">
        <v>191</v>
      </c>
      <c r="H441" s="26" t="s">
        <v>46</v>
      </c>
      <c r="I441" s="42">
        <v>3</v>
      </c>
      <c r="J441" s="28" t="s">
        <v>84</v>
      </c>
      <c r="K441" s="29" t="s">
        <v>1059</v>
      </c>
      <c r="L441" s="30">
        <v>1</v>
      </c>
      <c r="M441" s="31">
        <f t="shared" si="56"/>
        <v>3</v>
      </c>
      <c r="N441" s="32" t="s">
        <v>39</v>
      </c>
      <c r="O441" s="60" t="s">
        <v>884</v>
      </c>
      <c r="P441" s="30">
        <v>4</v>
      </c>
      <c r="Q441" s="34">
        <f t="shared" si="55"/>
        <v>12</v>
      </c>
      <c r="R441" s="49"/>
      <c r="S441" s="49"/>
      <c r="T441" s="49"/>
      <c r="U441" s="50"/>
      <c r="V441" s="51"/>
      <c r="W441" s="52"/>
      <c r="X441" s="51"/>
      <c r="Y441" s="51"/>
      <c r="Z441" s="53"/>
      <c r="AA441" s="40"/>
      <c r="AB441" s="41"/>
      <c r="AD441" s="17">
        <f t="shared" si="53"/>
        <v>-4830</v>
      </c>
      <c r="AE441" s="18">
        <f t="shared" si="57"/>
        <v>4830</v>
      </c>
    </row>
    <row r="442" spans="1:615" ht="230.25" outlineLevel="3" thickBot="1" x14ac:dyDescent="0.25">
      <c r="A442" s="10" t="s">
        <v>1202</v>
      </c>
      <c r="B442" s="119" t="s">
        <v>1203</v>
      </c>
      <c r="C442" s="54" t="s">
        <v>1204</v>
      </c>
      <c r="D442" s="25" t="s">
        <v>1205</v>
      </c>
      <c r="E442" s="25" t="s">
        <v>1206</v>
      </c>
      <c r="F442" s="25" t="s">
        <v>1207</v>
      </c>
      <c r="G442" s="74" t="s">
        <v>1208</v>
      </c>
      <c r="H442" s="26" t="s">
        <v>107</v>
      </c>
      <c r="I442" s="42">
        <v>2</v>
      </c>
      <c r="J442" s="28" t="s">
        <v>47</v>
      </c>
      <c r="K442" s="29" t="s">
        <v>62</v>
      </c>
      <c r="L442" s="30">
        <v>1</v>
      </c>
      <c r="M442" s="120">
        <f t="shared" si="56"/>
        <v>2</v>
      </c>
      <c r="N442" s="32" t="s">
        <v>39</v>
      </c>
      <c r="O442" s="33" t="s">
        <v>76</v>
      </c>
      <c r="P442" s="71">
        <v>5</v>
      </c>
      <c r="Q442" s="34">
        <f t="shared" si="55"/>
        <v>10</v>
      </c>
      <c r="R442" s="49"/>
      <c r="S442" s="49"/>
      <c r="T442" s="49"/>
      <c r="U442" s="50"/>
      <c r="V442" s="51"/>
      <c r="W442" s="52"/>
      <c r="X442" s="51"/>
      <c r="Y442" s="51"/>
      <c r="Z442" s="53"/>
      <c r="AA442" s="40"/>
      <c r="AB442" s="41"/>
      <c r="AD442" s="17">
        <f t="shared" si="53"/>
        <v>-1594</v>
      </c>
      <c r="AE442" s="18">
        <f t="shared" si="57"/>
        <v>1594</v>
      </c>
      <c r="LK442" s="98"/>
      <c r="LL442" s="98"/>
      <c r="LM442" s="98"/>
      <c r="LN442" s="98"/>
      <c r="LO442" s="98"/>
      <c r="LP442" s="98"/>
      <c r="LQ442" s="98"/>
      <c r="LR442" s="98"/>
      <c r="LS442" s="98"/>
      <c r="LT442" s="98"/>
      <c r="LU442" s="98"/>
      <c r="LV442" s="98"/>
      <c r="LW442" s="98"/>
      <c r="LX442" s="98"/>
      <c r="LY442" s="98"/>
      <c r="LZ442" s="98"/>
      <c r="MA442" s="98"/>
      <c r="MB442" s="98"/>
      <c r="MC442" s="98"/>
      <c r="MD442" s="98"/>
      <c r="ME442" s="98"/>
      <c r="MF442" s="98"/>
      <c r="MG442" s="98"/>
      <c r="MH442" s="98"/>
      <c r="MI442" s="98"/>
      <c r="MJ442" s="98"/>
      <c r="MK442" s="98"/>
      <c r="ML442" s="98"/>
      <c r="MM442" s="98"/>
      <c r="MN442" s="98"/>
      <c r="MO442" s="98"/>
      <c r="MP442" s="98"/>
      <c r="MQ442" s="98"/>
      <c r="MR442" s="98"/>
      <c r="MS442" s="98"/>
      <c r="MT442" s="98"/>
      <c r="MU442" s="98"/>
      <c r="MV442" s="98"/>
      <c r="MW442" s="98"/>
      <c r="MX442" s="98"/>
      <c r="MY442" s="98"/>
      <c r="MZ442" s="98"/>
      <c r="NA442" s="98"/>
      <c r="NB442" s="98"/>
      <c r="NC442" s="98"/>
      <c r="ND442" s="98"/>
      <c r="NE442" s="98"/>
      <c r="NF442" s="98"/>
      <c r="NG442" s="98"/>
      <c r="NH442" s="98"/>
      <c r="NI442" s="98"/>
      <c r="NJ442" s="98"/>
      <c r="NK442" s="98"/>
      <c r="NL442" s="98"/>
      <c r="NM442" s="98"/>
      <c r="NN442" s="98"/>
      <c r="NO442" s="98"/>
      <c r="NP442" s="98"/>
      <c r="NQ442" s="98"/>
      <c r="NR442" s="98"/>
      <c r="NS442" s="98"/>
      <c r="NT442" s="98"/>
      <c r="NU442" s="98"/>
      <c r="NV442" s="98"/>
      <c r="NW442" s="98"/>
      <c r="NX442" s="98"/>
      <c r="NY442" s="98"/>
      <c r="NZ442" s="98"/>
      <c r="OA442" s="98"/>
      <c r="OB442" s="98"/>
      <c r="OC442" s="98"/>
      <c r="OD442" s="98"/>
      <c r="OE442" s="98"/>
      <c r="OF442" s="98"/>
      <c r="OG442" s="98"/>
      <c r="OH442" s="98"/>
      <c r="OI442" s="98"/>
      <c r="OJ442" s="98"/>
      <c r="OK442" s="98"/>
      <c r="OL442" s="98"/>
      <c r="OM442" s="98"/>
      <c r="ON442" s="98"/>
      <c r="OO442" s="98"/>
      <c r="OP442" s="98"/>
      <c r="OQ442" s="98"/>
      <c r="OR442" s="98"/>
      <c r="OS442" s="98"/>
      <c r="OT442" s="98"/>
      <c r="OU442" s="98"/>
      <c r="OV442" s="98"/>
      <c r="OW442" s="98"/>
      <c r="OX442" s="98"/>
      <c r="OY442" s="98"/>
      <c r="OZ442" s="98"/>
      <c r="PA442" s="98"/>
      <c r="PB442" s="98"/>
      <c r="PC442" s="98"/>
      <c r="PD442" s="98"/>
      <c r="PE442" s="98"/>
      <c r="PF442" s="98"/>
      <c r="PG442" s="98"/>
      <c r="PH442" s="98"/>
      <c r="PI442" s="98"/>
      <c r="PJ442" s="98"/>
      <c r="PK442" s="98"/>
      <c r="PL442" s="98"/>
      <c r="PM442" s="98"/>
      <c r="PN442" s="98"/>
      <c r="PO442" s="98"/>
      <c r="PP442" s="98"/>
      <c r="PQ442" s="98"/>
      <c r="PR442" s="98"/>
      <c r="PS442" s="98"/>
      <c r="PT442" s="98"/>
      <c r="PU442" s="98"/>
      <c r="PV442" s="98"/>
      <c r="PW442" s="98"/>
      <c r="PX442" s="98"/>
      <c r="PY442" s="98"/>
      <c r="PZ442" s="98"/>
      <c r="QA442" s="98"/>
      <c r="QB442" s="98"/>
      <c r="QC442" s="98"/>
      <c r="QD442" s="98"/>
      <c r="QE442" s="98"/>
      <c r="QF442" s="98"/>
      <c r="QG442" s="98"/>
      <c r="QH442" s="98"/>
      <c r="QI442" s="98"/>
      <c r="QJ442" s="98"/>
      <c r="QK442" s="98"/>
      <c r="QL442" s="98"/>
      <c r="QM442" s="98"/>
      <c r="QN442" s="98"/>
      <c r="QO442" s="98"/>
      <c r="QP442" s="98"/>
      <c r="QQ442" s="98"/>
      <c r="QR442" s="98"/>
      <c r="QS442" s="98"/>
      <c r="QT442" s="98"/>
      <c r="QU442" s="98"/>
      <c r="QV442" s="98"/>
      <c r="QW442" s="98"/>
      <c r="QX442" s="98"/>
      <c r="QY442" s="98"/>
      <c r="QZ442" s="98"/>
      <c r="RA442" s="98"/>
      <c r="RB442" s="98"/>
      <c r="RC442" s="98"/>
      <c r="RD442" s="98"/>
      <c r="RE442" s="98"/>
      <c r="RF442" s="98"/>
      <c r="RG442" s="98"/>
      <c r="RH442" s="98"/>
      <c r="RI442" s="98"/>
      <c r="RJ442" s="98"/>
      <c r="RK442" s="98"/>
      <c r="RL442" s="98"/>
      <c r="RM442" s="98"/>
      <c r="RN442" s="98"/>
      <c r="RO442" s="98"/>
      <c r="RP442" s="98"/>
      <c r="RQ442" s="98"/>
      <c r="RR442" s="98"/>
      <c r="RS442" s="98"/>
      <c r="RT442" s="98"/>
      <c r="RU442" s="98"/>
      <c r="RV442" s="98"/>
      <c r="RW442" s="98"/>
      <c r="RX442" s="98"/>
      <c r="RY442" s="98"/>
      <c r="RZ442" s="98"/>
      <c r="SA442" s="98"/>
      <c r="SB442" s="98"/>
      <c r="SC442" s="98"/>
      <c r="SD442" s="98"/>
      <c r="SE442" s="98"/>
      <c r="SF442" s="98"/>
      <c r="SG442" s="98"/>
      <c r="SH442" s="98"/>
      <c r="SI442" s="98"/>
      <c r="SJ442" s="98"/>
      <c r="SK442" s="98"/>
      <c r="SL442" s="98"/>
      <c r="SM442" s="98"/>
      <c r="SN442" s="98"/>
      <c r="SO442" s="98"/>
      <c r="SP442" s="98"/>
      <c r="SQ442" s="98"/>
      <c r="SR442" s="98"/>
      <c r="SS442" s="98"/>
      <c r="ST442" s="98"/>
      <c r="SU442" s="98"/>
      <c r="SV442" s="98"/>
      <c r="SW442" s="98"/>
      <c r="SX442" s="98"/>
      <c r="SY442" s="98"/>
      <c r="SZ442" s="98"/>
      <c r="TA442" s="98"/>
      <c r="TB442" s="98"/>
      <c r="TC442" s="98"/>
      <c r="TD442" s="98"/>
      <c r="TE442" s="98"/>
      <c r="TF442" s="98"/>
      <c r="TG442" s="98"/>
      <c r="TH442" s="98"/>
      <c r="TI442" s="98"/>
      <c r="TJ442" s="98"/>
      <c r="TK442" s="98"/>
      <c r="TL442" s="98"/>
      <c r="TM442" s="98"/>
      <c r="TN442" s="98"/>
      <c r="TO442" s="98"/>
      <c r="TP442" s="98"/>
      <c r="TQ442" s="98"/>
      <c r="TR442" s="98"/>
      <c r="TS442" s="98"/>
      <c r="TT442" s="98"/>
      <c r="TU442" s="98"/>
      <c r="TV442" s="98"/>
      <c r="TW442" s="98"/>
      <c r="TX442" s="98"/>
      <c r="TY442" s="98"/>
      <c r="TZ442" s="98"/>
      <c r="UA442" s="98"/>
      <c r="UB442" s="98"/>
      <c r="UC442" s="98"/>
      <c r="UD442" s="98"/>
      <c r="UE442" s="98"/>
      <c r="UF442" s="98"/>
      <c r="UG442" s="98"/>
      <c r="UH442" s="98"/>
      <c r="UI442" s="98"/>
      <c r="UJ442" s="98"/>
      <c r="UK442" s="98"/>
      <c r="UL442" s="98"/>
      <c r="UM442" s="98"/>
      <c r="UN442" s="98"/>
      <c r="UO442" s="98"/>
      <c r="UP442" s="98"/>
      <c r="UQ442" s="98"/>
      <c r="UR442" s="98"/>
      <c r="US442" s="98"/>
      <c r="UT442" s="98"/>
      <c r="UU442" s="98"/>
      <c r="UV442" s="98"/>
      <c r="UW442" s="98"/>
      <c r="UX442" s="98"/>
      <c r="UY442" s="98"/>
      <c r="UZ442" s="98"/>
      <c r="VA442" s="98"/>
      <c r="VB442" s="98"/>
      <c r="VC442" s="98"/>
      <c r="VD442" s="98"/>
      <c r="VE442" s="98"/>
      <c r="VF442" s="98"/>
      <c r="VG442" s="98"/>
      <c r="VH442" s="98"/>
      <c r="VI442" s="98"/>
      <c r="VJ442" s="98"/>
      <c r="VK442" s="98"/>
      <c r="VL442" s="98"/>
      <c r="VM442" s="98"/>
      <c r="VN442" s="98"/>
      <c r="VO442" s="98"/>
      <c r="VP442" s="98"/>
      <c r="VQ442" s="98"/>
      <c r="VR442" s="98"/>
      <c r="VS442" s="98"/>
      <c r="VT442" s="98"/>
      <c r="VU442" s="98"/>
      <c r="VV442" s="98"/>
      <c r="VW442" s="98"/>
      <c r="VX442" s="98"/>
      <c r="VY442" s="98"/>
      <c r="VZ442" s="98"/>
      <c r="WA442" s="98"/>
      <c r="WB442" s="98"/>
      <c r="WC442" s="98"/>
      <c r="WD442" s="98"/>
      <c r="WE442" s="98"/>
      <c r="WF442" s="98"/>
      <c r="WG442" s="98"/>
      <c r="WH442" s="98"/>
      <c r="WI442" s="98"/>
      <c r="WJ442" s="98"/>
      <c r="WK442" s="98"/>
      <c r="WL442" s="98"/>
      <c r="WM442" s="98"/>
      <c r="WN442" s="98"/>
      <c r="WO442" s="98"/>
      <c r="WP442" s="98"/>
      <c r="WQ442" s="98"/>
    </row>
    <row r="443" spans="1:615" ht="230.25" outlineLevel="3" thickBot="1" x14ac:dyDescent="0.25">
      <c r="A443" s="10" t="s">
        <v>1209</v>
      </c>
      <c r="B443" s="142" t="s">
        <v>1210</v>
      </c>
      <c r="C443" s="47" t="s">
        <v>1211</v>
      </c>
      <c r="D443" s="142" t="s">
        <v>1212</v>
      </c>
      <c r="E443" s="25" t="s">
        <v>1213</v>
      </c>
      <c r="F443" s="48" t="s">
        <v>1214</v>
      </c>
      <c r="G443" s="48" t="s">
        <v>275</v>
      </c>
      <c r="H443" s="26" t="s">
        <v>61</v>
      </c>
      <c r="I443" s="42">
        <v>1</v>
      </c>
      <c r="J443" s="28" t="s">
        <v>237</v>
      </c>
      <c r="K443" s="29" t="s">
        <v>75</v>
      </c>
      <c r="L443" s="30">
        <v>1</v>
      </c>
      <c r="M443" s="31">
        <f t="shared" si="56"/>
        <v>1</v>
      </c>
      <c r="N443" s="32" t="s">
        <v>39</v>
      </c>
      <c r="O443" s="53" t="s">
        <v>76</v>
      </c>
      <c r="P443" s="30">
        <v>5</v>
      </c>
      <c r="Q443" s="34">
        <f t="shared" si="55"/>
        <v>5</v>
      </c>
      <c r="R443" s="49"/>
      <c r="S443" s="49"/>
      <c r="T443" s="49"/>
      <c r="U443" s="50"/>
      <c r="V443" s="51"/>
      <c r="W443" s="52"/>
      <c r="X443" s="51"/>
      <c r="Y443" s="51"/>
      <c r="Z443" s="53"/>
      <c r="AA443" s="40"/>
      <c r="AB443" s="41"/>
      <c r="AD443" s="17">
        <f t="shared" si="53"/>
        <v>-1595</v>
      </c>
      <c r="AE443" s="18">
        <f t="shared" si="57"/>
        <v>1595</v>
      </c>
      <c r="LK443" s="98"/>
      <c r="LL443" s="98"/>
      <c r="LM443" s="98"/>
      <c r="LN443" s="98"/>
      <c r="LO443" s="98"/>
      <c r="LP443" s="98"/>
      <c r="LQ443" s="98"/>
      <c r="LR443" s="98"/>
      <c r="LS443" s="98"/>
      <c r="LT443" s="98"/>
      <c r="LU443" s="98"/>
      <c r="LV443" s="98"/>
      <c r="LW443" s="98"/>
      <c r="LX443" s="98"/>
      <c r="LY443" s="98"/>
      <c r="LZ443" s="98"/>
      <c r="MA443" s="98"/>
      <c r="MB443" s="98"/>
      <c r="MC443" s="98"/>
      <c r="MD443" s="98"/>
      <c r="ME443" s="98"/>
      <c r="MF443" s="98"/>
      <c r="MG443" s="98"/>
      <c r="MH443" s="98"/>
      <c r="MI443" s="98"/>
      <c r="MJ443" s="98"/>
      <c r="MK443" s="98"/>
      <c r="ML443" s="98"/>
      <c r="MM443" s="98"/>
      <c r="MN443" s="98"/>
      <c r="MO443" s="98"/>
      <c r="MP443" s="98"/>
      <c r="MQ443" s="98"/>
      <c r="MR443" s="98"/>
      <c r="MS443" s="98"/>
      <c r="MT443" s="98"/>
      <c r="MU443" s="98"/>
      <c r="MV443" s="98"/>
      <c r="MW443" s="98"/>
      <c r="MX443" s="98"/>
      <c r="MY443" s="98"/>
      <c r="MZ443" s="98"/>
      <c r="NA443" s="98"/>
      <c r="NB443" s="98"/>
      <c r="NC443" s="98"/>
      <c r="ND443" s="98"/>
      <c r="NE443" s="98"/>
      <c r="NF443" s="98"/>
      <c r="NG443" s="98"/>
      <c r="NH443" s="98"/>
      <c r="NI443" s="98"/>
      <c r="NJ443" s="98"/>
      <c r="NK443" s="98"/>
      <c r="NL443" s="98"/>
      <c r="NM443" s="98"/>
      <c r="NN443" s="98"/>
      <c r="NO443" s="98"/>
      <c r="NP443" s="98"/>
      <c r="NQ443" s="98"/>
      <c r="NR443" s="98"/>
      <c r="NS443" s="98"/>
      <c r="NT443" s="98"/>
      <c r="NU443" s="98"/>
      <c r="NV443" s="98"/>
      <c r="NW443" s="98"/>
      <c r="NX443" s="98"/>
      <c r="NY443" s="98"/>
      <c r="NZ443" s="98"/>
      <c r="OA443" s="98"/>
      <c r="OB443" s="98"/>
      <c r="OC443" s="98"/>
      <c r="OD443" s="98"/>
      <c r="OE443" s="98"/>
      <c r="OF443" s="98"/>
      <c r="OG443" s="98"/>
      <c r="OH443" s="98"/>
      <c r="OI443" s="98"/>
      <c r="OJ443" s="98"/>
      <c r="OK443" s="98"/>
      <c r="OL443" s="98"/>
      <c r="OM443" s="98"/>
      <c r="ON443" s="98"/>
      <c r="OO443" s="98"/>
      <c r="OP443" s="98"/>
      <c r="OQ443" s="98"/>
      <c r="OR443" s="98"/>
      <c r="OS443" s="98"/>
      <c r="OT443" s="98"/>
      <c r="OU443" s="98"/>
      <c r="OV443" s="98"/>
      <c r="OW443" s="98"/>
      <c r="OX443" s="98"/>
      <c r="OY443" s="98"/>
      <c r="OZ443" s="98"/>
      <c r="PA443" s="98"/>
      <c r="PB443" s="98"/>
      <c r="PC443" s="98"/>
      <c r="PD443" s="98"/>
      <c r="PE443" s="98"/>
      <c r="PF443" s="98"/>
      <c r="PG443" s="98"/>
      <c r="PH443" s="98"/>
      <c r="PI443" s="98"/>
      <c r="PJ443" s="98"/>
      <c r="PK443" s="98"/>
      <c r="PL443" s="98"/>
      <c r="PM443" s="98"/>
      <c r="PN443" s="98"/>
      <c r="PO443" s="98"/>
      <c r="PP443" s="98"/>
      <c r="PQ443" s="98"/>
      <c r="PR443" s="98"/>
      <c r="PS443" s="98"/>
      <c r="PT443" s="98"/>
      <c r="PU443" s="98"/>
      <c r="PV443" s="98"/>
      <c r="PW443" s="98"/>
      <c r="PX443" s="98"/>
      <c r="PY443" s="98"/>
      <c r="PZ443" s="98"/>
      <c r="QA443" s="98"/>
      <c r="QB443" s="98"/>
      <c r="QC443" s="98"/>
      <c r="QD443" s="98"/>
      <c r="QE443" s="98"/>
      <c r="QF443" s="98"/>
      <c r="QG443" s="98"/>
      <c r="QH443" s="98"/>
      <c r="QI443" s="98"/>
      <c r="QJ443" s="98"/>
      <c r="QK443" s="98"/>
      <c r="QL443" s="98"/>
      <c r="QM443" s="98"/>
      <c r="QN443" s="98"/>
      <c r="QO443" s="98"/>
      <c r="QP443" s="98"/>
      <c r="QQ443" s="98"/>
      <c r="QR443" s="98"/>
      <c r="QS443" s="98"/>
      <c r="QT443" s="98"/>
      <c r="QU443" s="98"/>
      <c r="QV443" s="98"/>
      <c r="QW443" s="98"/>
      <c r="QX443" s="98"/>
      <c r="QY443" s="98"/>
      <c r="QZ443" s="98"/>
      <c r="RA443" s="98"/>
      <c r="RB443" s="98"/>
      <c r="RC443" s="98"/>
      <c r="RD443" s="98"/>
      <c r="RE443" s="98"/>
      <c r="RF443" s="98"/>
      <c r="RG443" s="98"/>
      <c r="RH443" s="98"/>
      <c r="RI443" s="98"/>
      <c r="RJ443" s="98"/>
      <c r="RK443" s="98"/>
      <c r="RL443" s="98"/>
      <c r="RM443" s="98"/>
      <c r="RN443" s="98"/>
      <c r="RO443" s="98"/>
      <c r="RP443" s="98"/>
      <c r="RQ443" s="98"/>
      <c r="RR443" s="98"/>
      <c r="RS443" s="98"/>
      <c r="RT443" s="98"/>
      <c r="RU443" s="98"/>
      <c r="RV443" s="98"/>
      <c r="RW443" s="98"/>
      <c r="RX443" s="98"/>
      <c r="RY443" s="98"/>
      <c r="RZ443" s="98"/>
      <c r="SA443" s="98"/>
      <c r="SB443" s="98"/>
      <c r="SC443" s="98"/>
      <c r="SD443" s="98"/>
      <c r="SE443" s="98"/>
      <c r="SF443" s="98"/>
      <c r="SG443" s="98"/>
      <c r="SH443" s="98"/>
      <c r="SI443" s="98"/>
      <c r="SJ443" s="98"/>
      <c r="SK443" s="98"/>
      <c r="SL443" s="98"/>
      <c r="SM443" s="98"/>
      <c r="SN443" s="98"/>
      <c r="SO443" s="98"/>
      <c r="SP443" s="98"/>
      <c r="SQ443" s="98"/>
      <c r="SR443" s="98"/>
      <c r="SS443" s="98"/>
      <c r="ST443" s="98"/>
      <c r="SU443" s="98"/>
      <c r="SV443" s="98"/>
      <c r="SW443" s="98"/>
      <c r="SX443" s="98"/>
      <c r="SY443" s="98"/>
      <c r="SZ443" s="98"/>
      <c r="TA443" s="98"/>
      <c r="TB443" s="98"/>
      <c r="TC443" s="98"/>
      <c r="TD443" s="98"/>
      <c r="TE443" s="98"/>
      <c r="TF443" s="98"/>
      <c r="TG443" s="98"/>
      <c r="TH443" s="98"/>
      <c r="TI443" s="98"/>
      <c r="TJ443" s="98"/>
      <c r="TK443" s="98"/>
      <c r="TL443" s="98"/>
      <c r="TM443" s="98"/>
      <c r="TN443" s="98"/>
      <c r="TO443" s="98"/>
      <c r="TP443" s="98"/>
      <c r="TQ443" s="98"/>
      <c r="TR443" s="98"/>
      <c r="TS443" s="98"/>
      <c r="TT443" s="98"/>
      <c r="TU443" s="98"/>
      <c r="TV443" s="98"/>
      <c r="TW443" s="98"/>
      <c r="TX443" s="98"/>
      <c r="TY443" s="98"/>
      <c r="TZ443" s="98"/>
      <c r="UA443" s="98"/>
      <c r="UB443" s="98"/>
      <c r="UC443" s="98"/>
      <c r="UD443" s="98"/>
      <c r="UE443" s="98"/>
      <c r="UF443" s="98"/>
      <c r="UG443" s="98"/>
      <c r="UH443" s="98"/>
      <c r="UI443" s="98"/>
      <c r="UJ443" s="98"/>
      <c r="UK443" s="98"/>
      <c r="UL443" s="98"/>
      <c r="UM443" s="98"/>
      <c r="UN443" s="98"/>
      <c r="UO443" s="98"/>
      <c r="UP443" s="98"/>
      <c r="UQ443" s="98"/>
      <c r="UR443" s="98"/>
      <c r="US443" s="98"/>
      <c r="UT443" s="98"/>
      <c r="UU443" s="98"/>
      <c r="UV443" s="98"/>
      <c r="UW443" s="98"/>
      <c r="UX443" s="98"/>
      <c r="UY443" s="98"/>
      <c r="UZ443" s="98"/>
      <c r="VA443" s="98"/>
      <c r="VB443" s="98"/>
      <c r="VC443" s="98"/>
      <c r="VD443" s="98"/>
      <c r="VE443" s="98"/>
      <c r="VF443" s="98"/>
      <c r="VG443" s="98"/>
      <c r="VH443" s="98"/>
      <c r="VI443" s="98"/>
      <c r="VJ443" s="98"/>
      <c r="VK443" s="98"/>
      <c r="VL443" s="98"/>
      <c r="VM443" s="98"/>
      <c r="VN443" s="98"/>
      <c r="VO443" s="98"/>
      <c r="VP443" s="98"/>
      <c r="VQ443" s="98"/>
      <c r="VR443" s="98"/>
      <c r="VS443" s="98"/>
      <c r="VT443" s="98"/>
      <c r="VU443" s="98"/>
      <c r="VV443" s="98"/>
      <c r="VW443" s="98"/>
      <c r="VX443" s="98"/>
      <c r="VY443" s="98"/>
      <c r="VZ443" s="98"/>
      <c r="WA443" s="98"/>
      <c r="WB443" s="98"/>
      <c r="WC443" s="98"/>
      <c r="WD443" s="98"/>
      <c r="WE443" s="98"/>
      <c r="WF443" s="98"/>
      <c r="WG443" s="98"/>
      <c r="WH443" s="98"/>
      <c r="WI443" s="98"/>
      <c r="WJ443" s="98"/>
      <c r="WK443" s="98"/>
      <c r="WL443" s="98"/>
      <c r="WM443" s="98"/>
      <c r="WN443" s="98"/>
      <c r="WO443" s="98"/>
      <c r="WP443" s="98"/>
      <c r="WQ443" s="98"/>
    </row>
    <row r="444" spans="1:615" ht="230.25" outlineLevel="3" thickBot="1" x14ac:dyDescent="0.25">
      <c r="A444" s="43" t="s">
        <v>1215</v>
      </c>
      <c r="B444" s="141"/>
      <c r="C444" s="55"/>
      <c r="D444" s="141"/>
      <c r="E444" s="25" t="s">
        <v>1216</v>
      </c>
      <c r="F444" s="25" t="s">
        <v>1207</v>
      </c>
      <c r="G444" s="74" t="s">
        <v>1208</v>
      </c>
      <c r="H444" s="26" t="s">
        <v>107</v>
      </c>
      <c r="I444" s="42">
        <v>2</v>
      </c>
      <c r="J444" s="28" t="s">
        <v>47</v>
      </c>
      <c r="K444" s="29" t="s">
        <v>62</v>
      </c>
      <c r="L444" s="30">
        <v>1</v>
      </c>
      <c r="M444" s="120">
        <f t="shared" si="56"/>
        <v>2</v>
      </c>
      <c r="N444" s="32" t="s">
        <v>39</v>
      </c>
      <c r="O444" s="33" t="s">
        <v>76</v>
      </c>
      <c r="P444" s="71">
        <v>5</v>
      </c>
      <c r="Q444" s="34">
        <f t="shared" si="55"/>
        <v>10</v>
      </c>
      <c r="R444" s="49"/>
      <c r="S444" s="49"/>
      <c r="T444" s="49"/>
      <c r="U444" s="50"/>
      <c r="V444" s="51"/>
      <c r="W444" s="52"/>
      <c r="X444" s="51"/>
      <c r="Y444" s="51"/>
      <c r="Z444" s="53"/>
      <c r="AA444" s="40"/>
      <c r="AB444" s="41"/>
      <c r="AD444" s="17">
        <f t="shared" si="53"/>
        <v>-1571</v>
      </c>
      <c r="AE444" s="18">
        <f t="shared" si="57"/>
        <v>1571</v>
      </c>
      <c r="HR444" s="98"/>
      <c r="HS444" s="98"/>
      <c r="HT444" s="98"/>
      <c r="HU444" s="98"/>
      <c r="HV444" s="98"/>
      <c r="HW444" s="98"/>
      <c r="HX444" s="98"/>
      <c r="HY444" s="98"/>
      <c r="HZ444" s="98"/>
      <c r="IA444" s="98"/>
      <c r="IB444" s="98"/>
      <c r="IC444" s="98"/>
      <c r="ID444" s="98"/>
      <c r="IE444" s="98"/>
      <c r="IF444" s="98"/>
      <c r="IG444" s="98"/>
      <c r="IH444" s="98"/>
      <c r="II444" s="98"/>
      <c r="IJ444" s="98"/>
      <c r="IK444" s="98"/>
      <c r="IL444" s="98"/>
      <c r="IM444" s="98"/>
      <c r="IN444" s="98"/>
      <c r="IO444" s="98"/>
      <c r="IP444" s="98"/>
      <c r="IQ444" s="98"/>
      <c r="IR444" s="98"/>
      <c r="IS444" s="98"/>
      <c r="IT444" s="98"/>
      <c r="IU444" s="98"/>
      <c r="IV444" s="98"/>
      <c r="IW444" s="98"/>
      <c r="IX444" s="98"/>
      <c r="IY444" s="98"/>
      <c r="IZ444" s="98"/>
      <c r="JA444" s="98"/>
      <c r="JB444" s="98"/>
      <c r="JC444" s="98"/>
      <c r="JD444" s="98"/>
      <c r="JE444" s="98"/>
      <c r="JF444" s="98"/>
      <c r="JG444" s="98"/>
      <c r="JH444" s="98"/>
      <c r="JI444" s="98"/>
      <c r="JJ444" s="98"/>
      <c r="JK444" s="98"/>
      <c r="JL444" s="98"/>
      <c r="JM444" s="98"/>
      <c r="JN444" s="98"/>
      <c r="JO444" s="98"/>
      <c r="JP444" s="98"/>
      <c r="JQ444" s="98"/>
      <c r="JR444" s="98"/>
      <c r="JS444" s="98"/>
      <c r="JT444" s="98"/>
      <c r="JU444" s="98"/>
      <c r="JV444" s="98"/>
      <c r="JW444" s="98"/>
      <c r="JX444" s="98"/>
      <c r="JY444" s="98"/>
      <c r="JZ444" s="98"/>
      <c r="KA444" s="98"/>
      <c r="KB444" s="98"/>
      <c r="KC444" s="98"/>
      <c r="KD444" s="98"/>
      <c r="KE444" s="98"/>
      <c r="KF444" s="98"/>
      <c r="KG444" s="98"/>
      <c r="KH444" s="98"/>
      <c r="KI444" s="98"/>
      <c r="KJ444" s="98"/>
      <c r="KK444" s="98"/>
      <c r="KL444" s="98"/>
      <c r="KM444" s="98"/>
      <c r="KN444" s="98"/>
      <c r="KO444" s="98"/>
      <c r="KP444" s="98"/>
      <c r="KQ444" s="98"/>
      <c r="KR444" s="98"/>
      <c r="KS444" s="98"/>
      <c r="KT444" s="98"/>
      <c r="KU444" s="98"/>
      <c r="KV444" s="98"/>
      <c r="KW444" s="98"/>
      <c r="KX444" s="98"/>
      <c r="KY444" s="98"/>
      <c r="KZ444" s="98"/>
      <c r="LA444" s="98"/>
      <c r="LB444" s="98"/>
      <c r="LC444" s="98"/>
      <c r="LD444" s="98"/>
      <c r="LE444" s="98"/>
      <c r="LF444" s="98"/>
      <c r="LG444" s="98"/>
      <c r="LH444" s="98"/>
      <c r="LI444" s="98"/>
      <c r="LJ444" s="98"/>
      <c r="LK444" s="98"/>
      <c r="LL444" s="98"/>
      <c r="LM444" s="98"/>
      <c r="LN444" s="98"/>
      <c r="LO444" s="98"/>
      <c r="LP444" s="98"/>
      <c r="LQ444" s="98"/>
      <c r="LR444" s="98"/>
      <c r="LS444" s="98"/>
      <c r="LT444" s="98"/>
      <c r="LU444" s="98"/>
      <c r="LV444" s="98"/>
      <c r="LW444" s="98"/>
      <c r="LX444" s="98"/>
      <c r="LY444" s="98"/>
      <c r="LZ444" s="98"/>
      <c r="MA444" s="98"/>
      <c r="MB444" s="98"/>
      <c r="MC444" s="98"/>
      <c r="MD444" s="98"/>
      <c r="ME444" s="98"/>
      <c r="MF444" s="98"/>
      <c r="MG444" s="98"/>
      <c r="MH444" s="98"/>
      <c r="MI444" s="98"/>
      <c r="MJ444" s="98"/>
      <c r="MK444" s="98"/>
      <c r="ML444" s="98"/>
      <c r="MM444" s="98"/>
      <c r="MN444" s="98"/>
      <c r="MO444" s="98"/>
      <c r="MP444" s="98"/>
      <c r="MQ444" s="98"/>
      <c r="MR444" s="98"/>
      <c r="MS444" s="98"/>
      <c r="MT444" s="98"/>
      <c r="MU444" s="98"/>
      <c r="MV444" s="98"/>
      <c r="MW444" s="98"/>
      <c r="MX444" s="98"/>
      <c r="MY444" s="98"/>
      <c r="MZ444" s="98"/>
      <c r="NA444" s="98"/>
      <c r="NB444" s="98"/>
      <c r="NC444" s="98"/>
      <c r="ND444" s="98"/>
      <c r="NE444" s="98"/>
      <c r="NF444" s="98"/>
      <c r="NG444" s="98"/>
      <c r="NH444" s="98"/>
      <c r="NI444" s="98"/>
      <c r="NJ444" s="98"/>
      <c r="NK444" s="98"/>
      <c r="NL444" s="98"/>
      <c r="NM444" s="98"/>
      <c r="NN444" s="98"/>
      <c r="NO444" s="98"/>
      <c r="NP444" s="98"/>
      <c r="NQ444" s="98"/>
      <c r="NR444" s="98"/>
      <c r="NS444" s="98"/>
      <c r="NT444" s="98"/>
      <c r="NU444" s="98"/>
      <c r="NV444" s="98"/>
      <c r="NW444" s="98"/>
      <c r="NX444" s="98"/>
      <c r="NY444" s="98"/>
      <c r="NZ444" s="98"/>
      <c r="OA444" s="98"/>
      <c r="OB444" s="98"/>
      <c r="OC444" s="98"/>
      <c r="OD444" s="98"/>
      <c r="OE444" s="98"/>
      <c r="OF444" s="98"/>
      <c r="OG444" s="98"/>
      <c r="OH444" s="98"/>
      <c r="OI444" s="98"/>
      <c r="OJ444" s="98"/>
      <c r="OK444" s="98"/>
      <c r="OL444" s="98"/>
      <c r="OM444" s="98"/>
      <c r="ON444" s="98"/>
      <c r="OO444" s="98"/>
      <c r="OP444" s="98"/>
      <c r="OQ444" s="98"/>
      <c r="OR444" s="98"/>
      <c r="OS444" s="98"/>
      <c r="OT444" s="98"/>
      <c r="OU444" s="98"/>
      <c r="OV444" s="98"/>
      <c r="OW444" s="98"/>
      <c r="OX444" s="98"/>
      <c r="OY444" s="98"/>
      <c r="OZ444" s="98"/>
      <c r="PA444" s="98"/>
      <c r="PB444" s="98"/>
      <c r="PC444" s="98"/>
      <c r="PD444" s="98"/>
      <c r="PE444" s="98"/>
      <c r="PF444" s="98"/>
      <c r="PG444" s="98"/>
      <c r="PH444" s="98"/>
      <c r="PI444" s="98"/>
      <c r="PJ444" s="98"/>
      <c r="PK444" s="98"/>
      <c r="PL444" s="98"/>
      <c r="PM444" s="98"/>
      <c r="PN444" s="98"/>
      <c r="PO444" s="98"/>
      <c r="PP444" s="98"/>
      <c r="PQ444" s="98"/>
      <c r="PR444" s="98"/>
      <c r="PS444" s="98"/>
      <c r="PT444" s="98"/>
      <c r="PU444" s="98"/>
      <c r="PV444" s="98"/>
      <c r="PW444" s="98"/>
      <c r="PX444" s="98"/>
      <c r="PY444" s="98"/>
      <c r="PZ444" s="98"/>
      <c r="QA444" s="98"/>
      <c r="QB444" s="98"/>
      <c r="QC444" s="98"/>
      <c r="QD444" s="98"/>
      <c r="QE444" s="98"/>
      <c r="QF444" s="98"/>
      <c r="QG444" s="98"/>
      <c r="QH444" s="98"/>
      <c r="QI444" s="98"/>
      <c r="QJ444" s="98"/>
      <c r="QK444" s="98"/>
      <c r="QL444" s="98"/>
      <c r="QM444" s="98"/>
      <c r="QN444" s="98"/>
      <c r="QO444" s="98"/>
      <c r="QP444" s="98"/>
      <c r="QQ444" s="98"/>
      <c r="QR444" s="98"/>
      <c r="QS444" s="98"/>
      <c r="QT444" s="98"/>
      <c r="QU444" s="98"/>
      <c r="QV444" s="98"/>
      <c r="QW444" s="98"/>
      <c r="QX444" s="98"/>
      <c r="QY444" s="98"/>
      <c r="QZ444" s="98"/>
      <c r="RA444" s="98"/>
      <c r="RB444" s="98"/>
      <c r="RC444" s="98"/>
      <c r="RD444" s="98"/>
      <c r="RE444" s="98"/>
      <c r="RF444" s="98"/>
      <c r="RG444" s="98"/>
      <c r="RH444" s="98"/>
      <c r="RI444" s="98"/>
      <c r="RJ444" s="98"/>
      <c r="RK444" s="98"/>
      <c r="RL444" s="98"/>
      <c r="RM444" s="98"/>
      <c r="RN444" s="98"/>
      <c r="RO444" s="98"/>
      <c r="RP444" s="98"/>
      <c r="RQ444" s="98"/>
      <c r="RR444" s="98"/>
      <c r="RS444" s="98"/>
      <c r="RT444" s="98"/>
      <c r="RU444" s="98"/>
      <c r="RV444" s="98"/>
      <c r="RW444" s="98"/>
      <c r="RX444" s="98"/>
      <c r="RY444" s="98"/>
      <c r="RZ444" s="98"/>
      <c r="SA444" s="98"/>
      <c r="SB444" s="98"/>
      <c r="SC444" s="98"/>
      <c r="SD444" s="98"/>
      <c r="SE444" s="98"/>
      <c r="SF444" s="98"/>
      <c r="SG444" s="98"/>
      <c r="SH444" s="98"/>
      <c r="SI444" s="98"/>
      <c r="SJ444" s="98"/>
      <c r="SK444" s="98"/>
      <c r="SL444" s="98"/>
      <c r="SM444" s="98"/>
      <c r="SN444" s="98"/>
      <c r="SO444" s="98"/>
      <c r="SP444" s="98"/>
      <c r="SQ444" s="98"/>
      <c r="SR444" s="98"/>
      <c r="SS444" s="98"/>
      <c r="ST444" s="98"/>
      <c r="SU444" s="98"/>
      <c r="SV444" s="98"/>
      <c r="SW444" s="98"/>
      <c r="SX444" s="98"/>
      <c r="SY444" s="98"/>
      <c r="SZ444" s="98"/>
      <c r="TA444" s="98"/>
      <c r="TB444" s="98"/>
      <c r="TC444" s="98"/>
      <c r="TD444" s="98"/>
      <c r="TE444" s="98"/>
      <c r="TF444" s="98"/>
      <c r="TG444" s="98"/>
      <c r="TH444" s="98"/>
      <c r="TI444" s="98"/>
      <c r="TJ444" s="98"/>
      <c r="TK444" s="98"/>
      <c r="TL444" s="98"/>
      <c r="TM444" s="98"/>
      <c r="TN444" s="98"/>
      <c r="TO444" s="98"/>
      <c r="TP444" s="98"/>
      <c r="TQ444" s="98"/>
      <c r="TR444" s="98"/>
      <c r="TS444" s="98"/>
      <c r="TT444" s="98"/>
      <c r="TU444" s="98"/>
      <c r="TV444" s="98"/>
      <c r="TW444" s="98"/>
      <c r="TX444" s="98"/>
      <c r="TY444" s="98"/>
      <c r="TZ444" s="98"/>
      <c r="UA444" s="98"/>
      <c r="UB444" s="98"/>
      <c r="UC444" s="98"/>
      <c r="UD444" s="98"/>
      <c r="UE444" s="98"/>
      <c r="UF444" s="98"/>
      <c r="UG444" s="98"/>
      <c r="UH444" s="98"/>
      <c r="UI444" s="98"/>
      <c r="UJ444" s="98"/>
      <c r="UK444" s="98"/>
      <c r="UL444" s="98"/>
      <c r="UM444" s="98"/>
      <c r="UN444" s="98"/>
      <c r="UO444" s="98"/>
      <c r="UP444" s="98"/>
      <c r="UQ444" s="98"/>
      <c r="UR444" s="98"/>
      <c r="US444" s="98"/>
      <c r="UT444" s="98"/>
      <c r="UU444" s="98"/>
      <c r="UV444" s="98"/>
      <c r="UW444" s="98"/>
      <c r="UX444" s="98"/>
      <c r="UY444" s="98"/>
      <c r="UZ444" s="98"/>
      <c r="VA444" s="98"/>
      <c r="VB444" s="98"/>
      <c r="VC444" s="98"/>
      <c r="VD444" s="98"/>
      <c r="VE444" s="98"/>
      <c r="VF444" s="98"/>
      <c r="VG444" s="98"/>
      <c r="VH444" s="98"/>
      <c r="VI444" s="98"/>
      <c r="VJ444" s="98"/>
      <c r="VK444" s="98"/>
      <c r="VL444" s="98"/>
      <c r="VM444" s="98"/>
      <c r="VN444" s="98"/>
      <c r="VO444" s="98"/>
      <c r="VP444" s="98"/>
      <c r="VQ444" s="98"/>
      <c r="VR444" s="98"/>
      <c r="VS444" s="98"/>
      <c r="VT444" s="98"/>
      <c r="VU444" s="98"/>
      <c r="VV444" s="98"/>
      <c r="VW444" s="98"/>
      <c r="VX444" s="98"/>
      <c r="VY444" s="98"/>
      <c r="VZ444" s="98"/>
      <c r="WA444" s="98"/>
      <c r="WB444" s="98"/>
      <c r="WC444" s="98"/>
      <c r="WD444" s="98"/>
      <c r="WE444" s="98"/>
      <c r="WF444" s="98"/>
      <c r="WG444" s="98"/>
      <c r="WH444" s="98"/>
      <c r="WI444" s="98"/>
      <c r="WJ444" s="98"/>
      <c r="WK444" s="98"/>
      <c r="WL444" s="98"/>
      <c r="WM444" s="98"/>
      <c r="WN444" s="98"/>
      <c r="WO444" s="98"/>
      <c r="WP444" s="98"/>
      <c r="WQ444" s="98"/>
    </row>
    <row r="445" spans="1:615" ht="230.25" outlineLevel="3" thickBot="1" x14ac:dyDescent="0.25">
      <c r="A445" s="43" t="s">
        <v>1217</v>
      </c>
      <c r="B445" s="142" t="s">
        <v>1218</v>
      </c>
      <c r="C445" s="47" t="s">
        <v>1219</v>
      </c>
      <c r="D445" s="142" t="s">
        <v>1220</v>
      </c>
      <c r="E445" s="25" t="s">
        <v>1221</v>
      </c>
      <c r="F445" s="25" t="s">
        <v>1207</v>
      </c>
      <c r="G445" s="74" t="s">
        <v>1208</v>
      </c>
      <c r="H445" s="26" t="s">
        <v>107</v>
      </c>
      <c r="I445" s="42">
        <v>2</v>
      </c>
      <c r="J445" s="28" t="s">
        <v>1099</v>
      </c>
      <c r="K445" s="29" t="s">
        <v>62</v>
      </c>
      <c r="L445" s="30">
        <v>1</v>
      </c>
      <c r="M445" s="120">
        <f t="shared" si="56"/>
        <v>2</v>
      </c>
      <c r="N445" s="32" t="s">
        <v>39</v>
      </c>
      <c r="O445" s="33" t="s">
        <v>76</v>
      </c>
      <c r="P445" s="71">
        <v>5</v>
      </c>
      <c r="Q445" s="34">
        <f t="shared" si="55"/>
        <v>10</v>
      </c>
      <c r="R445" s="49"/>
      <c r="S445" s="49"/>
      <c r="T445" s="49"/>
      <c r="U445" s="50"/>
      <c r="V445" s="51"/>
      <c r="W445" s="52"/>
      <c r="X445" s="51"/>
      <c r="Y445" s="51"/>
      <c r="Z445" s="53"/>
      <c r="AA445" s="40"/>
      <c r="AB445" s="41"/>
      <c r="AD445" s="17">
        <f t="shared" si="53"/>
        <v>-1572</v>
      </c>
      <c r="AE445" s="18">
        <f t="shared" si="57"/>
        <v>1572</v>
      </c>
      <c r="HR445" s="98"/>
      <c r="HS445" s="98"/>
      <c r="HT445" s="98"/>
      <c r="HU445" s="98"/>
      <c r="HV445" s="98"/>
      <c r="HW445" s="98"/>
      <c r="HX445" s="98"/>
      <c r="HY445" s="98"/>
      <c r="HZ445" s="98"/>
      <c r="IA445" s="98"/>
      <c r="IB445" s="98"/>
      <c r="IC445" s="98"/>
      <c r="ID445" s="98"/>
      <c r="IE445" s="98"/>
      <c r="IF445" s="98"/>
      <c r="IG445" s="98"/>
      <c r="IH445" s="98"/>
      <c r="II445" s="98"/>
      <c r="IJ445" s="98"/>
      <c r="IK445" s="98"/>
      <c r="IL445" s="98"/>
      <c r="IM445" s="98"/>
      <c r="IN445" s="98"/>
      <c r="IO445" s="98"/>
      <c r="IP445" s="98"/>
      <c r="IQ445" s="98"/>
      <c r="IR445" s="98"/>
      <c r="IS445" s="98"/>
      <c r="IT445" s="98"/>
      <c r="IU445" s="98"/>
      <c r="IV445" s="98"/>
      <c r="IW445" s="98"/>
      <c r="IX445" s="98"/>
      <c r="IY445" s="98"/>
      <c r="IZ445" s="98"/>
      <c r="JA445" s="98"/>
      <c r="JB445" s="98"/>
      <c r="JC445" s="98"/>
      <c r="JD445" s="98"/>
      <c r="JE445" s="98"/>
      <c r="JF445" s="98"/>
      <c r="JG445" s="98"/>
      <c r="JH445" s="98"/>
      <c r="JI445" s="98"/>
      <c r="JJ445" s="98"/>
      <c r="JK445" s="98"/>
      <c r="JL445" s="98"/>
      <c r="JM445" s="98"/>
      <c r="JN445" s="98"/>
      <c r="JO445" s="98"/>
      <c r="JP445" s="98"/>
      <c r="JQ445" s="98"/>
      <c r="JR445" s="98"/>
      <c r="JS445" s="98"/>
      <c r="JT445" s="98"/>
      <c r="JU445" s="98"/>
      <c r="JV445" s="98"/>
      <c r="JW445" s="98"/>
      <c r="JX445" s="98"/>
      <c r="JY445" s="98"/>
      <c r="JZ445" s="98"/>
      <c r="KA445" s="98"/>
      <c r="KB445" s="98"/>
      <c r="KC445" s="98"/>
      <c r="KD445" s="98"/>
      <c r="KE445" s="98"/>
      <c r="KF445" s="98"/>
      <c r="KG445" s="98"/>
      <c r="KH445" s="98"/>
      <c r="KI445" s="98"/>
      <c r="KJ445" s="98"/>
      <c r="KK445" s="98"/>
      <c r="KL445" s="98"/>
      <c r="KM445" s="98"/>
      <c r="KN445" s="98"/>
      <c r="KO445" s="98"/>
      <c r="KP445" s="98"/>
      <c r="KQ445" s="98"/>
      <c r="KR445" s="98"/>
      <c r="KS445" s="98"/>
      <c r="KT445" s="98"/>
      <c r="KU445" s="98"/>
      <c r="KV445" s="98"/>
      <c r="KW445" s="98"/>
      <c r="KX445" s="98"/>
      <c r="KY445" s="98"/>
      <c r="KZ445" s="98"/>
      <c r="LA445" s="98"/>
      <c r="LB445" s="98"/>
      <c r="LC445" s="98"/>
      <c r="LD445" s="98"/>
      <c r="LE445" s="98"/>
      <c r="LF445" s="98"/>
      <c r="LG445" s="98"/>
      <c r="LH445" s="98"/>
      <c r="LI445" s="98"/>
      <c r="LJ445" s="98"/>
      <c r="LK445" s="98"/>
      <c r="LL445" s="98"/>
      <c r="LM445" s="98"/>
      <c r="LN445" s="98"/>
      <c r="LO445" s="98"/>
      <c r="LP445" s="98"/>
      <c r="LQ445" s="98"/>
      <c r="LR445" s="98"/>
      <c r="LS445" s="98"/>
      <c r="LT445" s="98"/>
      <c r="LU445" s="98"/>
      <c r="LV445" s="98"/>
      <c r="LW445" s="98"/>
      <c r="LX445" s="98"/>
      <c r="LY445" s="98"/>
      <c r="LZ445" s="98"/>
      <c r="MA445" s="98"/>
      <c r="MB445" s="98"/>
      <c r="MC445" s="98"/>
      <c r="MD445" s="98"/>
      <c r="ME445" s="98"/>
      <c r="MF445" s="98"/>
      <c r="MG445" s="98"/>
      <c r="MH445" s="98"/>
      <c r="MI445" s="98"/>
      <c r="MJ445" s="98"/>
      <c r="MK445" s="98"/>
      <c r="ML445" s="98"/>
      <c r="MM445" s="98"/>
      <c r="MN445" s="98"/>
      <c r="MO445" s="98"/>
      <c r="MP445" s="98"/>
      <c r="MQ445" s="98"/>
      <c r="MR445" s="98"/>
      <c r="MS445" s="98"/>
      <c r="MT445" s="98"/>
      <c r="MU445" s="98"/>
      <c r="MV445" s="98"/>
      <c r="MW445" s="98"/>
      <c r="MX445" s="98"/>
      <c r="MY445" s="98"/>
      <c r="MZ445" s="98"/>
      <c r="NA445" s="98"/>
      <c r="NB445" s="98"/>
      <c r="NC445" s="98"/>
      <c r="ND445" s="98"/>
      <c r="NE445" s="98"/>
      <c r="NF445" s="98"/>
      <c r="NG445" s="98"/>
      <c r="NH445" s="98"/>
      <c r="NI445" s="98"/>
      <c r="NJ445" s="98"/>
      <c r="NK445" s="98"/>
      <c r="NL445" s="98"/>
      <c r="NM445" s="98"/>
      <c r="NN445" s="98"/>
      <c r="NO445" s="98"/>
      <c r="NP445" s="98"/>
      <c r="NQ445" s="98"/>
      <c r="NR445" s="98"/>
      <c r="NS445" s="98"/>
      <c r="NT445" s="98"/>
      <c r="NU445" s="98"/>
      <c r="NV445" s="98"/>
      <c r="NW445" s="98"/>
      <c r="NX445" s="98"/>
      <c r="NY445" s="98"/>
      <c r="NZ445" s="98"/>
      <c r="OA445" s="98"/>
      <c r="OB445" s="98"/>
      <c r="OC445" s="98"/>
      <c r="OD445" s="98"/>
      <c r="OE445" s="98"/>
      <c r="OF445" s="98"/>
      <c r="OG445" s="98"/>
      <c r="OH445" s="98"/>
      <c r="OI445" s="98"/>
      <c r="OJ445" s="98"/>
      <c r="OK445" s="98"/>
      <c r="OL445" s="98"/>
      <c r="OM445" s="98"/>
      <c r="ON445" s="98"/>
      <c r="OO445" s="98"/>
      <c r="OP445" s="98"/>
      <c r="OQ445" s="98"/>
      <c r="OR445" s="98"/>
      <c r="OS445" s="98"/>
      <c r="OT445" s="98"/>
      <c r="OU445" s="98"/>
      <c r="OV445" s="98"/>
      <c r="OW445" s="98"/>
      <c r="OX445" s="98"/>
      <c r="OY445" s="98"/>
      <c r="OZ445" s="98"/>
      <c r="PA445" s="98"/>
      <c r="PB445" s="98"/>
      <c r="PC445" s="98"/>
      <c r="PD445" s="98"/>
      <c r="PE445" s="98"/>
      <c r="PF445" s="98"/>
      <c r="PG445" s="98"/>
      <c r="PH445" s="98"/>
      <c r="PI445" s="98"/>
      <c r="PJ445" s="98"/>
      <c r="PK445" s="98"/>
      <c r="PL445" s="98"/>
      <c r="PM445" s="98"/>
      <c r="PN445" s="98"/>
      <c r="PO445" s="98"/>
      <c r="PP445" s="98"/>
      <c r="PQ445" s="98"/>
      <c r="PR445" s="98"/>
      <c r="PS445" s="98"/>
      <c r="PT445" s="98"/>
      <c r="PU445" s="98"/>
      <c r="PV445" s="98"/>
      <c r="PW445" s="98"/>
      <c r="PX445" s="98"/>
      <c r="PY445" s="98"/>
      <c r="PZ445" s="98"/>
      <c r="QA445" s="98"/>
      <c r="QB445" s="98"/>
      <c r="QC445" s="98"/>
      <c r="QD445" s="98"/>
      <c r="QE445" s="98"/>
      <c r="QF445" s="98"/>
      <c r="QG445" s="98"/>
      <c r="QH445" s="98"/>
      <c r="QI445" s="98"/>
      <c r="QJ445" s="98"/>
      <c r="QK445" s="98"/>
      <c r="QL445" s="98"/>
      <c r="QM445" s="98"/>
      <c r="QN445" s="98"/>
      <c r="QO445" s="98"/>
      <c r="QP445" s="98"/>
      <c r="QQ445" s="98"/>
      <c r="QR445" s="98"/>
      <c r="QS445" s="98"/>
      <c r="QT445" s="98"/>
      <c r="QU445" s="98"/>
      <c r="QV445" s="98"/>
      <c r="QW445" s="98"/>
      <c r="QX445" s="98"/>
      <c r="QY445" s="98"/>
      <c r="QZ445" s="98"/>
      <c r="RA445" s="98"/>
      <c r="RB445" s="98"/>
      <c r="RC445" s="98"/>
      <c r="RD445" s="98"/>
      <c r="RE445" s="98"/>
      <c r="RF445" s="98"/>
      <c r="RG445" s="98"/>
      <c r="RH445" s="98"/>
      <c r="RI445" s="98"/>
      <c r="RJ445" s="98"/>
      <c r="RK445" s="98"/>
      <c r="RL445" s="98"/>
      <c r="RM445" s="98"/>
      <c r="RN445" s="98"/>
      <c r="RO445" s="98"/>
      <c r="RP445" s="98"/>
      <c r="RQ445" s="98"/>
      <c r="RR445" s="98"/>
      <c r="RS445" s="98"/>
      <c r="RT445" s="98"/>
      <c r="RU445" s="98"/>
      <c r="RV445" s="98"/>
      <c r="RW445" s="98"/>
      <c r="RX445" s="98"/>
      <c r="RY445" s="98"/>
      <c r="RZ445" s="98"/>
      <c r="SA445" s="98"/>
      <c r="SB445" s="98"/>
      <c r="SC445" s="98"/>
      <c r="SD445" s="98"/>
      <c r="SE445" s="98"/>
      <c r="SF445" s="98"/>
      <c r="SG445" s="98"/>
      <c r="SH445" s="98"/>
      <c r="SI445" s="98"/>
      <c r="SJ445" s="98"/>
      <c r="SK445" s="98"/>
      <c r="SL445" s="98"/>
      <c r="SM445" s="98"/>
      <c r="SN445" s="98"/>
      <c r="SO445" s="98"/>
      <c r="SP445" s="98"/>
      <c r="SQ445" s="98"/>
      <c r="SR445" s="98"/>
      <c r="SS445" s="98"/>
      <c r="ST445" s="98"/>
      <c r="SU445" s="98"/>
      <c r="SV445" s="98"/>
      <c r="SW445" s="98"/>
      <c r="SX445" s="98"/>
      <c r="SY445" s="98"/>
      <c r="SZ445" s="98"/>
      <c r="TA445" s="98"/>
      <c r="TB445" s="98"/>
      <c r="TC445" s="98"/>
      <c r="TD445" s="98"/>
      <c r="TE445" s="98"/>
      <c r="TF445" s="98"/>
      <c r="TG445" s="98"/>
      <c r="TH445" s="98"/>
      <c r="TI445" s="98"/>
      <c r="TJ445" s="98"/>
      <c r="TK445" s="98"/>
      <c r="TL445" s="98"/>
      <c r="TM445" s="98"/>
      <c r="TN445" s="98"/>
      <c r="TO445" s="98"/>
      <c r="TP445" s="98"/>
      <c r="TQ445" s="98"/>
      <c r="TR445" s="98"/>
      <c r="TS445" s="98"/>
      <c r="TT445" s="98"/>
      <c r="TU445" s="98"/>
      <c r="TV445" s="98"/>
      <c r="TW445" s="98"/>
      <c r="TX445" s="98"/>
      <c r="TY445" s="98"/>
      <c r="TZ445" s="98"/>
      <c r="UA445" s="98"/>
      <c r="UB445" s="98"/>
      <c r="UC445" s="98"/>
      <c r="UD445" s="98"/>
      <c r="UE445" s="98"/>
      <c r="UF445" s="98"/>
      <c r="UG445" s="98"/>
      <c r="UH445" s="98"/>
      <c r="UI445" s="98"/>
      <c r="UJ445" s="98"/>
      <c r="UK445" s="98"/>
      <c r="UL445" s="98"/>
      <c r="UM445" s="98"/>
      <c r="UN445" s="98"/>
      <c r="UO445" s="98"/>
      <c r="UP445" s="98"/>
      <c r="UQ445" s="98"/>
      <c r="UR445" s="98"/>
      <c r="US445" s="98"/>
      <c r="UT445" s="98"/>
      <c r="UU445" s="98"/>
      <c r="UV445" s="98"/>
      <c r="UW445" s="98"/>
      <c r="UX445" s="98"/>
      <c r="UY445" s="98"/>
      <c r="UZ445" s="98"/>
      <c r="VA445" s="98"/>
      <c r="VB445" s="98"/>
      <c r="VC445" s="98"/>
      <c r="VD445" s="98"/>
      <c r="VE445" s="98"/>
      <c r="VF445" s="98"/>
      <c r="VG445" s="98"/>
      <c r="VH445" s="98"/>
      <c r="VI445" s="98"/>
      <c r="VJ445" s="98"/>
      <c r="VK445" s="98"/>
      <c r="VL445" s="98"/>
      <c r="VM445" s="98"/>
      <c r="VN445" s="98"/>
      <c r="VO445" s="98"/>
      <c r="VP445" s="98"/>
      <c r="VQ445" s="98"/>
      <c r="VR445" s="98"/>
      <c r="VS445" s="98"/>
      <c r="VT445" s="98"/>
      <c r="VU445" s="98"/>
      <c r="VV445" s="98"/>
      <c r="VW445" s="98"/>
      <c r="VX445" s="98"/>
      <c r="VY445" s="98"/>
      <c r="VZ445" s="98"/>
      <c r="WA445" s="98"/>
      <c r="WB445" s="98"/>
      <c r="WC445" s="98"/>
      <c r="WD445" s="98"/>
      <c r="WE445" s="98"/>
      <c r="WF445" s="98"/>
      <c r="WG445" s="98"/>
      <c r="WH445" s="98"/>
      <c r="WI445" s="98"/>
      <c r="WJ445" s="98"/>
      <c r="WK445" s="98"/>
      <c r="WL445" s="98"/>
      <c r="WM445" s="98"/>
      <c r="WN445" s="98"/>
      <c r="WO445" s="98"/>
      <c r="WP445" s="98"/>
      <c r="WQ445" s="98"/>
    </row>
    <row r="446" spans="1:615" ht="230.25" outlineLevel="3" thickBot="1" x14ac:dyDescent="0.25">
      <c r="A446" s="43" t="s">
        <v>1222</v>
      </c>
      <c r="B446" s="141"/>
      <c r="C446" s="55"/>
      <c r="D446" s="141"/>
      <c r="E446" s="25" t="s">
        <v>1223</v>
      </c>
      <c r="F446" s="48" t="s">
        <v>1224</v>
      </c>
      <c r="G446" s="48" t="s">
        <v>275</v>
      </c>
      <c r="H446" s="26" t="s">
        <v>61</v>
      </c>
      <c r="I446" s="42">
        <v>1</v>
      </c>
      <c r="J446" s="28" t="s">
        <v>365</v>
      </c>
      <c r="K446" s="29" t="s">
        <v>75</v>
      </c>
      <c r="L446" s="30">
        <v>1</v>
      </c>
      <c r="M446" s="31">
        <f t="shared" si="56"/>
        <v>1</v>
      </c>
      <c r="N446" s="32" t="s">
        <v>39</v>
      </c>
      <c r="O446" s="33" t="s">
        <v>76</v>
      </c>
      <c r="P446" s="30">
        <v>5</v>
      </c>
      <c r="Q446" s="34">
        <f t="shared" si="55"/>
        <v>5</v>
      </c>
      <c r="R446" s="49"/>
      <c r="S446" s="49"/>
      <c r="T446" s="49"/>
      <c r="U446" s="50"/>
      <c r="V446" s="51"/>
      <c r="W446" s="52"/>
      <c r="X446" s="51"/>
      <c r="Y446" s="51"/>
      <c r="Z446" s="53"/>
      <c r="AA446" s="40"/>
      <c r="AB446" s="41"/>
      <c r="AD446" s="17">
        <f t="shared" si="53"/>
        <v>-4818</v>
      </c>
      <c r="AE446" s="18">
        <f t="shared" si="57"/>
        <v>4818</v>
      </c>
      <c r="HR446" s="98"/>
      <c r="HS446" s="98"/>
      <c r="HT446" s="98"/>
      <c r="HU446" s="98"/>
      <c r="HV446" s="98"/>
      <c r="HW446" s="98"/>
      <c r="HX446" s="98"/>
      <c r="HY446" s="98"/>
      <c r="HZ446" s="98"/>
      <c r="IA446" s="98"/>
      <c r="IB446" s="98"/>
      <c r="IC446" s="98"/>
      <c r="ID446" s="98"/>
      <c r="IE446" s="98"/>
      <c r="IF446" s="98"/>
      <c r="IG446" s="98"/>
      <c r="IH446" s="98"/>
      <c r="II446" s="98"/>
      <c r="IJ446" s="98"/>
      <c r="IK446" s="98"/>
      <c r="IL446" s="98"/>
      <c r="IM446" s="98"/>
      <c r="IN446" s="98"/>
      <c r="IO446" s="98"/>
      <c r="IP446" s="98"/>
      <c r="IQ446" s="98"/>
      <c r="IR446" s="98"/>
      <c r="IS446" s="98"/>
      <c r="IT446" s="98"/>
      <c r="IU446" s="98"/>
      <c r="IV446" s="98"/>
      <c r="IW446" s="98"/>
      <c r="IX446" s="98"/>
      <c r="IY446" s="98"/>
      <c r="IZ446" s="98"/>
      <c r="JA446" s="98"/>
      <c r="JB446" s="98"/>
      <c r="JC446" s="98"/>
      <c r="JD446" s="98"/>
      <c r="JE446" s="98"/>
      <c r="JF446" s="98"/>
      <c r="JG446" s="98"/>
      <c r="JH446" s="98"/>
      <c r="JI446" s="98"/>
      <c r="JJ446" s="98"/>
      <c r="JK446" s="98"/>
      <c r="JL446" s="98"/>
      <c r="JM446" s="98"/>
      <c r="JN446" s="98"/>
      <c r="JO446" s="98"/>
      <c r="JP446" s="98"/>
      <c r="JQ446" s="98"/>
      <c r="JR446" s="98"/>
      <c r="JS446" s="98"/>
      <c r="JT446" s="98"/>
      <c r="JU446" s="98"/>
      <c r="JV446" s="98"/>
      <c r="JW446" s="98"/>
      <c r="JX446" s="98"/>
      <c r="JY446" s="98"/>
      <c r="JZ446" s="98"/>
      <c r="KA446" s="98"/>
      <c r="KB446" s="98"/>
      <c r="KC446" s="98"/>
      <c r="KD446" s="98"/>
      <c r="KE446" s="98"/>
      <c r="KF446" s="98"/>
      <c r="KG446" s="98"/>
      <c r="KH446" s="98"/>
      <c r="KI446" s="98"/>
      <c r="KJ446" s="98"/>
      <c r="KK446" s="98"/>
      <c r="KL446" s="98"/>
      <c r="KM446" s="98"/>
      <c r="KN446" s="98"/>
      <c r="KO446" s="98"/>
      <c r="KP446" s="98"/>
      <c r="KQ446" s="98"/>
      <c r="KR446" s="98"/>
      <c r="KS446" s="98"/>
      <c r="KT446" s="98"/>
      <c r="KU446" s="98"/>
      <c r="KV446" s="98"/>
      <c r="KW446" s="98"/>
      <c r="KX446" s="98"/>
      <c r="KY446" s="98"/>
      <c r="KZ446" s="98"/>
      <c r="LA446" s="98"/>
      <c r="LB446" s="98"/>
      <c r="LC446" s="98"/>
      <c r="LD446" s="98"/>
      <c r="LE446" s="98"/>
      <c r="LF446" s="98"/>
      <c r="LG446" s="98"/>
      <c r="LH446" s="98"/>
      <c r="LI446" s="98"/>
      <c r="LJ446" s="98"/>
      <c r="LK446" s="98"/>
      <c r="LL446" s="98"/>
      <c r="LM446" s="98"/>
      <c r="LN446" s="98"/>
      <c r="LO446" s="98"/>
      <c r="LP446" s="98"/>
      <c r="LQ446" s="98"/>
      <c r="LR446" s="98"/>
      <c r="LS446" s="98"/>
      <c r="LT446" s="98"/>
      <c r="LU446" s="98"/>
      <c r="LV446" s="98"/>
      <c r="LW446" s="98"/>
      <c r="LX446" s="98"/>
      <c r="LY446" s="98"/>
      <c r="LZ446" s="98"/>
      <c r="MA446" s="98"/>
      <c r="MB446" s="98"/>
      <c r="MC446" s="98"/>
      <c r="MD446" s="98"/>
      <c r="ME446" s="98"/>
      <c r="MF446" s="98"/>
      <c r="MG446" s="98"/>
      <c r="MH446" s="98"/>
      <c r="MI446" s="98"/>
      <c r="MJ446" s="98"/>
      <c r="MK446" s="98"/>
      <c r="ML446" s="98"/>
      <c r="MM446" s="98"/>
      <c r="MN446" s="98"/>
      <c r="MO446" s="98"/>
      <c r="MP446" s="98"/>
      <c r="MQ446" s="98"/>
      <c r="MR446" s="98"/>
      <c r="MS446" s="98"/>
      <c r="MT446" s="98"/>
      <c r="MU446" s="98"/>
      <c r="MV446" s="98"/>
      <c r="MW446" s="98"/>
      <c r="MX446" s="98"/>
      <c r="MY446" s="98"/>
      <c r="MZ446" s="98"/>
      <c r="NA446" s="98"/>
      <c r="NB446" s="98"/>
      <c r="NC446" s="98"/>
      <c r="ND446" s="98"/>
      <c r="NE446" s="98"/>
      <c r="NF446" s="98"/>
      <c r="NG446" s="98"/>
      <c r="NH446" s="98"/>
      <c r="NI446" s="98"/>
      <c r="NJ446" s="98"/>
      <c r="NK446" s="98"/>
      <c r="NL446" s="98"/>
      <c r="NM446" s="98"/>
      <c r="NN446" s="98"/>
      <c r="NO446" s="98"/>
      <c r="NP446" s="98"/>
      <c r="NQ446" s="98"/>
      <c r="NR446" s="98"/>
      <c r="NS446" s="98"/>
      <c r="NT446" s="98"/>
      <c r="NU446" s="98"/>
      <c r="NV446" s="98"/>
      <c r="NW446" s="98"/>
      <c r="NX446" s="98"/>
      <c r="NY446" s="98"/>
      <c r="NZ446" s="98"/>
      <c r="OA446" s="98"/>
      <c r="OB446" s="98"/>
      <c r="OC446" s="98"/>
      <c r="OD446" s="98"/>
      <c r="OE446" s="98"/>
      <c r="OF446" s="98"/>
      <c r="OG446" s="98"/>
      <c r="OH446" s="98"/>
      <c r="OI446" s="98"/>
      <c r="OJ446" s="98"/>
      <c r="OK446" s="98"/>
      <c r="OL446" s="98"/>
      <c r="OM446" s="98"/>
      <c r="ON446" s="98"/>
      <c r="OO446" s="98"/>
      <c r="OP446" s="98"/>
      <c r="OQ446" s="98"/>
      <c r="OR446" s="98"/>
      <c r="OS446" s="98"/>
      <c r="OT446" s="98"/>
      <c r="OU446" s="98"/>
      <c r="OV446" s="98"/>
      <c r="OW446" s="98"/>
      <c r="OX446" s="98"/>
      <c r="OY446" s="98"/>
      <c r="OZ446" s="98"/>
      <c r="PA446" s="98"/>
      <c r="PB446" s="98"/>
      <c r="PC446" s="98"/>
      <c r="PD446" s="98"/>
      <c r="PE446" s="98"/>
      <c r="PF446" s="98"/>
      <c r="PG446" s="98"/>
      <c r="PH446" s="98"/>
      <c r="PI446" s="98"/>
      <c r="PJ446" s="98"/>
      <c r="PK446" s="98"/>
      <c r="PL446" s="98"/>
      <c r="PM446" s="98"/>
      <c r="PN446" s="98"/>
      <c r="PO446" s="98"/>
      <c r="PP446" s="98"/>
      <c r="PQ446" s="98"/>
      <c r="PR446" s="98"/>
      <c r="PS446" s="98"/>
      <c r="PT446" s="98"/>
      <c r="PU446" s="98"/>
      <c r="PV446" s="98"/>
      <c r="PW446" s="98"/>
      <c r="PX446" s="98"/>
      <c r="PY446" s="98"/>
      <c r="PZ446" s="98"/>
      <c r="QA446" s="98"/>
      <c r="QB446" s="98"/>
      <c r="QC446" s="98"/>
      <c r="QD446" s="98"/>
      <c r="QE446" s="98"/>
      <c r="QF446" s="98"/>
      <c r="QG446" s="98"/>
      <c r="QH446" s="98"/>
      <c r="QI446" s="98"/>
      <c r="QJ446" s="98"/>
      <c r="QK446" s="98"/>
      <c r="QL446" s="98"/>
      <c r="QM446" s="98"/>
      <c r="QN446" s="98"/>
      <c r="QO446" s="98"/>
      <c r="QP446" s="98"/>
      <c r="QQ446" s="98"/>
      <c r="QR446" s="98"/>
      <c r="QS446" s="98"/>
      <c r="QT446" s="98"/>
      <c r="QU446" s="98"/>
      <c r="QV446" s="98"/>
      <c r="QW446" s="98"/>
      <c r="QX446" s="98"/>
      <c r="QY446" s="98"/>
      <c r="QZ446" s="98"/>
      <c r="RA446" s="98"/>
      <c r="RB446" s="98"/>
      <c r="RC446" s="98"/>
      <c r="RD446" s="98"/>
      <c r="RE446" s="98"/>
      <c r="RF446" s="98"/>
      <c r="RG446" s="98"/>
      <c r="RH446" s="98"/>
      <c r="RI446" s="98"/>
      <c r="RJ446" s="98"/>
      <c r="RK446" s="98"/>
      <c r="RL446" s="98"/>
      <c r="RM446" s="98"/>
      <c r="RN446" s="98"/>
      <c r="RO446" s="98"/>
      <c r="RP446" s="98"/>
      <c r="RQ446" s="98"/>
      <c r="RR446" s="98"/>
      <c r="RS446" s="98"/>
      <c r="RT446" s="98"/>
      <c r="RU446" s="98"/>
      <c r="RV446" s="98"/>
      <c r="RW446" s="98"/>
      <c r="RX446" s="98"/>
      <c r="RY446" s="98"/>
      <c r="RZ446" s="98"/>
      <c r="SA446" s="98"/>
      <c r="SB446" s="98"/>
      <c r="SC446" s="98"/>
      <c r="SD446" s="98"/>
      <c r="SE446" s="98"/>
      <c r="SF446" s="98"/>
      <c r="SG446" s="98"/>
      <c r="SH446" s="98"/>
      <c r="SI446" s="98"/>
      <c r="SJ446" s="98"/>
      <c r="SK446" s="98"/>
      <c r="SL446" s="98"/>
      <c r="SM446" s="98"/>
      <c r="SN446" s="98"/>
      <c r="SO446" s="98"/>
      <c r="SP446" s="98"/>
      <c r="SQ446" s="98"/>
      <c r="SR446" s="98"/>
      <c r="SS446" s="98"/>
      <c r="ST446" s="98"/>
      <c r="SU446" s="98"/>
      <c r="SV446" s="98"/>
      <c r="SW446" s="98"/>
      <c r="SX446" s="98"/>
      <c r="SY446" s="98"/>
      <c r="SZ446" s="98"/>
      <c r="TA446" s="98"/>
      <c r="TB446" s="98"/>
      <c r="TC446" s="98"/>
      <c r="TD446" s="98"/>
      <c r="TE446" s="98"/>
      <c r="TF446" s="98"/>
      <c r="TG446" s="98"/>
      <c r="TH446" s="98"/>
      <c r="TI446" s="98"/>
      <c r="TJ446" s="98"/>
      <c r="TK446" s="98"/>
      <c r="TL446" s="98"/>
      <c r="TM446" s="98"/>
      <c r="TN446" s="98"/>
      <c r="TO446" s="98"/>
      <c r="TP446" s="98"/>
      <c r="TQ446" s="98"/>
      <c r="TR446" s="98"/>
      <c r="TS446" s="98"/>
      <c r="TT446" s="98"/>
      <c r="TU446" s="98"/>
      <c r="TV446" s="98"/>
      <c r="TW446" s="98"/>
      <c r="TX446" s="98"/>
      <c r="TY446" s="98"/>
      <c r="TZ446" s="98"/>
      <c r="UA446" s="98"/>
      <c r="UB446" s="98"/>
      <c r="UC446" s="98"/>
      <c r="UD446" s="98"/>
      <c r="UE446" s="98"/>
      <c r="UF446" s="98"/>
      <c r="UG446" s="98"/>
      <c r="UH446" s="98"/>
      <c r="UI446" s="98"/>
      <c r="UJ446" s="98"/>
      <c r="UK446" s="98"/>
      <c r="UL446" s="98"/>
      <c r="UM446" s="98"/>
      <c r="UN446" s="98"/>
      <c r="UO446" s="98"/>
      <c r="UP446" s="98"/>
      <c r="UQ446" s="98"/>
      <c r="UR446" s="98"/>
      <c r="US446" s="98"/>
      <c r="UT446" s="98"/>
      <c r="UU446" s="98"/>
      <c r="UV446" s="98"/>
      <c r="UW446" s="98"/>
      <c r="UX446" s="98"/>
      <c r="UY446" s="98"/>
      <c r="UZ446" s="98"/>
      <c r="VA446" s="98"/>
      <c r="VB446" s="98"/>
      <c r="VC446" s="98"/>
      <c r="VD446" s="98"/>
      <c r="VE446" s="98"/>
      <c r="VF446" s="98"/>
      <c r="VG446" s="98"/>
      <c r="VH446" s="98"/>
      <c r="VI446" s="98"/>
      <c r="VJ446" s="98"/>
      <c r="VK446" s="98"/>
      <c r="VL446" s="98"/>
      <c r="VM446" s="98"/>
      <c r="VN446" s="98"/>
      <c r="VO446" s="98"/>
      <c r="VP446" s="98"/>
      <c r="VQ446" s="98"/>
      <c r="VR446" s="98"/>
      <c r="VS446" s="98"/>
      <c r="VT446" s="98"/>
      <c r="VU446" s="98"/>
      <c r="VV446" s="98"/>
      <c r="VW446" s="98"/>
      <c r="VX446" s="98"/>
      <c r="VY446" s="98"/>
      <c r="VZ446" s="98"/>
      <c r="WA446" s="98"/>
      <c r="WB446" s="98"/>
      <c r="WC446" s="98"/>
      <c r="WD446" s="98"/>
      <c r="WE446" s="98"/>
      <c r="WF446" s="98"/>
      <c r="WG446" s="98"/>
      <c r="WH446" s="98"/>
      <c r="WI446" s="98"/>
      <c r="WJ446" s="98"/>
      <c r="WK446" s="98"/>
      <c r="WL446" s="98"/>
      <c r="WM446" s="98"/>
      <c r="WN446" s="98"/>
      <c r="WO446" s="98"/>
      <c r="WP446" s="98"/>
      <c r="WQ446" s="98"/>
    </row>
    <row r="447" spans="1:615" s="98" customFormat="1" ht="230.25" outlineLevel="3" thickBot="1" x14ac:dyDescent="0.25">
      <c r="A447" s="10" t="s">
        <v>1225</v>
      </c>
      <c r="B447" s="142" t="s">
        <v>1226</v>
      </c>
      <c r="C447" s="47" t="s">
        <v>1227</v>
      </c>
      <c r="D447" s="142" t="s">
        <v>1228</v>
      </c>
      <c r="E447" s="25" t="s">
        <v>889</v>
      </c>
      <c r="F447" s="25" t="s">
        <v>1229</v>
      </c>
      <c r="G447" s="74" t="s">
        <v>275</v>
      </c>
      <c r="H447" s="26" t="s">
        <v>61</v>
      </c>
      <c r="I447" s="42">
        <v>1</v>
      </c>
      <c r="J447" s="28" t="s">
        <v>365</v>
      </c>
      <c r="K447" s="29" t="s">
        <v>75</v>
      </c>
      <c r="L447" s="30">
        <v>1</v>
      </c>
      <c r="M447" s="45">
        <f t="shared" si="56"/>
        <v>1</v>
      </c>
      <c r="N447" s="32" t="s">
        <v>39</v>
      </c>
      <c r="O447" s="33" t="s">
        <v>76</v>
      </c>
      <c r="P447" s="30">
        <v>5</v>
      </c>
      <c r="Q447" s="34">
        <f t="shared" si="55"/>
        <v>5</v>
      </c>
      <c r="R447" s="121"/>
      <c r="S447" s="121"/>
      <c r="T447" s="121"/>
      <c r="U447" s="95"/>
      <c r="V447" s="62"/>
      <c r="W447" s="96"/>
      <c r="X447" s="62"/>
      <c r="Y447" s="62"/>
      <c r="Z447" s="33"/>
      <c r="AA447" s="40"/>
      <c r="AB447" s="99"/>
      <c r="AC447" s="17"/>
      <c r="AD447" s="17">
        <f t="shared" si="53"/>
        <v>-4819</v>
      </c>
      <c r="AE447" s="18">
        <f t="shared" si="57"/>
        <v>4819</v>
      </c>
    </row>
    <row r="448" spans="1:615" ht="230.25" outlineLevel="3" thickBot="1" x14ac:dyDescent="0.25">
      <c r="A448" s="43" t="s">
        <v>1230</v>
      </c>
      <c r="B448" s="141"/>
      <c r="C448" s="55"/>
      <c r="D448" s="141"/>
      <c r="E448" s="87" t="s">
        <v>1231</v>
      </c>
      <c r="F448" s="25" t="s">
        <v>1207</v>
      </c>
      <c r="G448" s="74" t="s">
        <v>1208</v>
      </c>
      <c r="H448" s="26" t="s">
        <v>107</v>
      </c>
      <c r="I448" s="42">
        <v>2</v>
      </c>
      <c r="J448" s="28" t="s">
        <v>1099</v>
      </c>
      <c r="K448" s="29" t="s">
        <v>62</v>
      </c>
      <c r="L448" s="30">
        <v>1</v>
      </c>
      <c r="M448" s="45">
        <f t="shared" si="56"/>
        <v>2</v>
      </c>
      <c r="N448" s="32" t="s">
        <v>39</v>
      </c>
      <c r="O448" s="33" t="s">
        <v>76</v>
      </c>
      <c r="P448" s="71">
        <v>5</v>
      </c>
      <c r="Q448" s="122">
        <f t="shared" si="55"/>
        <v>10</v>
      </c>
      <c r="R448" s="49"/>
      <c r="S448" s="49"/>
      <c r="T448" s="49"/>
      <c r="U448" s="50"/>
      <c r="V448" s="51"/>
      <c r="W448" s="52"/>
      <c r="X448" s="51"/>
      <c r="Y448" s="51"/>
      <c r="Z448" s="53"/>
      <c r="AA448" s="40"/>
      <c r="AB448" s="41"/>
      <c r="AD448" s="17">
        <f t="shared" si="53"/>
        <v>-4820</v>
      </c>
      <c r="AE448" s="18">
        <f t="shared" si="57"/>
        <v>4820</v>
      </c>
    </row>
    <row r="449" spans="1:615" ht="230.25" outlineLevel="3" thickBot="1" x14ac:dyDescent="0.25">
      <c r="A449" s="10" t="s">
        <v>1232</v>
      </c>
      <c r="B449" s="119" t="s">
        <v>1233</v>
      </c>
      <c r="C449" s="47" t="s">
        <v>1234</v>
      </c>
      <c r="D449" s="119" t="s">
        <v>1235</v>
      </c>
      <c r="E449" s="25" t="s">
        <v>1236</v>
      </c>
      <c r="F449" s="25" t="s">
        <v>1237</v>
      </c>
      <c r="G449" s="48" t="s">
        <v>356</v>
      </c>
      <c r="H449" s="88" t="s">
        <v>107</v>
      </c>
      <c r="I449" s="42">
        <v>2</v>
      </c>
      <c r="J449" s="28" t="s">
        <v>47</v>
      </c>
      <c r="K449" s="29" t="s">
        <v>1238</v>
      </c>
      <c r="L449" s="30">
        <v>2</v>
      </c>
      <c r="M449" s="31">
        <f t="shared" si="56"/>
        <v>4</v>
      </c>
      <c r="N449" s="32" t="s">
        <v>39</v>
      </c>
      <c r="O449" s="33" t="s">
        <v>76</v>
      </c>
      <c r="P449" s="71">
        <v>5</v>
      </c>
      <c r="Q449" s="34">
        <f t="shared" si="55"/>
        <v>20</v>
      </c>
      <c r="R449" s="49"/>
      <c r="S449" s="49"/>
      <c r="T449" s="49" t="s">
        <v>1239</v>
      </c>
      <c r="U449" s="50"/>
      <c r="V449" s="51"/>
      <c r="W449" s="52"/>
      <c r="X449" s="51"/>
      <c r="Y449" s="51"/>
      <c r="Z449" s="53"/>
      <c r="AA449" s="40"/>
      <c r="AB449" s="41"/>
      <c r="AD449" s="17">
        <f t="shared" si="53"/>
        <v>-4821</v>
      </c>
      <c r="AE449" s="18">
        <f t="shared" si="57"/>
        <v>4821</v>
      </c>
      <c r="HR449" s="98"/>
      <c r="HS449" s="98"/>
      <c r="HT449" s="98"/>
      <c r="HU449" s="98"/>
      <c r="HV449" s="98"/>
      <c r="HW449" s="98"/>
      <c r="HX449" s="98"/>
      <c r="HY449" s="98"/>
      <c r="HZ449" s="98"/>
      <c r="IA449" s="98"/>
      <c r="IB449" s="98"/>
      <c r="IC449" s="98"/>
      <c r="ID449" s="98"/>
      <c r="IE449" s="98"/>
      <c r="IF449" s="98"/>
      <c r="IG449" s="98"/>
      <c r="IH449" s="98"/>
      <c r="II449" s="98"/>
      <c r="IJ449" s="98"/>
      <c r="IK449" s="98"/>
      <c r="IL449" s="98"/>
      <c r="IM449" s="98"/>
      <c r="IN449" s="98"/>
      <c r="IO449" s="98"/>
      <c r="IP449" s="98"/>
      <c r="IQ449" s="98"/>
      <c r="IR449" s="98"/>
      <c r="IS449" s="98"/>
      <c r="IT449" s="98"/>
      <c r="IU449" s="98"/>
      <c r="IV449" s="98"/>
      <c r="IW449" s="98"/>
      <c r="IX449" s="98"/>
      <c r="IY449" s="98"/>
      <c r="IZ449" s="98"/>
      <c r="JA449" s="98"/>
      <c r="JB449" s="98"/>
      <c r="JC449" s="98"/>
      <c r="JD449" s="98"/>
      <c r="JE449" s="98"/>
      <c r="JF449" s="98"/>
      <c r="JG449" s="98"/>
      <c r="JH449" s="98"/>
      <c r="JI449" s="98"/>
      <c r="JJ449" s="98"/>
      <c r="JK449" s="98"/>
      <c r="JL449" s="98"/>
      <c r="JM449" s="98"/>
      <c r="JN449" s="98"/>
      <c r="JO449" s="98"/>
      <c r="JP449" s="98"/>
      <c r="JQ449" s="98"/>
      <c r="JR449" s="98"/>
      <c r="JS449" s="98"/>
      <c r="JT449" s="98"/>
      <c r="JU449" s="98"/>
      <c r="JV449" s="98"/>
      <c r="JW449" s="98"/>
      <c r="JX449" s="98"/>
      <c r="JY449" s="98"/>
      <c r="JZ449" s="98"/>
      <c r="KA449" s="98"/>
      <c r="KB449" s="98"/>
      <c r="KC449" s="98"/>
      <c r="KD449" s="98"/>
      <c r="KE449" s="98"/>
      <c r="KF449" s="98"/>
      <c r="KG449" s="98"/>
      <c r="KH449" s="98"/>
      <c r="KI449" s="98"/>
      <c r="KJ449" s="98"/>
      <c r="KK449" s="98"/>
      <c r="KL449" s="98"/>
      <c r="KM449" s="98"/>
      <c r="KN449" s="98"/>
      <c r="KO449" s="98"/>
      <c r="KP449" s="98"/>
      <c r="KQ449" s="98"/>
      <c r="KR449" s="98"/>
      <c r="KS449" s="98"/>
      <c r="KT449" s="98"/>
      <c r="KU449" s="98"/>
      <c r="KV449" s="98"/>
      <c r="KW449" s="98"/>
      <c r="KX449" s="98"/>
      <c r="KY449" s="98"/>
      <c r="KZ449" s="98"/>
      <c r="LA449" s="98"/>
      <c r="LB449" s="98"/>
      <c r="LC449" s="98"/>
      <c r="LD449" s="98"/>
      <c r="LE449" s="98"/>
      <c r="LF449" s="98"/>
      <c r="LG449" s="98"/>
      <c r="LH449" s="98"/>
      <c r="LI449" s="98"/>
      <c r="LJ449" s="98"/>
      <c r="LK449" s="98"/>
      <c r="LL449" s="98"/>
      <c r="LM449" s="98"/>
      <c r="LN449" s="98"/>
      <c r="LO449" s="98"/>
      <c r="LP449" s="98"/>
      <c r="LQ449" s="98"/>
      <c r="LR449" s="98"/>
      <c r="LS449" s="98"/>
      <c r="LT449" s="98"/>
      <c r="LU449" s="98"/>
      <c r="LV449" s="98"/>
      <c r="LW449" s="98"/>
      <c r="LX449" s="98"/>
      <c r="LY449" s="98"/>
      <c r="LZ449" s="98"/>
      <c r="MA449" s="98"/>
      <c r="MB449" s="98"/>
      <c r="MC449" s="98"/>
      <c r="MD449" s="98"/>
      <c r="ME449" s="98"/>
      <c r="MF449" s="98"/>
      <c r="MG449" s="98"/>
      <c r="MH449" s="98"/>
      <c r="MI449" s="98"/>
      <c r="MJ449" s="98"/>
      <c r="MK449" s="98"/>
      <c r="ML449" s="98"/>
      <c r="MM449" s="98"/>
      <c r="MN449" s="98"/>
      <c r="MO449" s="98"/>
      <c r="MP449" s="98"/>
      <c r="MQ449" s="98"/>
      <c r="MR449" s="98"/>
      <c r="MS449" s="98"/>
      <c r="MT449" s="98"/>
      <c r="MU449" s="98"/>
      <c r="MV449" s="98"/>
      <c r="MW449" s="98"/>
      <c r="MX449" s="98"/>
      <c r="MY449" s="98"/>
      <c r="MZ449" s="98"/>
      <c r="NA449" s="98"/>
      <c r="NB449" s="98"/>
      <c r="NC449" s="98"/>
      <c r="ND449" s="98"/>
      <c r="NE449" s="98"/>
      <c r="NF449" s="98"/>
      <c r="NG449" s="98"/>
      <c r="NH449" s="98"/>
      <c r="NI449" s="98"/>
      <c r="NJ449" s="98"/>
      <c r="NK449" s="98"/>
      <c r="NL449" s="98"/>
      <c r="NM449" s="98"/>
      <c r="NN449" s="98"/>
      <c r="NO449" s="98"/>
      <c r="NP449" s="98"/>
      <c r="NQ449" s="98"/>
      <c r="NR449" s="98"/>
      <c r="NS449" s="98"/>
      <c r="NT449" s="98"/>
      <c r="NU449" s="98"/>
      <c r="NV449" s="98"/>
      <c r="NW449" s="98"/>
      <c r="NX449" s="98"/>
      <c r="NY449" s="98"/>
      <c r="NZ449" s="98"/>
      <c r="OA449" s="98"/>
      <c r="OB449" s="98"/>
      <c r="OC449" s="98"/>
      <c r="OD449" s="98"/>
      <c r="OE449" s="98"/>
      <c r="OF449" s="98"/>
      <c r="OG449" s="98"/>
      <c r="OH449" s="98"/>
      <c r="OI449" s="98"/>
      <c r="OJ449" s="98"/>
      <c r="OK449" s="98"/>
      <c r="OL449" s="98"/>
      <c r="OM449" s="98"/>
      <c r="ON449" s="98"/>
      <c r="OO449" s="98"/>
      <c r="OP449" s="98"/>
      <c r="OQ449" s="98"/>
      <c r="OR449" s="98"/>
      <c r="OS449" s="98"/>
      <c r="OT449" s="98"/>
      <c r="OU449" s="98"/>
      <c r="OV449" s="98"/>
      <c r="OW449" s="98"/>
      <c r="OX449" s="98"/>
      <c r="OY449" s="98"/>
      <c r="OZ449" s="98"/>
      <c r="PA449" s="98"/>
      <c r="PB449" s="98"/>
      <c r="PC449" s="98"/>
      <c r="PD449" s="98"/>
      <c r="PE449" s="98"/>
      <c r="PF449" s="98"/>
      <c r="PG449" s="98"/>
      <c r="PH449" s="98"/>
      <c r="PI449" s="98"/>
      <c r="PJ449" s="98"/>
      <c r="PK449" s="98"/>
      <c r="PL449" s="98"/>
      <c r="PM449" s="98"/>
      <c r="PN449" s="98"/>
      <c r="PO449" s="98"/>
      <c r="PP449" s="98"/>
      <c r="PQ449" s="98"/>
      <c r="PR449" s="98"/>
      <c r="PS449" s="98"/>
      <c r="PT449" s="98"/>
      <c r="PU449" s="98"/>
      <c r="PV449" s="98"/>
      <c r="PW449" s="98"/>
      <c r="PX449" s="98"/>
      <c r="PY449" s="98"/>
      <c r="PZ449" s="98"/>
      <c r="QA449" s="98"/>
      <c r="QB449" s="98"/>
      <c r="QC449" s="98"/>
      <c r="QD449" s="98"/>
      <c r="QE449" s="98"/>
      <c r="QF449" s="98"/>
      <c r="QG449" s="98"/>
      <c r="QH449" s="98"/>
      <c r="QI449" s="98"/>
      <c r="QJ449" s="98"/>
      <c r="QK449" s="98"/>
      <c r="QL449" s="98"/>
      <c r="QM449" s="98"/>
      <c r="QN449" s="98"/>
      <c r="QO449" s="98"/>
      <c r="QP449" s="98"/>
      <c r="QQ449" s="98"/>
      <c r="QR449" s="98"/>
      <c r="QS449" s="98"/>
      <c r="QT449" s="98"/>
      <c r="QU449" s="98"/>
      <c r="QV449" s="98"/>
      <c r="QW449" s="98"/>
      <c r="QX449" s="98"/>
      <c r="QY449" s="98"/>
      <c r="QZ449" s="98"/>
      <c r="RA449" s="98"/>
      <c r="RB449" s="98"/>
      <c r="RC449" s="98"/>
      <c r="RD449" s="98"/>
      <c r="RE449" s="98"/>
      <c r="RF449" s="98"/>
      <c r="RG449" s="98"/>
      <c r="RH449" s="98"/>
      <c r="RI449" s="98"/>
      <c r="RJ449" s="98"/>
      <c r="RK449" s="98"/>
      <c r="RL449" s="98"/>
      <c r="RM449" s="98"/>
      <c r="RN449" s="98"/>
      <c r="RO449" s="98"/>
      <c r="RP449" s="98"/>
      <c r="RQ449" s="98"/>
      <c r="RR449" s="98"/>
      <c r="RS449" s="98"/>
      <c r="RT449" s="98"/>
      <c r="RU449" s="98"/>
      <c r="RV449" s="98"/>
      <c r="RW449" s="98"/>
      <c r="RX449" s="98"/>
      <c r="RY449" s="98"/>
      <c r="RZ449" s="98"/>
      <c r="SA449" s="98"/>
      <c r="SB449" s="98"/>
      <c r="SC449" s="98"/>
      <c r="SD449" s="98"/>
      <c r="SE449" s="98"/>
      <c r="SF449" s="98"/>
      <c r="SG449" s="98"/>
      <c r="SH449" s="98"/>
      <c r="SI449" s="98"/>
      <c r="SJ449" s="98"/>
      <c r="SK449" s="98"/>
      <c r="SL449" s="98"/>
      <c r="SM449" s="98"/>
      <c r="SN449" s="98"/>
      <c r="SO449" s="98"/>
      <c r="SP449" s="98"/>
      <c r="SQ449" s="98"/>
      <c r="SR449" s="98"/>
      <c r="SS449" s="98"/>
      <c r="ST449" s="98"/>
      <c r="SU449" s="98"/>
      <c r="SV449" s="98"/>
      <c r="SW449" s="98"/>
      <c r="SX449" s="98"/>
      <c r="SY449" s="98"/>
      <c r="SZ449" s="98"/>
      <c r="TA449" s="98"/>
      <c r="TB449" s="98"/>
      <c r="TC449" s="98"/>
      <c r="TD449" s="98"/>
      <c r="TE449" s="98"/>
      <c r="TF449" s="98"/>
      <c r="TG449" s="98"/>
      <c r="TH449" s="98"/>
      <c r="TI449" s="98"/>
      <c r="TJ449" s="98"/>
      <c r="TK449" s="98"/>
      <c r="TL449" s="98"/>
      <c r="TM449" s="98"/>
      <c r="TN449" s="98"/>
      <c r="TO449" s="98"/>
      <c r="TP449" s="98"/>
      <c r="TQ449" s="98"/>
      <c r="TR449" s="98"/>
      <c r="TS449" s="98"/>
      <c r="TT449" s="98"/>
      <c r="TU449" s="98"/>
      <c r="TV449" s="98"/>
      <c r="TW449" s="98"/>
      <c r="TX449" s="98"/>
      <c r="TY449" s="98"/>
      <c r="TZ449" s="98"/>
      <c r="UA449" s="98"/>
      <c r="UB449" s="98"/>
      <c r="UC449" s="98"/>
      <c r="UD449" s="98"/>
      <c r="UE449" s="98"/>
      <c r="UF449" s="98"/>
      <c r="UG449" s="98"/>
      <c r="UH449" s="98"/>
      <c r="UI449" s="98"/>
      <c r="UJ449" s="98"/>
      <c r="UK449" s="98"/>
      <c r="UL449" s="98"/>
      <c r="UM449" s="98"/>
      <c r="UN449" s="98"/>
      <c r="UO449" s="98"/>
      <c r="UP449" s="98"/>
      <c r="UQ449" s="98"/>
      <c r="UR449" s="98"/>
      <c r="US449" s="98"/>
      <c r="UT449" s="98"/>
      <c r="UU449" s="98"/>
      <c r="UV449" s="98"/>
      <c r="UW449" s="98"/>
      <c r="UX449" s="98"/>
      <c r="UY449" s="98"/>
      <c r="UZ449" s="98"/>
      <c r="VA449" s="98"/>
      <c r="VB449" s="98"/>
      <c r="VC449" s="98"/>
      <c r="VD449" s="98"/>
      <c r="VE449" s="98"/>
      <c r="VF449" s="98"/>
      <c r="VG449" s="98"/>
      <c r="VH449" s="98"/>
      <c r="VI449" s="98"/>
      <c r="VJ449" s="98"/>
      <c r="VK449" s="98"/>
      <c r="VL449" s="98"/>
      <c r="VM449" s="98"/>
      <c r="VN449" s="98"/>
      <c r="VO449" s="98"/>
      <c r="VP449" s="98"/>
      <c r="VQ449" s="98"/>
      <c r="VR449" s="98"/>
      <c r="VS449" s="98"/>
      <c r="VT449" s="98"/>
      <c r="VU449" s="98"/>
      <c r="VV449" s="98"/>
      <c r="VW449" s="98"/>
      <c r="VX449" s="98"/>
      <c r="VY449" s="98"/>
      <c r="VZ449" s="98"/>
      <c r="WA449" s="98"/>
      <c r="WB449" s="98"/>
      <c r="WC449" s="98"/>
      <c r="WD449" s="98"/>
      <c r="WE449" s="98"/>
      <c r="WF449" s="98"/>
      <c r="WG449" s="98"/>
      <c r="WH449" s="98"/>
      <c r="WI449" s="98"/>
      <c r="WJ449" s="98"/>
      <c r="WK449" s="98"/>
      <c r="WL449" s="98"/>
      <c r="WM449" s="98"/>
      <c r="WN449" s="98"/>
      <c r="WO449" s="98"/>
      <c r="WP449" s="98"/>
      <c r="WQ449" s="98"/>
    </row>
    <row r="450" spans="1:615" ht="230.25" outlineLevel="3" thickBot="1" x14ac:dyDescent="0.25">
      <c r="A450" s="10" t="s">
        <v>1240</v>
      </c>
      <c r="B450" s="162" t="s">
        <v>1241</v>
      </c>
      <c r="C450" s="47" t="s">
        <v>1242</v>
      </c>
      <c r="D450" s="162" t="s">
        <v>1243</v>
      </c>
      <c r="E450" s="25" t="s">
        <v>847</v>
      </c>
      <c r="F450" s="25" t="s">
        <v>1080</v>
      </c>
      <c r="G450" s="48" t="s">
        <v>275</v>
      </c>
      <c r="H450" s="26" t="s">
        <v>61</v>
      </c>
      <c r="I450" s="42">
        <v>1</v>
      </c>
      <c r="J450" s="28" t="s">
        <v>174</v>
      </c>
      <c r="K450" s="29" t="s">
        <v>75</v>
      </c>
      <c r="L450" s="30">
        <v>1</v>
      </c>
      <c r="M450" s="31">
        <f t="shared" si="56"/>
        <v>1</v>
      </c>
      <c r="N450" s="32" t="s">
        <v>39</v>
      </c>
      <c r="O450" s="33" t="s">
        <v>76</v>
      </c>
      <c r="P450" s="30">
        <v>5</v>
      </c>
      <c r="Q450" s="34">
        <f t="shared" si="55"/>
        <v>5</v>
      </c>
      <c r="R450" s="49"/>
      <c r="S450" s="49"/>
      <c r="T450" s="49"/>
      <c r="U450" s="50"/>
      <c r="V450" s="51"/>
      <c r="W450" s="52"/>
      <c r="X450" s="51"/>
      <c r="Y450" s="51"/>
      <c r="Z450" s="53"/>
      <c r="AA450" s="40"/>
      <c r="AB450" s="41"/>
      <c r="AD450" s="17">
        <f t="shared" si="53"/>
        <v>-4822</v>
      </c>
      <c r="AE450" s="18">
        <f t="shared" si="57"/>
        <v>4822</v>
      </c>
      <c r="HR450" s="98"/>
      <c r="HS450" s="98"/>
      <c r="HT450" s="98"/>
      <c r="HU450" s="98"/>
      <c r="HV450" s="98"/>
      <c r="HW450" s="98"/>
      <c r="HX450" s="98"/>
      <c r="HY450" s="98"/>
      <c r="HZ450" s="98"/>
      <c r="IA450" s="98"/>
      <c r="IB450" s="98"/>
      <c r="IC450" s="98"/>
      <c r="ID450" s="98"/>
      <c r="IE450" s="98"/>
      <c r="IF450" s="98"/>
      <c r="IG450" s="98"/>
      <c r="IH450" s="98"/>
      <c r="II450" s="98"/>
      <c r="IJ450" s="98"/>
      <c r="IK450" s="98"/>
      <c r="IL450" s="98"/>
      <c r="IM450" s="98"/>
      <c r="IN450" s="98"/>
      <c r="IO450" s="98"/>
      <c r="IP450" s="98"/>
      <c r="IQ450" s="98"/>
      <c r="IR450" s="98"/>
      <c r="IS450" s="98"/>
      <c r="IT450" s="98"/>
      <c r="IU450" s="98"/>
      <c r="IV450" s="98"/>
      <c r="IW450" s="98"/>
      <c r="IX450" s="98"/>
      <c r="IY450" s="98"/>
      <c r="IZ450" s="98"/>
      <c r="JA450" s="98"/>
      <c r="JB450" s="98"/>
      <c r="JC450" s="98"/>
      <c r="JD450" s="98"/>
      <c r="JE450" s="98"/>
      <c r="JF450" s="98"/>
      <c r="JG450" s="98"/>
      <c r="JH450" s="98"/>
      <c r="JI450" s="98"/>
      <c r="JJ450" s="98"/>
      <c r="JK450" s="98"/>
      <c r="JL450" s="98"/>
      <c r="JM450" s="98"/>
      <c r="JN450" s="98"/>
      <c r="JO450" s="98"/>
      <c r="JP450" s="98"/>
      <c r="JQ450" s="98"/>
      <c r="JR450" s="98"/>
      <c r="JS450" s="98"/>
      <c r="JT450" s="98"/>
      <c r="JU450" s="98"/>
      <c r="JV450" s="98"/>
      <c r="JW450" s="98"/>
      <c r="JX450" s="98"/>
      <c r="JY450" s="98"/>
      <c r="JZ450" s="98"/>
      <c r="KA450" s="98"/>
      <c r="KB450" s="98"/>
      <c r="KC450" s="98"/>
      <c r="KD450" s="98"/>
      <c r="KE450" s="98"/>
      <c r="KF450" s="98"/>
      <c r="KG450" s="98"/>
      <c r="KH450" s="98"/>
      <c r="KI450" s="98"/>
      <c r="KJ450" s="98"/>
      <c r="KK450" s="98"/>
      <c r="KL450" s="98"/>
      <c r="KM450" s="98"/>
      <c r="KN450" s="98"/>
      <c r="KO450" s="98"/>
      <c r="KP450" s="98"/>
      <c r="KQ450" s="98"/>
      <c r="KR450" s="98"/>
      <c r="KS450" s="98"/>
      <c r="KT450" s="98"/>
      <c r="KU450" s="98"/>
      <c r="KV450" s="98"/>
      <c r="KW450" s="98"/>
      <c r="KX450" s="98"/>
      <c r="KY450" s="98"/>
      <c r="KZ450" s="98"/>
      <c r="LA450" s="98"/>
      <c r="LB450" s="98"/>
      <c r="LC450" s="98"/>
      <c r="LD450" s="98"/>
      <c r="LE450" s="98"/>
      <c r="LF450" s="98"/>
      <c r="LG450" s="98"/>
      <c r="LH450" s="98"/>
      <c r="LI450" s="98"/>
      <c r="LJ450" s="98"/>
      <c r="LK450" s="98"/>
      <c r="LL450" s="98"/>
      <c r="LM450" s="98"/>
      <c r="LN450" s="98"/>
      <c r="LO450" s="98"/>
      <c r="LP450" s="98"/>
      <c r="LQ450" s="98"/>
      <c r="LR450" s="98"/>
      <c r="LS450" s="98"/>
      <c r="LT450" s="98"/>
      <c r="LU450" s="98"/>
      <c r="LV450" s="98"/>
      <c r="LW450" s="98"/>
      <c r="LX450" s="98"/>
      <c r="LY450" s="98"/>
      <c r="LZ450" s="98"/>
      <c r="MA450" s="98"/>
      <c r="MB450" s="98"/>
      <c r="MC450" s="98"/>
      <c r="MD450" s="98"/>
      <c r="ME450" s="98"/>
      <c r="MF450" s="98"/>
      <c r="MG450" s="98"/>
      <c r="MH450" s="98"/>
      <c r="MI450" s="98"/>
      <c r="MJ450" s="98"/>
      <c r="MK450" s="98"/>
      <c r="ML450" s="98"/>
      <c r="MM450" s="98"/>
      <c r="MN450" s="98"/>
      <c r="MO450" s="98"/>
      <c r="MP450" s="98"/>
      <c r="MQ450" s="98"/>
      <c r="MR450" s="98"/>
      <c r="MS450" s="98"/>
      <c r="MT450" s="98"/>
      <c r="MU450" s="98"/>
      <c r="MV450" s="98"/>
      <c r="MW450" s="98"/>
      <c r="MX450" s="98"/>
      <c r="MY450" s="98"/>
      <c r="MZ450" s="98"/>
      <c r="NA450" s="98"/>
      <c r="NB450" s="98"/>
      <c r="NC450" s="98"/>
      <c r="ND450" s="98"/>
      <c r="NE450" s="98"/>
      <c r="NF450" s="98"/>
      <c r="NG450" s="98"/>
      <c r="NH450" s="98"/>
      <c r="NI450" s="98"/>
      <c r="NJ450" s="98"/>
      <c r="NK450" s="98"/>
      <c r="NL450" s="98"/>
      <c r="NM450" s="98"/>
      <c r="NN450" s="98"/>
      <c r="NO450" s="98"/>
      <c r="NP450" s="98"/>
      <c r="NQ450" s="98"/>
      <c r="NR450" s="98"/>
      <c r="NS450" s="98"/>
      <c r="NT450" s="98"/>
      <c r="NU450" s="98"/>
      <c r="NV450" s="98"/>
      <c r="NW450" s="98"/>
      <c r="NX450" s="98"/>
      <c r="NY450" s="98"/>
      <c r="NZ450" s="98"/>
      <c r="OA450" s="98"/>
      <c r="OB450" s="98"/>
      <c r="OC450" s="98"/>
      <c r="OD450" s="98"/>
      <c r="OE450" s="98"/>
      <c r="OF450" s="98"/>
      <c r="OG450" s="98"/>
      <c r="OH450" s="98"/>
      <c r="OI450" s="98"/>
      <c r="OJ450" s="98"/>
      <c r="OK450" s="98"/>
      <c r="OL450" s="98"/>
      <c r="OM450" s="98"/>
      <c r="ON450" s="98"/>
      <c r="OO450" s="98"/>
      <c r="OP450" s="98"/>
      <c r="OQ450" s="98"/>
      <c r="OR450" s="98"/>
      <c r="OS450" s="98"/>
      <c r="OT450" s="98"/>
      <c r="OU450" s="98"/>
      <c r="OV450" s="98"/>
      <c r="OW450" s="98"/>
      <c r="OX450" s="98"/>
      <c r="OY450" s="98"/>
      <c r="OZ450" s="98"/>
      <c r="PA450" s="98"/>
      <c r="PB450" s="98"/>
      <c r="PC450" s="98"/>
      <c r="PD450" s="98"/>
      <c r="PE450" s="98"/>
      <c r="PF450" s="98"/>
      <c r="PG450" s="98"/>
      <c r="PH450" s="98"/>
      <c r="PI450" s="98"/>
      <c r="PJ450" s="98"/>
      <c r="PK450" s="98"/>
      <c r="PL450" s="98"/>
      <c r="PM450" s="98"/>
      <c r="PN450" s="98"/>
      <c r="PO450" s="98"/>
      <c r="PP450" s="98"/>
      <c r="PQ450" s="98"/>
      <c r="PR450" s="98"/>
      <c r="PS450" s="98"/>
      <c r="PT450" s="98"/>
      <c r="PU450" s="98"/>
      <c r="PV450" s="98"/>
      <c r="PW450" s="98"/>
      <c r="PX450" s="98"/>
      <c r="PY450" s="98"/>
      <c r="PZ450" s="98"/>
      <c r="QA450" s="98"/>
      <c r="QB450" s="98"/>
      <c r="QC450" s="98"/>
      <c r="QD450" s="98"/>
      <c r="QE450" s="98"/>
      <c r="QF450" s="98"/>
      <c r="QG450" s="98"/>
      <c r="QH450" s="98"/>
      <c r="QI450" s="98"/>
      <c r="QJ450" s="98"/>
      <c r="QK450" s="98"/>
      <c r="QL450" s="98"/>
      <c r="QM450" s="98"/>
      <c r="QN450" s="98"/>
      <c r="QO450" s="98"/>
      <c r="QP450" s="98"/>
      <c r="QQ450" s="98"/>
      <c r="QR450" s="98"/>
      <c r="QS450" s="98"/>
      <c r="QT450" s="98"/>
      <c r="QU450" s="98"/>
      <c r="QV450" s="98"/>
      <c r="QW450" s="98"/>
      <c r="QX450" s="98"/>
      <c r="QY450" s="98"/>
      <c r="QZ450" s="98"/>
      <c r="RA450" s="98"/>
      <c r="RB450" s="98"/>
      <c r="RC450" s="98"/>
      <c r="RD450" s="98"/>
      <c r="RE450" s="98"/>
      <c r="RF450" s="98"/>
      <c r="RG450" s="98"/>
      <c r="RH450" s="98"/>
      <c r="RI450" s="98"/>
      <c r="RJ450" s="98"/>
      <c r="RK450" s="98"/>
      <c r="RL450" s="98"/>
      <c r="RM450" s="98"/>
      <c r="RN450" s="98"/>
      <c r="RO450" s="98"/>
      <c r="RP450" s="98"/>
      <c r="RQ450" s="98"/>
      <c r="RR450" s="98"/>
      <c r="RS450" s="98"/>
      <c r="RT450" s="98"/>
      <c r="RU450" s="98"/>
      <c r="RV450" s="98"/>
      <c r="RW450" s="98"/>
      <c r="RX450" s="98"/>
      <c r="RY450" s="98"/>
      <c r="RZ450" s="98"/>
      <c r="SA450" s="98"/>
      <c r="SB450" s="98"/>
      <c r="SC450" s="98"/>
      <c r="SD450" s="98"/>
      <c r="SE450" s="98"/>
      <c r="SF450" s="98"/>
      <c r="SG450" s="98"/>
      <c r="SH450" s="98"/>
      <c r="SI450" s="98"/>
      <c r="SJ450" s="98"/>
      <c r="SK450" s="98"/>
      <c r="SL450" s="98"/>
      <c r="SM450" s="98"/>
      <c r="SN450" s="98"/>
      <c r="SO450" s="98"/>
      <c r="SP450" s="98"/>
      <c r="SQ450" s="98"/>
      <c r="SR450" s="98"/>
      <c r="SS450" s="98"/>
      <c r="ST450" s="98"/>
      <c r="SU450" s="98"/>
      <c r="SV450" s="98"/>
      <c r="SW450" s="98"/>
      <c r="SX450" s="98"/>
      <c r="SY450" s="98"/>
      <c r="SZ450" s="98"/>
      <c r="TA450" s="98"/>
      <c r="TB450" s="98"/>
      <c r="TC450" s="98"/>
      <c r="TD450" s="98"/>
      <c r="TE450" s="98"/>
      <c r="TF450" s="98"/>
      <c r="TG450" s="98"/>
      <c r="TH450" s="98"/>
      <c r="TI450" s="98"/>
      <c r="TJ450" s="98"/>
      <c r="TK450" s="98"/>
      <c r="TL450" s="98"/>
      <c r="TM450" s="98"/>
      <c r="TN450" s="98"/>
      <c r="TO450" s="98"/>
      <c r="TP450" s="98"/>
      <c r="TQ450" s="98"/>
      <c r="TR450" s="98"/>
      <c r="TS450" s="98"/>
      <c r="TT450" s="98"/>
      <c r="TU450" s="98"/>
      <c r="TV450" s="98"/>
      <c r="TW450" s="98"/>
      <c r="TX450" s="98"/>
      <c r="TY450" s="98"/>
      <c r="TZ450" s="98"/>
      <c r="UA450" s="98"/>
      <c r="UB450" s="98"/>
      <c r="UC450" s="98"/>
      <c r="UD450" s="98"/>
      <c r="UE450" s="98"/>
      <c r="UF450" s="98"/>
      <c r="UG450" s="98"/>
      <c r="UH450" s="98"/>
      <c r="UI450" s="98"/>
      <c r="UJ450" s="98"/>
      <c r="UK450" s="98"/>
      <c r="UL450" s="98"/>
      <c r="UM450" s="98"/>
      <c r="UN450" s="98"/>
      <c r="UO450" s="98"/>
      <c r="UP450" s="98"/>
      <c r="UQ450" s="98"/>
      <c r="UR450" s="98"/>
      <c r="US450" s="98"/>
      <c r="UT450" s="98"/>
      <c r="UU450" s="98"/>
      <c r="UV450" s="98"/>
      <c r="UW450" s="98"/>
      <c r="UX450" s="98"/>
      <c r="UY450" s="98"/>
      <c r="UZ450" s="98"/>
      <c r="VA450" s="98"/>
      <c r="VB450" s="98"/>
      <c r="VC450" s="98"/>
      <c r="VD450" s="98"/>
      <c r="VE450" s="98"/>
      <c r="VF450" s="98"/>
      <c r="VG450" s="98"/>
      <c r="VH450" s="98"/>
      <c r="VI450" s="98"/>
      <c r="VJ450" s="98"/>
      <c r="VK450" s="98"/>
      <c r="VL450" s="98"/>
      <c r="VM450" s="98"/>
      <c r="VN450" s="98"/>
      <c r="VO450" s="98"/>
      <c r="VP450" s="98"/>
      <c r="VQ450" s="98"/>
      <c r="VR450" s="98"/>
      <c r="VS450" s="98"/>
      <c r="VT450" s="98"/>
      <c r="VU450" s="98"/>
      <c r="VV450" s="98"/>
      <c r="VW450" s="98"/>
      <c r="VX450" s="98"/>
      <c r="VY450" s="98"/>
      <c r="VZ450" s="98"/>
      <c r="WA450" s="98"/>
      <c r="WB450" s="98"/>
      <c r="WC450" s="98"/>
      <c r="WD450" s="98"/>
      <c r="WE450" s="98"/>
      <c r="WF450" s="98"/>
      <c r="WG450" s="98"/>
      <c r="WH450" s="98"/>
      <c r="WI450" s="98"/>
      <c r="WJ450" s="98"/>
      <c r="WK450" s="98"/>
      <c r="WL450" s="98"/>
      <c r="WM450" s="98"/>
      <c r="WN450" s="98"/>
      <c r="WO450" s="98"/>
      <c r="WP450" s="98"/>
      <c r="WQ450" s="98"/>
    </row>
    <row r="451" spans="1:615" ht="230.25" outlineLevel="3" thickBot="1" x14ac:dyDescent="0.25">
      <c r="A451" s="10" t="s">
        <v>1244</v>
      </c>
      <c r="B451" s="163"/>
      <c r="C451" s="55"/>
      <c r="D451" s="163"/>
      <c r="E451" s="25" t="s">
        <v>851</v>
      </c>
      <c r="F451" s="25" t="s">
        <v>1245</v>
      </c>
      <c r="G451" s="48" t="s">
        <v>356</v>
      </c>
      <c r="H451" s="88" t="s">
        <v>107</v>
      </c>
      <c r="I451" s="42">
        <v>2</v>
      </c>
      <c r="J451" s="28" t="s">
        <v>882</v>
      </c>
      <c r="K451" s="29" t="s">
        <v>1238</v>
      </c>
      <c r="L451" s="30">
        <v>1</v>
      </c>
      <c r="M451" s="31">
        <f t="shared" si="56"/>
        <v>2</v>
      </c>
      <c r="N451" s="32" t="s">
        <v>39</v>
      </c>
      <c r="O451" s="33" t="s">
        <v>76</v>
      </c>
      <c r="P451" s="71">
        <v>5</v>
      </c>
      <c r="Q451" s="34">
        <f t="shared" si="55"/>
        <v>10</v>
      </c>
      <c r="R451" s="49"/>
      <c r="S451" s="49"/>
      <c r="T451" s="49" t="s">
        <v>1239</v>
      </c>
      <c r="U451" s="50"/>
      <c r="V451" s="51"/>
      <c r="W451" s="52"/>
      <c r="X451" s="51"/>
      <c r="Y451" s="51"/>
      <c r="Z451" s="53"/>
      <c r="AA451" s="40"/>
      <c r="AB451" s="41"/>
      <c r="AD451" s="17">
        <f t="shared" si="53"/>
        <v>-4823</v>
      </c>
      <c r="AE451" s="18">
        <f t="shared" si="57"/>
        <v>4823</v>
      </c>
      <c r="HR451" s="98"/>
      <c r="HS451" s="98"/>
      <c r="HT451" s="98"/>
      <c r="HU451" s="98"/>
      <c r="HV451" s="98"/>
      <c r="HW451" s="98"/>
      <c r="HX451" s="98"/>
      <c r="HY451" s="98"/>
      <c r="HZ451" s="98"/>
      <c r="IA451" s="98"/>
      <c r="IB451" s="98"/>
      <c r="IC451" s="98"/>
      <c r="ID451" s="98"/>
      <c r="IE451" s="98"/>
      <c r="IF451" s="98"/>
      <c r="IG451" s="98"/>
      <c r="IH451" s="98"/>
      <c r="II451" s="98"/>
      <c r="IJ451" s="98"/>
      <c r="IK451" s="98"/>
      <c r="IL451" s="98"/>
      <c r="IM451" s="98"/>
      <c r="IN451" s="98"/>
      <c r="IO451" s="98"/>
      <c r="IP451" s="98"/>
      <c r="IQ451" s="98"/>
      <c r="IR451" s="98"/>
      <c r="IS451" s="98"/>
      <c r="IT451" s="98"/>
      <c r="IU451" s="98"/>
      <c r="IV451" s="98"/>
      <c r="IW451" s="98"/>
      <c r="IX451" s="98"/>
      <c r="IY451" s="98"/>
      <c r="IZ451" s="98"/>
      <c r="JA451" s="98"/>
      <c r="JB451" s="98"/>
      <c r="JC451" s="98"/>
      <c r="JD451" s="98"/>
      <c r="JE451" s="98"/>
      <c r="JF451" s="98"/>
      <c r="JG451" s="98"/>
      <c r="JH451" s="98"/>
      <c r="JI451" s="98"/>
      <c r="JJ451" s="98"/>
      <c r="JK451" s="98"/>
      <c r="JL451" s="98"/>
      <c r="JM451" s="98"/>
      <c r="JN451" s="98"/>
      <c r="JO451" s="98"/>
      <c r="JP451" s="98"/>
      <c r="JQ451" s="98"/>
      <c r="JR451" s="98"/>
      <c r="JS451" s="98"/>
      <c r="JT451" s="98"/>
      <c r="JU451" s="98"/>
      <c r="JV451" s="98"/>
      <c r="JW451" s="98"/>
      <c r="JX451" s="98"/>
      <c r="JY451" s="98"/>
      <c r="JZ451" s="98"/>
      <c r="KA451" s="98"/>
      <c r="KB451" s="98"/>
      <c r="KC451" s="98"/>
      <c r="KD451" s="98"/>
      <c r="KE451" s="98"/>
      <c r="KF451" s="98"/>
      <c r="KG451" s="98"/>
      <c r="KH451" s="98"/>
      <c r="KI451" s="98"/>
      <c r="KJ451" s="98"/>
      <c r="KK451" s="98"/>
      <c r="KL451" s="98"/>
      <c r="KM451" s="98"/>
      <c r="KN451" s="98"/>
      <c r="KO451" s="98"/>
      <c r="KP451" s="98"/>
      <c r="KQ451" s="98"/>
      <c r="KR451" s="98"/>
      <c r="KS451" s="98"/>
      <c r="KT451" s="98"/>
      <c r="KU451" s="98"/>
      <c r="KV451" s="98"/>
      <c r="KW451" s="98"/>
      <c r="KX451" s="98"/>
      <c r="KY451" s="98"/>
      <c r="KZ451" s="98"/>
      <c r="LA451" s="98"/>
      <c r="LB451" s="98"/>
      <c r="LC451" s="98"/>
      <c r="LD451" s="98"/>
      <c r="LE451" s="98"/>
      <c r="LF451" s="98"/>
      <c r="LG451" s="98"/>
      <c r="LH451" s="98"/>
      <c r="LI451" s="98"/>
      <c r="LJ451" s="98"/>
      <c r="LK451" s="98"/>
      <c r="LL451" s="98"/>
      <c r="LM451" s="98"/>
      <c r="LN451" s="98"/>
      <c r="LO451" s="98"/>
      <c r="LP451" s="98"/>
      <c r="LQ451" s="98"/>
      <c r="LR451" s="98"/>
      <c r="LS451" s="98"/>
      <c r="LT451" s="98"/>
      <c r="LU451" s="98"/>
      <c r="LV451" s="98"/>
      <c r="LW451" s="98"/>
      <c r="LX451" s="98"/>
      <c r="LY451" s="98"/>
      <c r="LZ451" s="98"/>
      <c r="MA451" s="98"/>
      <c r="MB451" s="98"/>
      <c r="MC451" s="98"/>
      <c r="MD451" s="98"/>
      <c r="ME451" s="98"/>
      <c r="MF451" s="98"/>
      <c r="MG451" s="98"/>
      <c r="MH451" s="98"/>
      <c r="MI451" s="98"/>
      <c r="MJ451" s="98"/>
      <c r="MK451" s="98"/>
      <c r="ML451" s="98"/>
      <c r="MM451" s="98"/>
      <c r="MN451" s="98"/>
      <c r="MO451" s="98"/>
      <c r="MP451" s="98"/>
      <c r="MQ451" s="98"/>
      <c r="MR451" s="98"/>
      <c r="MS451" s="98"/>
      <c r="MT451" s="98"/>
      <c r="MU451" s="98"/>
      <c r="MV451" s="98"/>
      <c r="MW451" s="98"/>
      <c r="MX451" s="98"/>
      <c r="MY451" s="98"/>
      <c r="MZ451" s="98"/>
      <c r="NA451" s="98"/>
      <c r="NB451" s="98"/>
      <c r="NC451" s="98"/>
      <c r="ND451" s="98"/>
      <c r="NE451" s="98"/>
      <c r="NF451" s="98"/>
      <c r="NG451" s="98"/>
      <c r="NH451" s="98"/>
      <c r="NI451" s="98"/>
      <c r="NJ451" s="98"/>
      <c r="NK451" s="98"/>
      <c r="NL451" s="98"/>
      <c r="NM451" s="98"/>
      <c r="NN451" s="98"/>
      <c r="NO451" s="98"/>
      <c r="NP451" s="98"/>
      <c r="NQ451" s="98"/>
      <c r="NR451" s="98"/>
      <c r="NS451" s="98"/>
      <c r="NT451" s="98"/>
      <c r="NU451" s="98"/>
      <c r="NV451" s="98"/>
      <c r="NW451" s="98"/>
      <c r="NX451" s="98"/>
      <c r="NY451" s="98"/>
      <c r="NZ451" s="98"/>
      <c r="OA451" s="98"/>
      <c r="OB451" s="98"/>
      <c r="OC451" s="98"/>
      <c r="OD451" s="98"/>
      <c r="OE451" s="98"/>
      <c r="OF451" s="98"/>
      <c r="OG451" s="98"/>
      <c r="OH451" s="98"/>
      <c r="OI451" s="98"/>
      <c r="OJ451" s="98"/>
      <c r="OK451" s="98"/>
      <c r="OL451" s="98"/>
      <c r="OM451" s="98"/>
      <c r="ON451" s="98"/>
      <c r="OO451" s="98"/>
      <c r="OP451" s="98"/>
      <c r="OQ451" s="98"/>
      <c r="OR451" s="98"/>
      <c r="OS451" s="98"/>
      <c r="OT451" s="98"/>
      <c r="OU451" s="98"/>
      <c r="OV451" s="98"/>
      <c r="OW451" s="98"/>
      <c r="OX451" s="98"/>
      <c r="OY451" s="98"/>
      <c r="OZ451" s="98"/>
      <c r="PA451" s="98"/>
      <c r="PB451" s="98"/>
      <c r="PC451" s="98"/>
      <c r="PD451" s="98"/>
      <c r="PE451" s="98"/>
      <c r="PF451" s="98"/>
      <c r="PG451" s="98"/>
      <c r="PH451" s="98"/>
      <c r="PI451" s="98"/>
      <c r="PJ451" s="98"/>
      <c r="PK451" s="98"/>
      <c r="PL451" s="98"/>
      <c r="PM451" s="98"/>
      <c r="PN451" s="98"/>
      <c r="PO451" s="98"/>
      <c r="PP451" s="98"/>
      <c r="PQ451" s="98"/>
      <c r="PR451" s="98"/>
      <c r="PS451" s="98"/>
      <c r="PT451" s="98"/>
      <c r="PU451" s="98"/>
      <c r="PV451" s="98"/>
      <c r="PW451" s="98"/>
      <c r="PX451" s="98"/>
      <c r="PY451" s="98"/>
      <c r="PZ451" s="98"/>
      <c r="QA451" s="98"/>
      <c r="QB451" s="98"/>
      <c r="QC451" s="98"/>
      <c r="QD451" s="98"/>
      <c r="QE451" s="98"/>
      <c r="QF451" s="98"/>
      <c r="QG451" s="98"/>
      <c r="QH451" s="98"/>
      <c r="QI451" s="98"/>
      <c r="QJ451" s="98"/>
      <c r="QK451" s="98"/>
      <c r="QL451" s="98"/>
      <c r="QM451" s="98"/>
      <c r="QN451" s="98"/>
      <c r="QO451" s="98"/>
      <c r="QP451" s="98"/>
      <c r="QQ451" s="98"/>
      <c r="QR451" s="98"/>
      <c r="QS451" s="98"/>
      <c r="QT451" s="98"/>
      <c r="QU451" s="98"/>
      <c r="QV451" s="98"/>
      <c r="QW451" s="98"/>
      <c r="QX451" s="98"/>
      <c r="QY451" s="98"/>
      <c r="QZ451" s="98"/>
      <c r="RA451" s="98"/>
      <c r="RB451" s="98"/>
      <c r="RC451" s="98"/>
      <c r="RD451" s="98"/>
      <c r="RE451" s="98"/>
      <c r="RF451" s="98"/>
      <c r="RG451" s="98"/>
      <c r="RH451" s="98"/>
      <c r="RI451" s="98"/>
      <c r="RJ451" s="98"/>
      <c r="RK451" s="98"/>
      <c r="RL451" s="98"/>
      <c r="RM451" s="98"/>
      <c r="RN451" s="98"/>
      <c r="RO451" s="98"/>
      <c r="RP451" s="98"/>
      <c r="RQ451" s="98"/>
      <c r="RR451" s="98"/>
      <c r="RS451" s="98"/>
      <c r="RT451" s="98"/>
      <c r="RU451" s="98"/>
      <c r="RV451" s="98"/>
      <c r="RW451" s="98"/>
      <c r="RX451" s="98"/>
      <c r="RY451" s="98"/>
      <c r="RZ451" s="98"/>
      <c r="SA451" s="98"/>
      <c r="SB451" s="98"/>
      <c r="SC451" s="98"/>
      <c r="SD451" s="98"/>
      <c r="SE451" s="98"/>
      <c r="SF451" s="98"/>
      <c r="SG451" s="98"/>
      <c r="SH451" s="98"/>
      <c r="SI451" s="98"/>
      <c r="SJ451" s="98"/>
      <c r="SK451" s="98"/>
      <c r="SL451" s="98"/>
      <c r="SM451" s="98"/>
      <c r="SN451" s="98"/>
      <c r="SO451" s="98"/>
      <c r="SP451" s="98"/>
      <c r="SQ451" s="98"/>
      <c r="SR451" s="98"/>
      <c r="SS451" s="98"/>
      <c r="ST451" s="98"/>
      <c r="SU451" s="98"/>
      <c r="SV451" s="98"/>
      <c r="SW451" s="98"/>
      <c r="SX451" s="98"/>
      <c r="SY451" s="98"/>
      <c r="SZ451" s="98"/>
      <c r="TA451" s="98"/>
      <c r="TB451" s="98"/>
      <c r="TC451" s="98"/>
      <c r="TD451" s="98"/>
      <c r="TE451" s="98"/>
      <c r="TF451" s="98"/>
      <c r="TG451" s="98"/>
      <c r="TH451" s="98"/>
      <c r="TI451" s="98"/>
      <c r="TJ451" s="98"/>
      <c r="TK451" s="98"/>
      <c r="TL451" s="98"/>
      <c r="TM451" s="98"/>
      <c r="TN451" s="98"/>
      <c r="TO451" s="98"/>
      <c r="TP451" s="98"/>
      <c r="TQ451" s="98"/>
      <c r="TR451" s="98"/>
      <c r="TS451" s="98"/>
      <c r="TT451" s="98"/>
      <c r="TU451" s="98"/>
      <c r="TV451" s="98"/>
      <c r="TW451" s="98"/>
      <c r="TX451" s="98"/>
      <c r="TY451" s="98"/>
      <c r="TZ451" s="98"/>
      <c r="UA451" s="98"/>
      <c r="UB451" s="98"/>
      <c r="UC451" s="98"/>
      <c r="UD451" s="98"/>
      <c r="UE451" s="98"/>
      <c r="UF451" s="98"/>
      <c r="UG451" s="98"/>
      <c r="UH451" s="98"/>
      <c r="UI451" s="98"/>
      <c r="UJ451" s="98"/>
      <c r="UK451" s="98"/>
      <c r="UL451" s="98"/>
      <c r="UM451" s="98"/>
      <c r="UN451" s="98"/>
      <c r="UO451" s="98"/>
      <c r="UP451" s="98"/>
      <c r="UQ451" s="98"/>
      <c r="UR451" s="98"/>
      <c r="US451" s="98"/>
      <c r="UT451" s="98"/>
      <c r="UU451" s="98"/>
      <c r="UV451" s="98"/>
      <c r="UW451" s="98"/>
      <c r="UX451" s="98"/>
      <c r="UY451" s="98"/>
      <c r="UZ451" s="98"/>
      <c r="VA451" s="98"/>
      <c r="VB451" s="98"/>
      <c r="VC451" s="98"/>
      <c r="VD451" s="98"/>
      <c r="VE451" s="98"/>
      <c r="VF451" s="98"/>
      <c r="VG451" s="98"/>
      <c r="VH451" s="98"/>
      <c r="VI451" s="98"/>
      <c r="VJ451" s="98"/>
      <c r="VK451" s="98"/>
      <c r="VL451" s="98"/>
      <c r="VM451" s="98"/>
      <c r="VN451" s="98"/>
      <c r="VO451" s="98"/>
      <c r="VP451" s="98"/>
      <c r="VQ451" s="98"/>
      <c r="VR451" s="98"/>
      <c r="VS451" s="98"/>
      <c r="VT451" s="98"/>
      <c r="VU451" s="98"/>
      <c r="VV451" s="98"/>
      <c r="VW451" s="98"/>
      <c r="VX451" s="98"/>
      <c r="VY451" s="98"/>
      <c r="VZ451" s="98"/>
      <c r="WA451" s="98"/>
      <c r="WB451" s="98"/>
      <c r="WC451" s="98"/>
      <c r="WD451" s="98"/>
      <c r="WE451" s="98"/>
      <c r="WF451" s="98"/>
      <c r="WG451" s="98"/>
      <c r="WH451" s="98"/>
      <c r="WI451" s="98"/>
      <c r="WJ451" s="98"/>
      <c r="WK451" s="98"/>
      <c r="WL451" s="98"/>
      <c r="WM451" s="98"/>
      <c r="WN451" s="98"/>
      <c r="WO451" s="98"/>
      <c r="WP451" s="98"/>
      <c r="WQ451" s="98"/>
    </row>
    <row r="452" spans="1:615" ht="21" outlineLevel="2" thickBot="1" x14ac:dyDescent="0.25">
      <c r="A452" s="19"/>
      <c r="B452" s="108" t="s">
        <v>1246</v>
      </c>
      <c r="C452" s="109"/>
      <c r="D452" s="110"/>
      <c r="E452" s="110"/>
      <c r="F452" s="110"/>
      <c r="G452" s="110"/>
      <c r="H452" s="110"/>
      <c r="I452" s="110"/>
      <c r="J452" s="110"/>
      <c r="K452" s="110"/>
      <c r="L452" s="110"/>
      <c r="M452" s="110"/>
      <c r="N452" s="110"/>
      <c r="O452" s="110"/>
      <c r="P452" s="110"/>
      <c r="Q452" s="110"/>
      <c r="R452" s="110"/>
      <c r="S452" s="110"/>
      <c r="T452" s="110"/>
      <c r="U452" s="111"/>
      <c r="V452" s="110"/>
      <c r="W452" s="110"/>
      <c r="X452" s="110"/>
      <c r="Y452" s="110"/>
      <c r="Z452" s="110"/>
      <c r="AA452" s="110"/>
      <c r="AB452" s="112"/>
      <c r="AD452" s="17">
        <f t="shared" si="53"/>
        <v>0</v>
      </c>
      <c r="AE452" s="18">
        <f t="shared" si="57"/>
        <v>0</v>
      </c>
    </row>
    <row r="453" spans="1:615" ht="230.25" outlineLevel="3" thickBot="1" x14ac:dyDescent="0.25">
      <c r="A453" s="10" t="s">
        <v>1247</v>
      </c>
      <c r="B453" s="164" t="s">
        <v>1068</v>
      </c>
      <c r="C453" s="123" t="s">
        <v>1248</v>
      </c>
      <c r="D453" s="164" t="s">
        <v>1070</v>
      </c>
      <c r="E453" s="74" t="s">
        <v>1071</v>
      </c>
      <c r="F453" s="74" t="s">
        <v>1249</v>
      </c>
      <c r="G453" s="48" t="s">
        <v>356</v>
      </c>
      <c r="H453" s="88" t="s">
        <v>107</v>
      </c>
      <c r="I453" s="42">
        <v>1</v>
      </c>
      <c r="J453" s="70" t="s">
        <v>186</v>
      </c>
      <c r="K453" s="29" t="s">
        <v>62</v>
      </c>
      <c r="L453" s="71">
        <v>2</v>
      </c>
      <c r="M453" s="31">
        <f t="shared" si="56"/>
        <v>2</v>
      </c>
      <c r="N453" s="32" t="s">
        <v>39</v>
      </c>
      <c r="O453" s="33" t="s">
        <v>76</v>
      </c>
      <c r="P453" s="71">
        <v>5</v>
      </c>
      <c r="Q453" s="34">
        <f t="shared" ref="Q453:Q498" si="58">M453*P453</f>
        <v>10</v>
      </c>
      <c r="R453" s="33"/>
      <c r="S453" s="33"/>
      <c r="T453" s="33" t="s">
        <v>1250</v>
      </c>
      <c r="U453" s="50"/>
      <c r="V453" s="51"/>
      <c r="W453" s="52"/>
      <c r="X453" s="51"/>
      <c r="Y453" s="51"/>
      <c r="Z453" s="53"/>
      <c r="AA453" s="40"/>
      <c r="AB453" s="41"/>
      <c r="AD453" s="17">
        <f t="shared" ref="AD453:AD499" si="59">VALUE(RIGHT((IF(A453="",0,A453)),5))</f>
        <v>-4831</v>
      </c>
      <c r="AE453" s="18">
        <f t="shared" si="57"/>
        <v>4831</v>
      </c>
    </row>
    <row r="454" spans="1:615" ht="230.25" outlineLevel="3" thickBot="1" x14ac:dyDescent="0.25">
      <c r="A454" s="10" t="s">
        <v>1251</v>
      </c>
      <c r="B454" s="141"/>
      <c r="C454" s="55"/>
      <c r="D454" s="141"/>
      <c r="E454" s="74" t="s">
        <v>1252</v>
      </c>
      <c r="F454" s="74" t="s">
        <v>1253</v>
      </c>
      <c r="G454" s="74" t="s">
        <v>191</v>
      </c>
      <c r="H454" s="26" t="s">
        <v>46</v>
      </c>
      <c r="I454" s="42">
        <v>3</v>
      </c>
      <c r="J454" s="70" t="s">
        <v>192</v>
      </c>
      <c r="K454" s="29" t="s">
        <v>62</v>
      </c>
      <c r="L454" s="71">
        <v>2</v>
      </c>
      <c r="M454" s="31">
        <f t="shared" si="56"/>
        <v>6</v>
      </c>
      <c r="N454" s="32" t="s">
        <v>39</v>
      </c>
      <c r="O454" s="60" t="s">
        <v>49</v>
      </c>
      <c r="P454" s="30">
        <v>3</v>
      </c>
      <c r="Q454" s="34">
        <f t="shared" si="58"/>
        <v>18</v>
      </c>
      <c r="R454" s="33"/>
      <c r="S454" s="33"/>
      <c r="T454" s="33" t="s">
        <v>1250</v>
      </c>
      <c r="U454" s="50"/>
      <c r="V454" s="51"/>
      <c r="W454" s="52"/>
      <c r="X454" s="51"/>
      <c r="Y454" s="51"/>
      <c r="Z454" s="53"/>
      <c r="AA454" s="40"/>
      <c r="AB454" s="41"/>
      <c r="AD454" s="17">
        <f t="shared" si="59"/>
        <v>-4832</v>
      </c>
      <c r="AE454" s="18">
        <f t="shared" si="57"/>
        <v>4832</v>
      </c>
    </row>
    <row r="455" spans="1:615" ht="230.25" outlineLevel="3" thickBot="1" x14ac:dyDescent="0.25">
      <c r="A455" s="10" t="s">
        <v>1254</v>
      </c>
      <c r="B455" s="142" t="s">
        <v>1255</v>
      </c>
      <c r="C455" s="47" t="s">
        <v>1256</v>
      </c>
      <c r="D455" s="142" t="s">
        <v>1257</v>
      </c>
      <c r="E455" s="74" t="s">
        <v>847</v>
      </c>
      <c r="F455" s="74" t="s">
        <v>1080</v>
      </c>
      <c r="G455" s="48" t="s">
        <v>275</v>
      </c>
      <c r="H455" s="26" t="s">
        <v>61</v>
      </c>
      <c r="I455" s="42">
        <v>1</v>
      </c>
      <c r="J455" s="70" t="s">
        <v>174</v>
      </c>
      <c r="K455" s="29" t="s">
        <v>75</v>
      </c>
      <c r="L455" s="71">
        <v>1</v>
      </c>
      <c r="M455" s="31">
        <f t="shared" si="56"/>
        <v>1</v>
      </c>
      <c r="N455" s="32" t="s">
        <v>39</v>
      </c>
      <c r="O455" s="33" t="s">
        <v>76</v>
      </c>
      <c r="P455" s="30">
        <v>5</v>
      </c>
      <c r="Q455" s="34">
        <f>M455*P455</f>
        <v>5</v>
      </c>
      <c r="R455" s="33"/>
      <c r="S455" s="33"/>
      <c r="T455" s="33"/>
      <c r="U455" s="50"/>
      <c r="V455" s="51"/>
      <c r="W455" s="52"/>
      <c r="X455" s="51"/>
      <c r="Y455" s="51"/>
      <c r="Z455" s="53"/>
      <c r="AA455" s="40"/>
      <c r="AB455" s="41"/>
      <c r="AD455" s="17">
        <f t="shared" si="59"/>
        <v>10579</v>
      </c>
      <c r="AE455" s="18"/>
    </row>
    <row r="456" spans="1:615" ht="230.25" outlineLevel="3" thickBot="1" x14ac:dyDescent="0.25">
      <c r="A456" s="10" t="s">
        <v>1258</v>
      </c>
      <c r="B456" s="141"/>
      <c r="C456" s="55"/>
      <c r="D456" s="141"/>
      <c r="E456" s="74" t="s">
        <v>851</v>
      </c>
      <c r="F456" s="74" t="s">
        <v>1259</v>
      </c>
      <c r="G456" s="74" t="s">
        <v>191</v>
      </c>
      <c r="H456" s="26" t="s">
        <v>46</v>
      </c>
      <c r="I456" s="42">
        <v>4</v>
      </c>
      <c r="J456" s="28" t="s">
        <v>882</v>
      </c>
      <c r="K456" s="29" t="s">
        <v>1260</v>
      </c>
      <c r="L456" s="30">
        <v>1</v>
      </c>
      <c r="M456" s="31">
        <f t="shared" si="56"/>
        <v>4</v>
      </c>
      <c r="N456" s="32" t="s">
        <v>39</v>
      </c>
      <c r="O456" s="60" t="s">
        <v>49</v>
      </c>
      <c r="P456" s="30">
        <v>3</v>
      </c>
      <c r="Q456" s="34">
        <f>M456*P456</f>
        <v>12</v>
      </c>
      <c r="R456" s="33"/>
      <c r="S456" s="33"/>
      <c r="T456" s="33"/>
      <c r="U456" s="50"/>
      <c r="V456" s="51"/>
      <c r="W456" s="52"/>
      <c r="X456" s="51"/>
      <c r="Y456" s="51"/>
      <c r="Z456" s="53"/>
      <c r="AA456" s="40"/>
      <c r="AB456" s="41"/>
      <c r="AD456" s="17">
        <f t="shared" si="59"/>
        <v>10580</v>
      </c>
      <c r="AE456" s="18"/>
    </row>
    <row r="457" spans="1:615" ht="153.75" customHeight="1" outlineLevel="3" thickBot="1" x14ac:dyDescent="0.25">
      <c r="A457" s="10" t="s">
        <v>1261</v>
      </c>
      <c r="B457" s="142" t="s">
        <v>1262</v>
      </c>
      <c r="C457" s="47" t="s">
        <v>1263</v>
      </c>
      <c r="D457" s="142" t="s">
        <v>1257</v>
      </c>
      <c r="E457" s="74" t="s">
        <v>847</v>
      </c>
      <c r="F457" s="74" t="s">
        <v>1080</v>
      </c>
      <c r="G457" s="48" t="s">
        <v>275</v>
      </c>
      <c r="H457" s="26" t="s">
        <v>107</v>
      </c>
      <c r="I457" s="42">
        <v>1</v>
      </c>
      <c r="J457" s="70" t="s">
        <v>174</v>
      </c>
      <c r="K457" s="29" t="s">
        <v>75</v>
      </c>
      <c r="L457" s="71">
        <v>1</v>
      </c>
      <c r="M457" s="31">
        <f t="shared" si="56"/>
        <v>1</v>
      </c>
      <c r="N457" s="32" t="s">
        <v>39</v>
      </c>
      <c r="O457" s="33" t="s">
        <v>76</v>
      </c>
      <c r="P457" s="30">
        <v>5</v>
      </c>
      <c r="Q457" s="34">
        <f t="shared" si="58"/>
        <v>5</v>
      </c>
      <c r="R457" s="33"/>
      <c r="S457" s="33"/>
      <c r="T457" s="33"/>
      <c r="U457" s="50"/>
      <c r="V457" s="51"/>
      <c r="W457" s="52"/>
      <c r="X457" s="51"/>
      <c r="Y457" s="51"/>
      <c r="Z457" s="53"/>
      <c r="AA457" s="40"/>
      <c r="AB457" s="41"/>
      <c r="AD457" s="17">
        <f t="shared" si="59"/>
        <v>-4833</v>
      </c>
      <c r="AE457" s="18">
        <f t="shared" si="57"/>
        <v>4833</v>
      </c>
    </row>
    <row r="458" spans="1:615" ht="230.25" outlineLevel="3" thickBot="1" x14ac:dyDescent="0.25">
      <c r="A458" s="10" t="s">
        <v>1264</v>
      </c>
      <c r="B458" s="141"/>
      <c r="C458" s="55"/>
      <c r="D458" s="141"/>
      <c r="E458" s="74" t="s">
        <v>851</v>
      </c>
      <c r="F458" s="74" t="s">
        <v>1265</v>
      </c>
      <c r="G458" s="74" t="s">
        <v>1266</v>
      </c>
      <c r="H458" s="26" t="s">
        <v>147</v>
      </c>
      <c r="I458" s="42">
        <v>2</v>
      </c>
      <c r="J458" s="28" t="s">
        <v>882</v>
      </c>
      <c r="K458" s="29" t="s">
        <v>75</v>
      </c>
      <c r="L458" s="30">
        <v>1</v>
      </c>
      <c r="M458" s="31">
        <f t="shared" si="56"/>
        <v>2</v>
      </c>
      <c r="N458" s="32" t="s">
        <v>39</v>
      </c>
      <c r="O458" s="33" t="s">
        <v>76</v>
      </c>
      <c r="P458" s="71">
        <v>5</v>
      </c>
      <c r="Q458" s="34">
        <f t="shared" si="58"/>
        <v>10</v>
      </c>
      <c r="R458" s="33"/>
      <c r="S458" s="33"/>
      <c r="T458" s="33" t="s">
        <v>1250</v>
      </c>
      <c r="U458" s="50"/>
      <c r="V458" s="51"/>
      <c r="W458" s="52"/>
      <c r="X458" s="51"/>
      <c r="Y458" s="51"/>
      <c r="Z458" s="53"/>
      <c r="AA458" s="40"/>
      <c r="AB458" s="41"/>
      <c r="AD458" s="17">
        <f t="shared" si="59"/>
        <v>-4834</v>
      </c>
      <c r="AE458" s="18">
        <f t="shared" si="57"/>
        <v>4834</v>
      </c>
    </row>
    <row r="459" spans="1:615" ht="230.25" outlineLevel="3" thickBot="1" x14ac:dyDescent="0.25">
      <c r="A459" s="124" t="s">
        <v>1267</v>
      </c>
      <c r="B459" s="125" t="s">
        <v>1268</v>
      </c>
      <c r="C459" s="54" t="s">
        <v>1269</v>
      </c>
      <c r="D459" s="117"/>
      <c r="E459" s="74" t="s">
        <v>1092</v>
      </c>
      <c r="F459" s="74" t="s">
        <v>1270</v>
      </c>
      <c r="G459" s="48" t="s">
        <v>280</v>
      </c>
      <c r="H459" s="26" t="s">
        <v>376</v>
      </c>
      <c r="I459" s="42">
        <v>4</v>
      </c>
      <c r="J459" s="28" t="s">
        <v>882</v>
      </c>
      <c r="K459" s="29" t="s">
        <v>75</v>
      </c>
      <c r="L459" s="30">
        <v>1</v>
      </c>
      <c r="M459" s="31">
        <f t="shared" si="56"/>
        <v>4</v>
      </c>
      <c r="N459" s="32" t="s">
        <v>39</v>
      </c>
      <c r="O459" s="60" t="s">
        <v>49</v>
      </c>
      <c r="P459" s="30">
        <v>3</v>
      </c>
      <c r="Q459" s="34">
        <f t="shared" si="58"/>
        <v>12</v>
      </c>
      <c r="R459" s="33"/>
      <c r="S459" s="33"/>
      <c r="T459" s="33"/>
      <c r="U459" s="50"/>
      <c r="V459" s="51"/>
      <c r="W459" s="52"/>
      <c r="X459" s="51"/>
      <c r="Y459" s="51"/>
      <c r="Z459" s="53"/>
      <c r="AA459" s="40"/>
      <c r="AB459" s="41"/>
      <c r="AD459" s="17">
        <f t="shared" si="59"/>
        <v>10472</v>
      </c>
      <c r="AE459" s="18"/>
    </row>
    <row r="460" spans="1:615" ht="230.25" outlineLevel="3" thickBot="1" x14ac:dyDescent="0.25">
      <c r="A460" s="61" t="s">
        <v>1271</v>
      </c>
      <c r="B460" s="150" t="s">
        <v>1085</v>
      </c>
      <c r="C460" s="152" t="s">
        <v>1272</v>
      </c>
      <c r="D460" s="142" t="s">
        <v>1087</v>
      </c>
      <c r="E460" s="48" t="s">
        <v>67</v>
      </c>
      <c r="F460" s="74" t="s">
        <v>1273</v>
      </c>
      <c r="G460" s="74" t="s">
        <v>438</v>
      </c>
      <c r="H460" s="26" t="s">
        <v>147</v>
      </c>
      <c r="I460" s="42">
        <v>1</v>
      </c>
      <c r="J460" s="28" t="s">
        <v>74</v>
      </c>
      <c r="K460" s="29" t="s">
        <v>75</v>
      </c>
      <c r="L460" s="30">
        <v>1</v>
      </c>
      <c r="M460" s="31">
        <f>I460*L460</f>
        <v>1</v>
      </c>
      <c r="N460" s="32" t="s">
        <v>39</v>
      </c>
      <c r="O460" s="33" t="s">
        <v>76</v>
      </c>
      <c r="P460" s="30">
        <v>5</v>
      </c>
      <c r="Q460" s="34">
        <f>M460*P460</f>
        <v>5</v>
      </c>
      <c r="R460" s="33"/>
      <c r="S460" s="33"/>
      <c r="T460" s="33"/>
      <c r="U460" s="50"/>
      <c r="V460" s="51"/>
      <c r="W460" s="52"/>
      <c r="X460" s="51"/>
      <c r="Y460" s="51"/>
      <c r="Z460" s="53"/>
      <c r="AA460" s="40"/>
      <c r="AB460" s="41"/>
      <c r="AD460" s="17">
        <f t="shared" si="59"/>
        <v>10473</v>
      </c>
      <c r="AE460" s="18"/>
    </row>
    <row r="461" spans="1:615" ht="230.25" outlineLevel="3" thickBot="1" x14ac:dyDescent="0.25">
      <c r="A461" s="61" t="s">
        <v>1274</v>
      </c>
      <c r="B461" s="151"/>
      <c r="C461" s="153"/>
      <c r="D461" s="141"/>
      <c r="E461" s="48" t="s">
        <v>71</v>
      </c>
      <c r="F461" s="126" t="s">
        <v>1275</v>
      </c>
      <c r="G461" s="48" t="s">
        <v>375</v>
      </c>
      <c r="H461" s="26" t="s">
        <v>376</v>
      </c>
      <c r="I461" s="42">
        <v>4</v>
      </c>
      <c r="J461" s="28" t="s">
        <v>74</v>
      </c>
      <c r="K461" s="29" t="s">
        <v>75</v>
      </c>
      <c r="L461" s="30">
        <v>1</v>
      </c>
      <c r="M461" s="31">
        <f t="shared" ref="M461:M463" si="60">I461*L461</f>
        <v>4</v>
      </c>
      <c r="N461" s="32" t="s">
        <v>39</v>
      </c>
      <c r="O461" s="60" t="s">
        <v>49</v>
      </c>
      <c r="P461" s="30">
        <v>3</v>
      </c>
      <c r="Q461" s="34">
        <f t="shared" ref="Q461:Q463" si="61">M461*P461</f>
        <v>12</v>
      </c>
      <c r="R461" s="33"/>
      <c r="S461" s="33"/>
      <c r="T461" s="33"/>
      <c r="U461" s="50"/>
      <c r="V461" s="51"/>
      <c r="W461" s="52"/>
      <c r="X461" s="51"/>
      <c r="Y461" s="51"/>
      <c r="Z461" s="53"/>
      <c r="AA461" s="40"/>
      <c r="AB461" s="41"/>
      <c r="AD461" s="17">
        <f t="shared" si="59"/>
        <v>10474</v>
      </c>
      <c r="AE461" s="18"/>
    </row>
    <row r="462" spans="1:615" ht="230.25" outlineLevel="3" thickBot="1" x14ac:dyDescent="0.25">
      <c r="A462" s="61" t="s">
        <v>1276</v>
      </c>
      <c r="B462" s="145" t="s">
        <v>1277</v>
      </c>
      <c r="C462" s="152" t="s">
        <v>1278</v>
      </c>
      <c r="D462" s="152" t="s">
        <v>414</v>
      </c>
      <c r="E462" s="74" t="s">
        <v>382</v>
      </c>
      <c r="F462" s="74" t="s">
        <v>1080</v>
      </c>
      <c r="G462" s="48" t="s">
        <v>275</v>
      </c>
      <c r="H462" s="26" t="s">
        <v>61</v>
      </c>
      <c r="I462" s="42">
        <v>1</v>
      </c>
      <c r="J462" s="70" t="s">
        <v>174</v>
      </c>
      <c r="K462" s="29" t="s">
        <v>75</v>
      </c>
      <c r="L462" s="71">
        <v>1</v>
      </c>
      <c r="M462" s="31">
        <f t="shared" si="60"/>
        <v>1</v>
      </c>
      <c r="N462" s="32" t="s">
        <v>39</v>
      </c>
      <c r="O462" s="33" t="s">
        <v>76</v>
      </c>
      <c r="P462" s="30">
        <v>5</v>
      </c>
      <c r="Q462" s="34">
        <f t="shared" si="61"/>
        <v>5</v>
      </c>
      <c r="R462" s="33"/>
      <c r="S462" s="33"/>
      <c r="T462" s="33"/>
      <c r="U462" s="50"/>
      <c r="V462" s="51"/>
      <c r="W462" s="52"/>
      <c r="X462" s="51"/>
      <c r="Y462" s="51"/>
      <c r="Z462" s="53"/>
      <c r="AA462" s="40"/>
      <c r="AB462" s="41"/>
      <c r="AD462" s="17">
        <f t="shared" si="59"/>
        <v>10475</v>
      </c>
      <c r="AE462" s="18"/>
    </row>
    <row r="463" spans="1:615" ht="230.25" outlineLevel="3" thickBot="1" x14ac:dyDescent="0.25">
      <c r="A463" s="61" t="s">
        <v>1279</v>
      </c>
      <c r="B463" s="146"/>
      <c r="C463" s="153"/>
      <c r="D463" s="153"/>
      <c r="E463" s="74" t="s">
        <v>386</v>
      </c>
      <c r="F463" s="127" t="s">
        <v>1280</v>
      </c>
      <c r="G463" s="74" t="s">
        <v>1266</v>
      </c>
      <c r="H463" s="26" t="s">
        <v>147</v>
      </c>
      <c r="I463" s="69">
        <v>2</v>
      </c>
      <c r="J463" s="28" t="s">
        <v>192</v>
      </c>
      <c r="K463" s="29" t="s">
        <v>62</v>
      </c>
      <c r="L463" s="30">
        <v>1</v>
      </c>
      <c r="M463" s="31">
        <f t="shared" si="60"/>
        <v>2</v>
      </c>
      <c r="N463" s="32" t="s">
        <v>39</v>
      </c>
      <c r="O463" s="33" t="s">
        <v>76</v>
      </c>
      <c r="P463" s="71">
        <v>5</v>
      </c>
      <c r="Q463" s="34">
        <f t="shared" si="61"/>
        <v>10</v>
      </c>
      <c r="R463" s="33"/>
      <c r="S463" s="33"/>
      <c r="T463" s="33"/>
      <c r="U463" s="50"/>
      <c r="V463" s="51"/>
      <c r="W463" s="52"/>
      <c r="X463" s="51"/>
      <c r="Y463" s="51"/>
      <c r="Z463" s="53"/>
      <c r="AA463" s="40"/>
      <c r="AB463" s="41"/>
      <c r="AD463" s="17">
        <f t="shared" si="59"/>
        <v>10476</v>
      </c>
      <c r="AE463" s="18"/>
    </row>
    <row r="464" spans="1:615" ht="230.25" outlineLevel="3" thickBot="1" x14ac:dyDescent="0.25">
      <c r="A464" s="10" t="s">
        <v>1281</v>
      </c>
      <c r="B464" s="160" t="s">
        <v>1282</v>
      </c>
      <c r="C464" s="128" t="s">
        <v>1283</v>
      </c>
      <c r="D464" s="142" t="s">
        <v>1284</v>
      </c>
      <c r="E464" s="74" t="s">
        <v>1285</v>
      </c>
      <c r="F464" s="74" t="s">
        <v>1286</v>
      </c>
      <c r="G464" s="74" t="s">
        <v>1287</v>
      </c>
      <c r="H464" s="74" t="s">
        <v>61</v>
      </c>
      <c r="I464" s="42">
        <v>1</v>
      </c>
      <c r="J464" s="28" t="s">
        <v>47</v>
      </c>
      <c r="K464" s="29" t="s">
        <v>1288</v>
      </c>
      <c r="L464" s="30">
        <v>2</v>
      </c>
      <c r="M464" s="31">
        <f t="shared" si="56"/>
        <v>2</v>
      </c>
      <c r="N464" s="32" t="s">
        <v>39</v>
      </c>
      <c r="O464" s="33" t="s">
        <v>76</v>
      </c>
      <c r="P464" s="71">
        <v>5</v>
      </c>
      <c r="Q464" s="34">
        <f t="shared" si="58"/>
        <v>10</v>
      </c>
      <c r="R464" s="33"/>
      <c r="S464" s="33"/>
      <c r="T464" s="33" t="s">
        <v>1250</v>
      </c>
      <c r="U464" s="50"/>
      <c r="V464" s="51"/>
      <c r="W464" s="52"/>
      <c r="X464" s="51"/>
      <c r="Y464" s="51"/>
      <c r="Z464" s="53"/>
      <c r="AA464" s="40"/>
      <c r="AB464" s="41"/>
      <c r="AD464" s="17">
        <f t="shared" si="59"/>
        <v>-4835</v>
      </c>
      <c r="AE464" s="18">
        <f t="shared" si="57"/>
        <v>4835</v>
      </c>
    </row>
    <row r="465" spans="1:31" ht="230.25" outlineLevel="3" thickBot="1" x14ac:dyDescent="0.25">
      <c r="A465" s="43" t="s">
        <v>1289</v>
      </c>
      <c r="B465" s="161"/>
      <c r="C465" s="129"/>
      <c r="D465" s="141"/>
      <c r="E465" s="25" t="s">
        <v>58</v>
      </c>
      <c r="F465" s="130" t="s">
        <v>1290</v>
      </c>
      <c r="G465" s="74" t="s">
        <v>1266</v>
      </c>
      <c r="H465" s="26" t="s">
        <v>147</v>
      </c>
      <c r="I465" s="69">
        <v>2</v>
      </c>
      <c r="J465" s="28" t="s">
        <v>47</v>
      </c>
      <c r="K465" s="29" t="s">
        <v>75</v>
      </c>
      <c r="L465" s="30">
        <v>2</v>
      </c>
      <c r="M465" s="31">
        <f t="shared" si="56"/>
        <v>4</v>
      </c>
      <c r="N465" s="32" t="s">
        <v>39</v>
      </c>
      <c r="O465" s="33" t="s">
        <v>76</v>
      </c>
      <c r="P465" s="71">
        <v>5</v>
      </c>
      <c r="Q465" s="34">
        <f t="shared" si="58"/>
        <v>20</v>
      </c>
      <c r="R465" s="33"/>
      <c r="S465" s="33"/>
      <c r="T465" s="33" t="s">
        <v>1250</v>
      </c>
      <c r="U465" s="50"/>
      <c r="V465" s="51"/>
      <c r="W465" s="52"/>
      <c r="X465" s="51"/>
      <c r="Y465" s="51"/>
      <c r="Z465" s="53"/>
      <c r="AA465" s="40"/>
      <c r="AB465" s="41"/>
      <c r="AD465" s="17">
        <f t="shared" si="59"/>
        <v>-4836</v>
      </c>
      <c r="AE465" s="18">
        <f t="shared" si="57"/>
        <v>4836</v>
      </c>
    </row>
    <row r="466" spans="1:31" ht="230.25" outlineLevel="3" thickBot="1" x14ac:dyDescent="0.25">
      <c r="A466" s="10" t="s">
        <v>1291</v>
      </c>
      <c r="B466" s="142" t="s">
        <v>1292</v>
      </c>
      <c r="C466" s="47" t="s">
        <v>1293</v>
      </c>
      <c r="D466" s="142" t="s">
        <v>1294</v>
      </c>
      <c r="E466" s="25" t="s">
        <v>847</v>
      </c>
      <c r="F466" s="25" t="s">
        <v>1080</v>
      </c>
      <c r="G466" s="25" t="s">
        <v>275</v>
      </c>
      <c r="H466" s="26" t="s">
        <v>61</v>
      </c>
      <c r="I466" s="42">
        <v>1</v>
      </c>
      <c r="J466" s="28" t="s">
        <v>174</v>
      </c>
      <c r="K466" s="29" t="s">
        <v>1295</v>
      </c>
      <c r="L466" s="30">
        <v>1</v>
      </c>
      <c r="M466" s="31">
        <f t="shared" si="56"/>
        <v>1</v>
      </c>
      <c r="N466" s="32" t="s">
        <v>39</v>
      </c>
      <c r="O466" s="33" t="s">
        <v>76</v>
      </c>
      <c r="P466" s="30">
        <v>5</v>
      </c>
      <c r="Q466" s="34">
        <f t="shared" si="58"/>
        <v>5</v>
      </c>
      <c r="R466" s="33"/>
      <c r="S466" s="33"/>
      <c r="T466" s="33"/>
      <c r="U466" s="50"/>
      <c r="V466" s="51"/>
      <c r="W466" s="52"/>
      <c r="X466" s="51"/>
      <c r="Y466" s="51"/>
      <c r="Z466" s="53"/>
      <c r="AA466" s="40"/>
      <c r="AB466" s="41"/>
      <c r="AD466" s="17">
        <f t="shared" si="59"/>
        <v>-4837</v>
      </c>
      <c r="AE466" s="18">
        <f t="shared" si="57"/>
        <v>4837</v>
      </c>
    </row>
    <row r="467" spans="1:31" ht="230.25" outlineLevel="3" thickBot="1" x14ac:dyDescent="0.25">
      <c r="A467" s="43" t="s">
        <v>1296</v>
      </c>
      <c r="B467" s="141"/>
      <c r="C467" s="55"/>
      <c r="D467" s="141"/>
      <c r="E467" s="25" t="s">
        <v>851</v>
      </c>
      <c r="F467" s="127" t="s">
        <v>1280</v>
      </c>
      <c r="G467" s="74" t="s">
        <v>1266</v>
      </c>
      <c r="H467" s="26" t="s">
        <v>147</v>
      </c>
      <c r="I467" s="69">
        <v>2</v>
      </c>
      <c r="J467" s="28" t="s">
        <v>882</v>
      </c>
      <c r="K467" s="29" t="s">
        <v>75</v>
      </c>
      <c r="L467" s="30">
        <v>1</v>
      </c>
      <c r="M467" s="31">
        <f t="shared" si="56"/>
        <v>2</v>
      </c>
      <c r="N467" s="32" t="s">
        <v>39</v>
      </c>
      <c r="O467" s="33" t="s">
        <v>76</v>
      </c>
      <c r="P467" s="71">
        <v>5</v>
      </c>
      <c r="Q467" s="34">
        <f t="shared" si="58"/>
        <v>10</v>
      </c>
      <c r="R467" s="33"/>
      <c r="S467" s="33"/>
      <c r="T467" s="33" t="s">
        <v>1250</v>
      </c>
      <c r="U467" s="50"/>
      <c r="V467" s="51"/>
      <c r="W467" s="52"/>
      <c r="X467" s="51"/>
      <c r="Y467" s="51"/>
      <c r="Z467" s="53"/>
      <c r="AA467" s="40"/>
      <c r="AB467" s="41"/>
      <c r="AD467" s="17">
        <f t="shared" si="59"/>
        <v>-4838</v>
      </c>
      <c r="AE467" s="18">
        <f t="shared" si="57"/>
        <v>4838</v>
      </c>
    </row>
    <row r="468" spans="1:31" ht="230.25" outlineLevel="3" thickBot="1" x14ac:dyDescent="0.25">
      <c r="A468" s="10" t="s">
        <v>1297</v>
      </c>
      <c r="B468" s="160" t="s">
        <v>1298</v>
      </c>
      <c r="C468" s="128" t="s">
        <v>1299</v>
      </c>
      <c r="D468" s="142" t="s">
        <v>1300</v>
      </c>
      <c r="E468" s="25" t="s">
        <v>198</v>
      </c>
      <c r="F468" s="25" t="s">
        <v>1301</v>
      </c>
      <c r="G468" s="25" t="s">
        <v>275</v>
      </c>
      <c r="H468" s="26" t="s">
        <v>61</v>
      </c>
      <c r="I468" s="42">
        <v>1</v>
      </c>
      <c r="J468" s="28" t="s">
        <v>186</v>
      </c>
      <c r="K468" s="29" t="s">
        <v>1295</v>
      </c>
      <c r="L468" s="30">
        <v>1</v>
      </c>
      <c r="M468" s="31">
        <f t="shared" si="56"/>
        <v>1</v>
      </c>
      <c r="N468" s="32" t="s">
        <v>39</v>
      </c>
      <c r="O468" s="33" t="s">
        <v>76</v>
      </c>
      <c r="P468" s="30">
        <v>5</v>
      </c>
      <c r="Q468" s="34">
        <f t="shared" si="58"/>
        <v>5</v>
      </c>
      <c r="R468" s="33"/>
      <c r="S468" s="33"/>
      <c r="T468" s="33"/>
      <c r="U468" s="50"/>
      <c r="V468" s="51"/>
      <c r="W468" s="52"/>
      <c r="X468" s="51"/>
      <c r="Y468" s="51"/>
      <c r="Z468" s="53"/>
      <c r="AA468" s="40"/>
      <c r="AB468" s="41"/>
      <c r="AD468" s="17">
        <f t="shared" si="59"/>
        <v>-4839</v>
      </c>
      <c r="AE468" s="18">
        <f t="shared" si="57"/>
        <v>4839</v>
      </c>
    </row>
    <row r="469" spans="1:31" ht="230.25" outlineLevel="3" thickBot="1" x14ac:dyDescent="0.25">
      <c r="A469" s="43" t="s">
        <v>1302</v>
      </c>
      <c r="B469" s="161"/>
      <c r="C469" s="129"/>
      <c r="D469" s="141"/>
      <c r="E469" s="25" t="s">
        <v>373</v>
      </c>
      <c r="F469" s="127" t="s">
        <v>1286</v>
      </c>
      <c r="G469" s="74" t="s">
        <v>1303</v>
      </c>
      <c r="H469" s="26" t="s">
        <v>147</v>
      </c>
      <c r="I469" s="42">
        <v>2</v>
      </c>
      <c r="J469" s="28" t="s">
        <v>192</v>
      </c>
      <c r="K469" s="29" t="s">
        <v>75</v>
      </c>
      <c r="L469" s="30">
        <v>1</v>
      </c>
      <c r="M469" s="31">
        <f t="shared" si="56"/>
        <v>2</v>
      </c>
      <c r="N469" s="32" t="s">
        <v>39</v>
      </c>
      <c r="O469" s="33" t="s">
        <v>76</v>
      </c>
      <c r="P469" s="71">
        <v>5</v>
      </c>
      <c r="Q469" s="34">
        <f t="shared" si="58"/>
        <v>10</v>
      </c>
      <c r="R469" s="33"/>
      <c r="S469" s="33"/>
      <c r="T469" s="33"/>
      <c r="U469" s="50"/>
      <c r="V469" s="51"/>
      <c r="W469" s="52"/>
      <c r="X469" s="51"/>
      <c r="Y469" s="51"/>
      <c r="Z469" s="53"/>
      <c r="AA469" s="40"/>
      <c r="AB469" s="41"/>
      <c r="AD469" s="17">
        <f t="shared" si="59"/>
        <v>-4840</v>
      </c>
      <c r="AE469" s="18">
        <f t="shared" si="57"/>
        <v>4840</v>
      </c>
    </row>
    <row r="470" spans="1:31" ht="230.25" outlineLevel="3" thickBot="1" x14ac:dyDescent="0.25">
      <c r="A470" s="10" t="s">
        <v>1304</v>
      </c>
      <c r="B470" s="160" t="s">
        <v>1305</v>
      </c>
      <c r="C470" s="128" t="s">
        <v>1306</v>
      </c>
      <c r="D470" s="142" t="s">
        <v>1307</v>
      </c>
      <c r="E470" s="25" t="s">
        <v>198</v>
      </c>
      <c r="F470" s="25" t="s">
        <v>1308</v>
      </c>
      <c r="G470" s="25" t="s">
        <v>275</v>
      </c>
      <c r="H470" s="26" t="s">
        <v>61</v>
      </c>
      <c r="I470" s="42">
        <v>1</v>
      </c>
      <c r="J470" s="28" t="s">
        <v>186</v>
      </c>
      <c r="K470" s="29" t="s">
        <v>75</v>
      </c>
      <c r="L470" s="30">
        <v>1</v>
      </c>
      <c r="M470" s="31">
        <f t="shared" si="56"/>
        <v>1</v>
      </c>
      <c r="N470" s="32" t="s">
        <v>39</v>
      </c>
      <c r="O470" s="33" t="s">
        <v>76</v>
      </c>
      <c r="P470" s="71">
        <v>5</v>
      </c>
      <c r="Q470" s="34">
        <f t="shared" si="58"/>
        <v>5</v>
      </c>
      <c r="R470" s="33"/>
      <c r="S470" s="33"/>
      <c r="T470" s="33"/>
      <c r="U470" s="50"/>
      <c r="V470" s="51"/>
      <c r="W470" s="52"/>
      <c r="X470" s="51"/>
      <c r="Y470" s="51"/>
      <c r="Z470" s="53"/>
      <c r="AA470" s="40"/>
      <c r="AB470" s="41"/>
      <c r="AD470" s="17">
        <f t="shared" si="59"/>
        <v>-4841</v>
      </c>
      <c r="AE470" s="18">
        <f t="shared" si="57"/>
        <v>4841</v>
      </c>
    </row>
    <row r="471" spans="1:31" ht="230.25" outlineLevel="3" thickBot="1" x14ac:dyDescent="0.25">
      <c r="A471" s="43" t="s">
        <v>1309</v>
      </c>
      <c r="B471" s="141"/>
      <c r="C471" s="55"/>
      <c r="D471" s="141"/>
      <c r="E471" s="25" t="s">
        <v>1310</v>
      </c>
      <c r="F471" s="127" t="s">
        <v>1280</v>
      </c>
      <c r="G471" s="74" t="s">
        <v>1266</v>
      </c>
      <c r="H471" s="26" t="s">
        <v>147</v>
      </c>
      <c r="I471" s="69">
        <v>2</v>
      </c>
      <c r="J471" s="28" t="s">
        <v>192</v>
      </c>
      <c r="K471" s="29" t="s">
        <v>62</v>
      </c>
      <c r="L471" s="30">
        <v>1</v>
      </c>
      <c r="M471" s="31">
        <f t="shared" si="56"/>
        <v>2</v>
      </c>
      <c r="N471" s="32" t="s">
        <v>39</v>
      </c>
      <c r="O471" s="33" t="s">
        <v>76</v>
      </c>
      <c r="P471" s="71">
        <v>5</v>
      </c>
      <c r="Q471" s="34">
        <f t="shared" si="58"/>
        <v>10</v>
      </c>
      <c r="R471" s="33"/>
      <c r="S471" s="33"/>
      <c r="T471" s="33"/>
      <c r="U471" s="50"/>
      <c r="V471" s="51"/>
      <c r="W471" s="52"/>
      <c r="X471" s="51"/>
      <c r="Y471" s="51"/>
      <c r="Z471" s="53"/>
      <c r="AA471" s="40"/>
      <c r="AB471" s="41"/>
      <c r="AD471" s="17">
        <f t="shared" si="59"/>
        <v>-4842</v>
      </c>
      <c r="AE471" s="18">
        <f t="shared" ref="AE471:AE498" si="62">VALUE(RIGHT((IF(A471="",0,A471)),4))</f>
        <v>4842</v>
      </c>
    </row>
    <row r="472" spans="1:31" ht="230.25" outlineLevel="3" thickBot="1" x14ac:dyDescent="0.25">
      <c r="A472" s="61" t="s">
        <v>1311</v>
      </c>
      <c r="B472" s="154" t="s">
        <v>1312</v>
      </c>
      <c r="C472" s="158" t="s">
        <v>1313</v>
      </c>
      <c r="D472" s="147" t="s">
        <v>1160</v>
      </c>
      <c r="E472" s="25" t="s">
        <v>67</v>
      </c>
      <c r="F472" s="25" t="s">
        <v>1314</v>
      </c>
      <c r="G472" s="48" t="s">
        <v>1162</v>
      </c>
      <c r="H472" s="26" t="s">
        <v>61</v>
      </c>
      <c r="I472" s="42">
        <v>1</v>
      </c>
      <c r="J472" s="28" t="s">
        <v>74</v>
      </c>
      <c r="K472" s="29" t="s">
        <v>75</v>
      </c>
      <c r="L472" s="30">
        <v>1</v>
      </c>
      <c r="M472" s="31">
        <f t="shared" si="56"/>
        <v>1</v>
      </c>
      <c r="N472" s="32" t="s">
        <v>39</v>
      </c>
      <c r="O472" s="53" t="s">
        <v>76</v>
      </c>
      <c r="P472" s="30">
        <v>5</v>
      </c>
      <c r="Q472" s="34">
        <f t="shared" si="58"/>
        <v>5</v>
      </c>
      <c r="R472" s="33"/>
      <c r="S472" s="33"/>
      <c r="T472" s="33"/>
      <c r="U472" s="50"/>
      <c r="V472" s="51"/>
      <c r="W472" s="52"/>
      <c r="X472" s="51"/>
      <c r="Y472" s="51"/>
      <c r="Z472" s="53"/>
      <c r="AA472" s="40"/>
      <c r="AB472" s="41"/>
      <c r="AD472" s="17">
        <f t="shared" si="59"/>
        <v>10477</v>
      </c>
      <c r="AE472" s="18"/>
    </row>
    <row r="473" spans="1:31" ht="230.25" outlineLevel="3" thickBot="1" x14ac:dyDescent="0.25">
      <c r="A473" s="61" t="s">
        <v>1315</v>
      </c>
      <c r="B473" s="155"/>
      <c r="C473" s="159"/>
      <c r="D473" s="148"/>
      <c r="E473" s="25" t="s">
        <v>71</v>
      </c>
      <c r="F473" s="87" t="s">
        <v>1316</v>
      </c>
      <c r="G473" s="48" t="s">
        <v>1162</v>
      </c>
      <c r="H473" s="26" t="s">
        <v>61</v>
      </c>
      <c r="I473" s="42">
        <v>1</v>
      </c>
      <c r="J473" s="28" t="s">
        <v>74</v>
      </c>
      <c r="K473" s="29" t="s">
        <v>75</v>
      </c>
      <c r="L473" s="30">
        <v>1</v>
      </c>
      <c r="M473" s="31">
        <f t="shared" si="56"/>
        <v>1</v>
      </c>
      <c r="N473" s="32" t="s">
        <v>39</v>
      </c>
      <c r="O473" s="53" t="s">
        <v>76</v>
      </c>
      <c r="P473" s="30">
        <v>5</v>
      </c>
      <c r="Q473" s="34">
        <f t="shared" si="58"/>
        <v>5</v>
      </c>
      <c r="R473" s="33"/>
      <c r="S473" s="33"/>
      <c r="T473" s="33"/>
      <c r="U473" s="50"/>
      <c r="V473" s="51"/>
      <c r="W473" s="52"/>
      <c r="X473" s="51"/>
      <c r="Y473" s="51"/>
      <c r="Z473" s="53"/>
      <c r="AA473" s="40"/>
      <c r="AB473" s="41"/>
      <c r="AD473" s="17">
        <f t="shared" si="59"/>
        <v>10478</v>
      </c>
      <c r="AE473" s="18"/>
    </row>
    <row r="474" spans="1:31" ht="230.25" outlineLevel="3" thickBot="1" x14ac:dyDescent="0.25">
      <c r="A474" s="61" t="s">
        <v>1317</v>
      </c>
      <c r="B474" s="154" t="s">
        <v>1318</v>
      </c>
      <c r="C474" s="152" t="s">
        <v>1319</v>
      </c>
      <c r="D474" s="147" t="s">
        <v>1320</v>
      </c>
      <c r="E474" s="87" t="s">
        <v>1169</v>
      </c>
      <c r="F474" s="25" t="s">
        <v>1314</v>
      </c>
      <c r="G474" s="48" t="s">
        <v>1162</v>
      </c>
      <c r="H474" s="26" t="s">
        <v>61</v>
      </c>
      <c r="I474" s="42">
        <v>1</v>
      </c>
      <c r="J474" s="28" t="s">
        <v>74</v>
      </c>
      <c r="K474" s="29" t="s">
        <v>75</v>
      </c>
      <c r="L474" s="30">
        <v>1</v>
      </c>
      <c r="M474" s="31">
        <f t="shared" si="56"/>
        <v>1</v>
      </c>
      <c r="N474" s="32" t="s">
        <v>39</v>
      </c>
      <c r="O474" s="53" t="s">
        <v>76</v>
      </c>
      <c r="P474" s="30">
        <v>5</v>
      </c>
      <c r="Q474" s="34">
        <f t="shared" si="58"/>
        <v>5</v>
      </c>
      <c r="R474" s="33"/>
      <c r="S474" s="33"/>
      <c r="T474" s="33"/>
      <c r="U474" s="50"/>
      <c r="V474" s="51"/>
      <c r="W474" s="52"/>
      <c r="X474" s="51"/>
      <c r="Y474" s="51"/>
      <c r="Z474" s="53"/>
      <c r="AA474" s="40"/>
      <c r="AB474" s="41"/>
      <c r="AD474" s="17">
        <f t="shared" si="59"/>
        <v>10479</v>
      </c>
      <c r="AE474" s="18"/>
    </row>
    <row r="475" spans="1:31" ht="230.25" outlineLevel="3" thickBot="1" x14ac:dyDescent="0.25">
      <c r="A475" s="61" t="s">
        <v>1321</v>
      </c>
      <c r="B475" s="155"/>
      <c r="C475" s="153"/>
      <c r="D475" s="148"/>
      <c r="E475" s="87" t="s">
        <v>1171</v>
      </c>
      <c r="F475" s="25" t="s">
        <v>1314</v>
      </c>
      <c r="G475" s="48" t="s">
        <v>1162</v>
      </c>
      <c r="H475" s="26" t="s">
        <v>61</v>
      </c>
      <c r="I475" s="42">
        <v>1</v>
      </c>
      <c r="J475" s="28" t="s">
        <v>74</v>
      </c>
      <c r="K475" s="29" t="s">
        <v>75</v>
      </c>
      <c r="L475" s="30">
        <v>1</v>
      </c>
      <c r="M475" s="31">
        <f t="shared" si="56"/>
        <v>1</v>
      </c>
      <c r="N475" s="32" t="s">
        <v>39</v>
      </c>
      <c r="O475" s="53" t="s">
        <v>76</v>
      </c>
      <c r="P475" s="30">
        <v>5</v>
      </c>
      <c r="Q475" s="34">
        <f t="shared" si="58"/>
        <v>5</v>
      </c>
      <c r="R475" s="33"/>
      <c r="S475" s="33"/>
      <c r="T475" s="33"/>
      <c r="U475" s="50"/>
      <c r="V475" s="51"/>
      <c r="W475" s="52"/>
      <c r="X475" s="51"/>
      <c r="Y475" s="51"/>
      <c r="Z475" s="53"/>
      <c r="AA475" s="40"/>
      <c r="AB475" s="41"/>
      <c r="AD475" s="17">
        <f t="shared" si="59"/>
        <v>10480</v>
      </c>
      <c r="AE475" s="18"/>
    </row>
    <row r="476" spans="1:31" ht="230.25" outlineLevel="3" thickBot="1" x14ac:dyDescent="0.25">
      <c r="A476" s="61" t="s">
        <v>1322</v>
      </c>
      <c r="B476" s="154" t="s">
        <v>1323</v>
      </c>
      <c r="C476" s="158" t="s">
        <v>1324</v>
      </c>
      <c r="D476" s="147" t="s">
        <v>1160</v>
      </c>
      <c r="E476" s="25" t="s">
        <v>67</v>
      </c>
      <c r="F476" s="25" t="s">
        <v>1325</v>
      </c>
      <c r="G476" s="48" t="s">
        <v>1162</v>
      </c>
      <c r="H476" s="26" t="s">
        <v>61</v>
      </c>
      <c r="I476" s="42">
        <v>1</v>
      </c>
      <c r="J476" s="28" t="s">
        <v>74</v>
      </c>
      <c r="K476" s="29" t="s">
        <v>75</v>
      </c>
      <c r="L476" s="30">
        <v>1</v>
      </c>
      <c r="M476" s="31">
        <f t="shared" si="56"/>
        <v>1</v>
      </c>
      <c r="N476" s="32" t="s">
        <v>39</v>
      </c>
      <c r="O476" s="53" t="s">
        <v>76</v>
      </c>
      <c r="P476" s="30">
        <v>5</v>
      </c>
      <c r="Q476" s="34">
        <f t="shared" si="58"/>
        <v>5</v>
      </c>
      <c r="R476" s="33"/>
      <c r="S476" s="33"/>
      <c r="T476" s="33"/>
      <c r="U476" s="50"/>
      <c r="V476" s="51"/>
      <c r="W476" s="52"/>
      <c r="X476" s="51"/>
      <c r="Y476" s="51"/>
      <c r="Z476" s="53"/>
      <c r="AA476" s="40"/>
      <c r="AB476" s="41"/>
      <c r="AD476" s="17">
        <f t="shared" si="59"/>
        <v>10481</v>
      </c>
      <c r="AE476" s="18"/>
    </row>
    <row r="477" spans="1:31" ht="230.25" outlineLevel="3" thickBot="1" x14ac:dyDescent="0.25">
      <c r="A477" s="61" t="s">
        <v>1326</v>
      </c>
      <c r="B477" s="155"/>
      <c r="C477" s="159"/>
      <c r="D477" s="148"/>
      <c r="E477" s="25" t="s">
        <v>71</v>
      </c>
      <c r="F477" s="87" t="s">
        <v>1327</v>
      </c>
      <c r="G477" s="48" t="s">
        <v>1162</v>
      </c>
      <c r="H477" s="26" t="s">
        <v>61</v>
      </c>
      <c r="I477" s="42">
        <v>1</v>
      </c>
      <c r="J477" s="28" t="s">
        <v>74</v>
      </c>
      <c r="K477" s="29" t="s">
        <v>75</v>
      </c>
      <c r="L477" s="30">
        <v>1</v>
      </c>
      <c r="M477" s="31">
        <f t="shared" si="56"/>
        <v>1</v>
      </c>
      <c r="N477" s="32" t="s">
        <v>39</v>
      </c>
      <c r="O477" s="53" t="s">
        <v>76</v>
      </c>
      <c r="P477" s="30">
        <v>5</v>
      </c>
      <c r="Q477" s="34">
        <f t="shared" si="58"/>
        <v>5</v>
      </c>
      <c r="R477" s="33"/>
      <c r="S477" s="33"/>
      <c r="T477" s="33"/>
      <c r="U477" s="50"/>
      <c r="V477" s="51"/>
      <c r="W477" s="52"/>
      <c r="X477" s="51"/>
      <c r="Y477" s="51"/>
      <c r="Z477" s="53"/>
      <c r="AA477" s="40"/>
      <c r="AB477" s="41"/>
      <c r="AD477" s="17">
        <f t="shared" si="59"/>
        <v>10482</v>
      </c>
      <c r="AE477" s="18"/>
    </row>
    <row r="478" spans="1:31" ht="230.25" outlineLevel="3" thickBot="1" x14ac:dyDescent="0.25">
      <c r="A478" s="61" t="s">
        <v>1328</v>
      </c>
      <c r="B478" s="154" t="s">
        <v>1323</v>
      </c>
      <c r="C478" s="152" t="s">
        <v>1329</v>
      </c>
      <c r="D478" s="147" t="s">
        <v>1330</v>
      </c>
      <c r="E478" s="87" t="s">
        <v>1169</v>
      </c>
      <c r="F478" s="25" t="s">
        <v>1325</v>
      </c>
      <c r="G478" s="48" t="s">
        <v>1162</v>
      </c>
      <c r="H478" s="26" t="s">
        <v>61</v>
      </c>
      <c r="I478" s="42">
        <v>1</v>
      </c>
      <c r="J478" s="28" t="s">
        <v>74</v>
      </c>
      <c r="K478" s="29" t="s">
        <v>75</v>
      </c>
      <c r="L478" s="30">
        <v>1</v>
      </c>
      <c r="M478" s="31">
        <f t="shared" si="56"/>
        <v>1</v>
      </c>
      <c r="N478" s="32" t="s">
        <v>39</v>
      </c>
      <c r="O478" s="53" t="s">
        <v>76</v>
      </c>
      <c r="P478" s="30">
        <v>5</v>
      </c>
      <c r="Q478" s="34">
        <f t="shared" si="58"/>
        <v>5</v>
      </c>
      <c r="R478" s="33"/>
      <c r="S478" s="33"/>
      <c r="T478" s="33"/>
      <c r="U478" s="50"/>
      <c r="V478" s="51"/>
      <c r="W478" s="52"/>
      <c r="X478" s="51"/>
      <c r="Y478" s="51"/>
      <c r="Z478" s="53"/>
      <c r="AA478" s="40"/>
      <c r="AB478" s="41"/>
      <c r="AD478" s="17">
        <f t="shared" si="59"/>
        <v>10483</v>
      </c>
      <c r="AE478" s="18"/>
    </row>
    <row r="479" spans="1:31" ht="230.25" outlineLevel="3" thickBot="1" x14ac:dyDescent="0.25">
      <c r="A479" s="61" t="s">
        <v>1331</v>
      </c>
      <c r="B479" s="155"/>
      <c r="C479" s="153"/>
      <c r="D479" s="148"/>
      <c r="E479" s="87" t="s">
        <v>1171</v>
      </c>
      <c r="F479" s="25" t="s">
        <v>1325</v>
      </c>
      <c r="G479" s="48" t="s">
        <v>1162</v>
      </c>
      <c r="H479" s="26" t="s">
        <v>61</v>
      </c>
      <c r="I479" s="42">
        <v>1</v>
      </c>
      <c r="J479" s="28" t="s">
        <v>74</v>
      </c>
      <c r="K479" s="29" t="s">
        <v>75</v>
      </c>
      <c r="L479" s="30">
        <v>1</v>
      </c>
      <c r="M479" s="31">
        <f t="shared" si="56"/>
        <v>1</v>
      </c>
      <c r="N479" s="32" t="s">
        <v>39</v>
      </c>
      <c r="O479" s="53" t="s">
        <v>76</v>
      </c>
      <c r="P479" s="30">
        <v>5</v>
      </c>
      <c r="Q479" s="34">
        <f t="shared" si="58"/>
        <v>5</v>
      </c>
      <c r="R479" s="33"/>
      <c r="S479" s="33"/>
      <c r="T479" s="33"/>
      <c r="U479" s="50"/>
      <c r="V479" s="51"/>
      <c r="W479" s="52"/>
      <c r="X479" s="51"/>
      <c r="Y479" s="51"/>
      <c r="Z479" s="53"/>
      <c r="AA479" s="40"/>
      <c r="AB479" s="41"/>
      <c r="AD479" s="17">
        <f t="shared" si="59"/>
        <v>10484</v>
      </c>
      <c r="AE479" s="18"/>
    </row>
    <row r="480" spans="1:31" ht="230.25" outlineLevel="3" thickBot="1" x14ac:dyDescent="0.25">
      <c r="A480" s="43" t="s">
        <v>1332</v>
      </c>
      <c r="B480" s="156" t="s">
        <v>1333</v>
      </c>
      <c r="C480" s="44" t="s">
        <v>1334</v>
      </c>
      <c r="D480" s="142" t="s">
        <v>1335</v>
      </c>
      <c r="E480" s="25" t="s">
        <v>1336</v>
      </c>
      <c r="F480" s="25" t="s">
        <v>1337</v>
      </c>
      <c r="G480" s="25" t="s">
        <v>1338</v>
      </c>
      <c r="H480" s="26" t="s">
        <v>61</v>
      </c>
      <c r="I480" s="42">
        <v>2</v>
      </c>
      <c r="J480" s="28" t="s">
        <v>1339</v>
      </c>
      <c r="K480" s="29" t="s">
        <v>75</v>
      </c>
      <c r="L480" s="30">
        <v>2</v>
      </c>
      <c r="M480" s="31">
        <f t="shared" si="56"/>
        <v>4</v>
      </c>
      <c r="N480" s="32" t="s">
        <v>39</v>
      </c>
      <c r="O480" s="33" t="s">
        <v>76</v>
      </c>
      <c r="P480" s="30">
        <v>5</v>
      </c>
      <c r="Q480" s="34">
        <f t="shared" si="58"/>
        <v>20</v>
      </c>
      <c r="R480" s="33"/>
      <c r="S480" s="33"/>
      <c r="T480" s="33"/>
      <c r="U480" s="50"/>
      <c r="V480" s="51"/>
      <c r="W480" s="52"/>
      <c r="X480" s="51"/>
      <c r="Y480" s="51"/>
      <c r="Z480" s="53"/>
      <c r="AA480" s="40"/>
      <c r="AB480" s="41"/>
      <c r="AD480" s="17">
        <f t="shared" si="59"/>
        <v>-4843</v>
      </c>
      <c r="AE480" s="18">
        <f t="shared" si="62"/>
        <v>4843</v>
      </c>
    </row>
    <row r="481" spans="1:31" ht="230.25" outlineLevel="3" thickBot="1" x14ac:dyDescent="0.25">
      <c r="A481" s="10" t="s">
        <v>1340</v>
      </c>
      <c r="B481" s="157"/>
      <c r="C481" s="46"/>
      <c r="D481" s="141"/>
      <c r="E481" s="25" t="s">
        <v>1341</v>
      </c>
      <c r="F481" s="25" t="s">
        <v>1342</v>
      </c>
      <c r="G481" s="26" t="s">
        <v>191</v>
      </c>
      <c r="H481" s="26" t="s">
        <v>127</v>
      </c>
      <c r="I481" s="42">
        <v>3</v>
      </c>
      <c r="J481" s="28" t="s">
        <v>1339</v>
      </c>
      <c r="K481" s="29" t="s">
        <v>75</v>
      </c>
      <c r="L481" s="30">
        <v>2</v>
      </c>
      <c r="M481" s="31">
        <f t="shared" si="56"/>
        <v>6</v>
      </c>
      <c r="N481" s="32" t="s">
        <v>39</v>
      </c>
      <c r="O481" s="60" t="s">
        <v>49</v>
      </c>
      <c r="P481" s="30">
        <v>3</v>
      </c>
      <c r="Q481" s="34">
        <f t="shared" si="58"/>
        <v>18</v>
      </c>
      <c r="R481" s="33"/>
      <c r="S481" s="33"/>
      <c r="T481" s="33"/>
      <c r="U481" s="50"/>
      <c r="V481" s="51"/>
      <c r="W481" s="52"/>
      <c r="X481" s="51"/>
      <c r="Y481" s="51"/>
      <c r="Z481" s="53"/>
      <c r="AA481" s="40"/>
      <c r="AB481" s="41"/>
      <c r="AD481" s="17">
        <f t="shared" si="59"/>
        <v>6018</v>
      </c>
      <c r="AE481" s="18">
        <f t="shared" si="62"/>
        <v>6018</v>
      </c>
    </row>
    <row r="482" spans="1:31" ht="230.25" outlineLevel="3" thickBot="1" x14ac:dyDescent="0.25">
      <c r="A482" s="131" t="s">
        <v>1343</v>
      </c>
      <c r="B482" s="142" t="s">
        <v>1344</v>
      </c>
      <c r="C482" s="47" t="s">
        <v>1345</v>
      </c>
      <c r="D482" s="142" t="s">
        <v>1346</v>
      </c>
      <c r="E482" s="25" t="s">
        <v>198</v>
      </c>
      <c r="F482" s="25" t="s">
        <v>1347</v>
      </c>
      <c r="G482" s="25" t="s">
        <v>275</v>
      </c>
      <c r="H482" s="26" t="s">
        <v>61</v>
      </c>
      <c r="I482" s="42">
        <v>1</v>
      </c>
      <c r="J482" s="28" t="s">
        <v>186</v>
      </c>
      <c r="K482" s="29" t="s">
        <v>849</v>
      </c>
      <c r="L482" s="30">
        <v>1</v>
      </c>
      <c r="M482" s="31">
        <f t="shared" si="56"/>
        <v>1</v>
      </c>
      <c r="N482" s="32" t="s">
        <v>39</v>
      </c>
      <c r="O482" s="33" t="s">
        <v>76</v>
      </c>
      <c r="P482" s="30">
        <v>5</v>
      </c>
      <c r="Q482" s="34">
        <f t="shared" si="58"/>
        <v>5</v>
      </c>
      <c r="R482" s="33"/>
      <c r="S482" s="33"/>
      <c r="T482" s="33"/>
      <c r="U482" s="50"/>
      <c r="V482" s="51"/>
      <c r="W482" s="52"/>
      <c r="X482" s="51"/>
      <c r="Y482" s="51"/>
      <c r="Z482" s="53"/>
      <c r="AA482" s="40"/>
      <c r="AB482" s="41"/>
      <c r="AD482" s="17">
        <f t="shared" si="59"/>
        <v>6019</v>
      </c>
      <c r="AE482" s="18">
        <f t="shared" si="62"/>
        <v>6019</v>
      </c>
    </row>
    <row r="483" spans="1:31" ht="230.25" outlineLevel="3" thickBot="1" x14ac:dyDescent="0.25">
      <c r="A483" s="10" t="s">
        <v>1348</v>
      </c>
      <c r="B483" s="141"/>
      <c r="C483" s="55"/>
      <c r="D483" s="141"/>
      <c r="E483" s="25" t="s">
        <v>204</v>
      </c>
      <c r="F483" s="25" t="s">
        <v>1349</v>
      </c>
      <c r="G483" s="25" t="s">
        <v>275</v>
      </c>
      <c r="H483" s="26" t="s">
        <v>61</v>
      </c>
      <c r="I483" s="42">
        <v>1</v>
      </c>
      <c r="J483" s="28" t="s">
        <v>192</v>
      </c>
      <c r="K483" s="29" t="s">
        <v>1350</v>
      </c>
      <c r="L483" s="30">
        <v>1</v>
      </c>
      <c r="M483" s="31">
        <f t="shared" si="56"/>
        <v>1</v>
      </c>
      <c r="N483" s="32" t="s">
        <v>39</v>
      </c>
      <c r="O483" s="33" t="s">
        <v>76</v>
      </c>
      <c r="P483" s="30">
        <v>5</v>
      </c>
      <c r="Q483" s="34">
        <f t="shared" si="58"/>
        <v>5</v>
      </c>
      <c r="R483" s="33"/>
      <c r="S483" s="33"/>
      <c r="T483" s="33"/>
      <c r="U483" s="50"/>
      <c r="V483" s="51"/>
      <c r="W483" s="52"/>
      <c r="X483" s="51"/>
      <c r="Y483" s="51"/>
      <c r="Z483" s="53"/>
      <c r="AA483" s="40"/>
      <c r="AB483" s="41"/>
      <c r="AD483" s="17">
        <f t="shared" si="59"/>
        <v>6020</v>
      </c>
      <c r="AE483" s="18">
        <f t="shared" si="62"/>
        <v>6020</v>
      </c>
    </row>
    <row r="484" spans="1:31" ht="230.25" outlineLevel="3" thickBot="1" x14ac:dyDescent="0.25">
      <c r="A484" s="10" t="s">
        <v>1351</v>
      </c>
      <c r="B484" s="142" t="s">
        <v>1352</v>
      </c>
      <c r="C484" s="47" t="s">
        <v>1353</v>
      </c>
      <c r="D484" s="142" t="s">
        <v>1354</v>
      </c>
      <c r="E484" s="25" t="s">
        <v>198</v>
      </c>
      <c r="F484" s="25" t="s">
        <v>1355</v>
      </c>
      <c r="G484" s="25" t="s">
        <v>275</v>
      </c>
      <c r="H484" s="26" t="s">
        <v>61</v>
      </c>
      <c r="I484" s="42">
        <v>1</v>
      </c>
      <c r="J484" s="28" t="s">
        <v>186</v>
      </c>
      <c r="K484" s="29" t="s">
        <v>1356</v>
      </c>
      <c r="L484" s="30">
        <v>2</v>
      </c>
      <c r="M484" s="31">
        <f t="shared" si="56"/>
        <v>2</v>
      </c>
      <c r="N484" s="32" t="s">
        <v>39</v>
      </c>
      <c r="O484" s="33" t="s">
        <v>76</v>
      </c>
      <c r="P484" s="71">
        <v>5</v>
      </c>
      <c r="Q484" s="34">
        <f t="shared" si="58"/>
        <v>10</v>
      </c>
      <c r="R484" s="33"/>
      <c r="S484" s="33"/>
      <c r="T484" s="33"/>
      <c r="U484" s="50"/>
      <c r="V484" s="51"/>
      <c r="W484" s="52"/>
      <c r="X484" s="51"/>
      <c r="Y484" s="51"/>
      <c r="Z484" s="53"/>
      <c r="AA484" s="40"/>
      <c r="AB484" s="41"/>
      <c r="AD484" s="17">
        <f t="shared" si="59"/>
        <v>-4844</v>
      </c>
      <c r="AE484" s="18">
        <f t="shared" si="62"/>
        <v>4844</v>
      </c>
    </row>
    <row r="485" spans="1:31" ht="230.25" outlineLevel="3" thickBot="1" x14ac:dyDescent="0.25">
      <c r="A485" s="10" t="s">
        <v>1357</v>
      </c>
      <c r="B485" s="141"/>
      <c r="C485" s="55"/>
      <c r="D485" s="141"/>
      <c r="E485" s="25" t="s">
        <v>204</v>
      </c>
      <c r="F485" s="25" t="s">
        <v>1358</v>
      </c>
      <c r="G485" s="25" t="s">
        <v>275</v>
      </c>
      <c r="H485" s="26" t="s">
        <v>61</v>
      </c>
      <c r="I485" s="42">
        <v>1</v>
      </c>
      <c r="J485" s="28" t="s">
        <v>192</v>
      </c>
      <c r="K485" s="29" t="s">
        <v>1359</v>
      </c>
      <c r="L485" s="30">
        <v>2</v>
      </c>
      <c r="M485" s="45">
        <f t="shared" si="56"/>
        <v>2</v>
      </c>
      <c r="N485" s="32" t="s">
        <v>39</v>
      </c>
      <c r="O485" s="33" t="s">
        <v>76</v>
      </c>
      <c r="P485" s="71">
        <v>5</v>
      </c>
      <c r="Q485" s="34">
        <f t="shared" si="58"/>
        <v>10</v>
      </c>
      <c r="R485" s="33"/>
      <c r="S485" s="33"/>
      <c r="T485" s="33"/>
      <c r="U485" s="50"/>
      <c r="V485" s="51"/>
      <c r="W485" s="52"/>
      <c r="X485" s="51"/>
      <c r="Y485" s="51"/>
      <c r="Z485" s="53"/>
      <c r="AA485" s="40"/>
      <c r="AB485" s="41"/>
      <c r="AD485" s="17">
        <f t="shared" si="59"/>
        <v>-4845</v>
      </c>
      <c r="AE485" s="18">
        <f t="shared" si="62"/>
        <v>4845</v>
      </c>
    </row>
    <row r="486" spans="1:31" ht="230.25" outlineLevel="3" thickBot="1" x14ac:dyDescent="0.25">
      <c r="A486" s="61" t="s">
        <v>1360</v>
      </c>
      <c r="B486" s="150" t="s">
        <v>1361</v>
      </c>
      <c r="C486" s="152" t="s">
        <v>1362</v>
      </c>
      <c r="D486" s="142" t="s">
        <v>1106</v>
      </c>
      <c r="E486" s="48" t="s">
        <v>67</v>
      </c>
      <c r="F486" s="25" t="s">
        <v>1363</v>
      </c>
      <c r="G486" s="25" t="s">
        <v>375</v>
      </c>
      <c r="H486" s="26" t="s">
        <v>46</v>
      </c>
      <c r="I486" s="42">
        <v>3</v>
      </c>
      <c r="J486" s="28" t="s">
        <v>186</v>
      </c>
      <c r="K486" s="29" t="s">
        <v>75</v>
      </c>
      <c r="L486" s="30">
        <v>1</v>
      </c>
      <c r="M486" s="31">
        <f t="shared" si="56"/>
        <v>3</v>
      </c>
      <c r="N486" s="32" t="s">
        <v>39</v>
      </c>
      <c r="O486" s="60" t="s">
        <v>49</v>
      </c>
      <c r="P486" s="30">
        <v>2</v>
      </c>
      <c r="Q486" s="34">
        <f t="shared" si="58"/>
        <v>6</v>
      </c>
      <c r="R486" s="33"/>
      <c r="S486" s="33"/>
      <c r="T486" s="33"/>
      <c r="U486" s="50"/>
      <c r="V486" s="51"/>
      <c r="W486" s="52"/>
      <c r="X486" s="51"/>
      <c r="Y486" s="51"/>
      <c r="Z486" s="53"/>
      <c r="AA486" s="40"/>
      <c r="AB486" s="41"/>
      <c r="AD486" s="17">
        <f t="shared" si="59"/>
        <v>10485</v>
      </c>
      <c r="AE486" s="18"/>
    </row>
    <row r="487" spans="1:31" ht="230.25" outlineLevel="3" thickBot="1" x14ac:dyDescent="0.25">
      <c r="A487" s="61" t="s">
        <v>1364</v>
      </c>
      <c r="B487" s="151"/>
      <c r="C487" s="153"/>
      <c r="D487" s="141"/>
      <c r="E487" s="48" t="s">
        <v>71</v>
      </c>
      <c r="F487" s="25" t="s">
        <v>1365</v>
      </c>
      <c r="G487" s="25" t="s">
        <v>275</v>
      </c>
      <c r="H487" s="26" t="s">
        <v>61</v>
      </c>
      <c r="I487" s="42">
        <v>2</v>
      </c>
      <c r="J487" s="28" t="s">
        <v>186</v>
      </c>
      <c r="K487" s="29" t="s">
        <v>75</v>
      </c>
      <c r="L487" s="30">
        <v>1</v>
      </c>
      <c r="M487" s="31">
        <f t="shared" si="56"/>
        <v>2</v>
      </c>
      <c r="N487" s="32" t="s">
        <v>39</v>
      </c>
      <c r="O487" s="33" t="s">
        <v>76</v>
      </c>
      <c r="P487" s="71">
        <v>5</v>
      </c>
      <c r="Q487" s="34">
        <f t="shared" si="58"/>
        <v>10</v>
      </c>
      <c r="R487" s="33"/>
      <c r="S487" s="33"/>
      <c r="T487" s="33"/>
      <c r="U487" s="50"/>
      <c r="V487" s="51"/>
      <c r="W487" s="52"/>
      <c r="X487" s="51"/>
      <c r="Y487" s="51"/>
      <c r="Z487" s="53"/>
      <c r="AA487" s="40"/>
      <c r="AB487" s="41"/>
      <c r="AD487" s="17">
        <f t="shared" si="59"/>
        <v>10486</v>
      </c>
      <c r="AE487" s="18"/>
    </row>
    <row r="488" spans="1:31" ht="230.25" outlineLevel="3" thickBot="1" x14ac:dyDescent="0.25">
      <c r="A488" s="61" t="s">
        <v>1366</v>
      </c>
      <c r="B488" s="150" t="s">
        <v>1367</v>
      </c>
      <c r="C488" s="152" t="s">
        <v>1368</v>
      </c>
      <c r="D488" s="152" t="s">
        <v>1106</v>
      </c>
      <c r="E488" s="48" t="s">
        <v>67</v>
      </c>
      <c r="F488" s="25" t="s">
        <v>1369</v>
      </c>
      <c r="G488" s="25" t="s">
        <v>280</v>
      </c>
      <c r="H488" s="26" t="s">
        <v>46</v>
      </c>
      <c r="I488" s="42">
        <v>3</v>
      </c>
      <c r="J488" s="28" t="s">
        <v>186</v>
      </c>
      <c r="K488" s="29" t="s">
        <v>75</v>
      </c>
      <c r="L488" s="30">
        <v>1</v>
      </c>
      <c r="M488" s="31">
        <f t="shared" si="56"/>
        <v>3</v>
      </c>
      <c r="N488" s="32" t="s">
        <v>39</v>
      </c>
      <c r="O488" s="60" t="s">
        <v>49</v>
      </c>
      <c r="P488" s="30">
        <v>1</v>
      </c>
      <c r="Q488" s="34">
        <f t="shared" si="58"/>
        <v>3</v>
      </c>
      <c r="R488" s="33"/>
      <c r="S488" s="33"/>
      <c r="T488" s="33"/>
      <c r="U488" s="50"/>
      <c r="V488" s="51"/>
      <c r="W488" s="52"/>
      <c r="X488" s="51"/>
      <c r="Y488" s="51"/>
      <c r="Z488" s="53"/>
      <c r="AA488" s="40"/>
      <c r="AB488" s="41"/>
      <c r="AD488" s="17">
        <f t="shared" si="59"/>
        <v>10487</v>
      </c>
      <c r="AE488" s="18"/>
    </row>
    <row r="489" spans="1:31" ht="230.25" outlineLevel="3" thickBot="1" x14ac:dyDescent="0.25">
      <c r="A489" s="61" t="s">
        <v>1370</v>
      </c>
      <c r="B489" s="151"/>
      <c r="C489" s="153"/>
      <c r="D489" s="153"/>
      <c r="E489" s="48" t="s">
        <v>71</v>
      </c>
      <c r="F489" s="25" t="s">
        <v>1349</v>
      </c>
      <c r="G489" s="25" t="s">
        <v>275</v>
      </c>
      <c r="H489" s="26" t="s">
        <v>61</v>
      </c>
      <c r="I489" s="42">
        <v>1</v>
      </c>
      <c r="J489" s="28" t="s">
        <v>192</v>
      </c>
      <c r="K489" s="29" t="s">
        <v>1371</v>
      </c>
      <c r="L489" s="30">
        <v>1</v>
      </c>
      <c r="M489" s="31">
        <f t="shared" si="56"/>
        <v>1</v>
      </c>
      <c r="N489" s="32" t="s">
        <v>39</v>
      </c>
      <c r="O489" s="33" t="s">
        <v>76</v>
      </c>
      <c r="P489" s="30">
        <v>5</v>
      </c>
      <c r="Q489" s="34">
        <f t="shared" si="58"/>
        <v>5</v>
      </c>
      <c r="R489" s="33"/>
      <c r="S489" s="33"/>
      <c r="T489" s="33"/>
      <c r="U489" s="50"/>
      <c r="V489" s="51"/>
      <c r="W489" s="52"/>
      <c r="X489" s="51"/>
      <c r="Y489" s="51"/>
      <c r="Z489" s="53"/>
      <c r="AA489" s="40"/>
      <c r="AB489" s="41"/>
      <c r="AD489" s="17">
        <f t="shared" si="59"/>
        <v>10488</v>
      </c>
      <c r="AE489" s="18"/>
    </row>
    <row r="490" spans="1:31" ht="230.25" outlineLevel="3" thickBot="1" x14ac:dyDescent="0.25">
      <c r="A490" s="61" t="s">
        <v>1372</v>
      </c>
      <c r="B490" s="143" t="s">
        <v>1373</v>
      </c>
      <c r="C490" s="145" t="s">
        <v>1374</v>
      </c>
      <c r="D490" s="147" t="s">
        <v>414</v>
      </c>
      <c r="E490" s="74" t="s">
        <v>382</v>
      </c>
      <c r="F490" s="48" t="s">
        <v>415</v>
      </c>
      <c r="G490" s="74" t="s">
        <v>275</v>
      </c>
      <c r="H490" s="29" t="s">
        <v>107</v>
      </c>
      <c r="I490" s="42">
        <v>1</v>
      </c>
      <c r="J490" s="70" t="s">
        <v>384</v>
      </c>
      <c r="K490" s="29" t="s">
        <v>75</v>
      </c>
      <c r="L490" s="71">
        <v>1</v>
      </c>
      <c r="M490" s="31">
        <f t="shared" si="56"/>
        <v>1</v>
      </c>
      <c r="N490" s="32" t="s">
        <v>39</v>
      </c>
      <c r="O490" s="53" t="s">
        <v>76</v>
      </c>
      <c r="P490" s="71">
        <v>5</v>
      </c>
      <c r="Q490" s="34">
        <f t="shared" si="58"/>
        <v>5</v>
      </c>
      <c r="R490" s="33"/>
      <c r="S490" s="33"/>
      <c r="T490" s="33"/>
      <c r="U490" s="50"/>
      <c r="V490" s="51"/>
      <c r="W490" s="52"/>
      <c r="X490" s="51"/>
      <c r="Y490" s="51"/>
      <c r="Z490" s="53"/>
      <c r="AA490" s="40"/>
      <c r="AB490" s="41"/>
      <c r="AD490" s="17">
        <f t="shared" si="59"/>
        <v>10489</v>
      </c>
      <c r="AE490" s="18"/>
    </row>
    <row r="491" spans="1:31" ht="230.25" outlineLevel="3" thickBot="1" x14ac:dyDescent="0.25">
      <c r="A491" s="61" t="s">
        <v>1375</v>
      </c>
      <c r="B491" s="144"/>
      <c r="C491" s="146"/>
      <c r="D491" s="148"/>
      <c r="E491" s="74" t="s">
        <v>386</v>
      </c>
      <c r="F491" s="48" t="s">
        <v>1376</v>
      </c>
      <c r="G491" s="39" t="s">
        <v>375</v>
      </c>
      <c r="H491" s="39" t="s">
        <v>1377</v>
      </c>
      <c r="I491" s="69">
        <v>3</v>
      </c>
      <c r="J491" s="28" t="s">
        <v>47</v>
      </c>
      <c r="K491" s="29" t="s">
        <v>276</v>
      </c>
      <c r="L491" s="71">
        <v>1</v>
      </c>
      <c r="M491" s="31">
        <f t="shared" si="56"/>
        <v>3</v>
      </c>
      <c r="N491" s="32" t="s">
        <v>39</v>
      </c>
      <c r="O491" s="60" t="s">
        <v>884</v>
      </c>
      <c r="P491" s="71">
        <v>1</v>
      </c>
      <c r="Q491" s="34">
        <f t="shared" si="58"/>
        <v>3</v>
      </c>
      <c r="R491" s="33"/>
      <c r="S491" s="33"/>
      <c r="T491" s="33"/>
      <c r="U491" s="50"/>
      <c r="V491" s="51"/>
      <c r="W491" s="52"/>
      <c r="X491" s="51"/>
      <c r="Y491" s="51"/>
      <c r="Z491" s="53"/>
      <c r="AA491" s="40"/>
      <c r="AB491" s="41"/>
      <c r="AD491" s="17">
        <f t="shared" si="59"/>
        <v>10490</v>
      </c>
      <c r="AE491" s="18"/>
    </row>
    <row r="492" spans="1:31" ht="230.25" outlineLevel="3" thickBot="1" x14ac:dyDescent="0.25">
      <c r="A492" s="61" t="s">
        <v>1378</v>
      </c>
      <c r="B492" s="149" t="s">
        <v>1379</v>
      </c>
      <c r="C492" s="139" t="s">
        <v>1380</v>
      </c>
      <c r="D492" s="140" t="s">
        <v>1381</v>
      </c>
      <c r="E492" s="48" t="s">
        <v>67</v>
      </c>
      <c r="F492" s="25" t="s">
        <v>1382</v>
      </c>
      <c r="G492" s="74" t="s">
        <v>1383</v>
      </c>
      <c r="H492" s="29" t="s">
        <v>1384</v>
      </c>
      <c r="I492" s="42">
        <v>2</v>
      </c>
      <c r="J492" s="28" t="s">
        <v>186</v>
      </c>
      <c r="K492" s="29" t="s">
        <v>1385</v>
      </c>
      <c r="L492" s="30">
        <v>1</v>
      </c>
      <c r="M492" s="31">
        <f t="shared" si="56"/>
        <v>2</v>
      </c>
      <c r="N492" s="32" t="s">
        <v>39</v>
      </c>
      <c r="O492" s="33" t="s">
        <v>76</v>
      </c>
      <c r="P492" s="71">
        <v>5</v>
      </c>
      <c r="Q492" s="34">
        <f t="shared" si="58"/>
        <v>10</v>
      </c>
      <c r="R492" s="33"/>
      <c r="S492" s="33"/>
      <c r="T492" s="33"/>
      <c r="U492" s="50"/>
      <c r="V492" s="51"/>
      <c r="W492" s="52"/>
      <c r="X492" s="51"/>
      <c r="Y492" s="51"/>
      <c r="Z492" s="53"/>
      <c r="AA492" s="40"/>
      <c r="AB492" s="41"/>
      <c r="AD492" s="17">
        <f t="shared" si="59"/>
        <v>10491</v>
      </c>
      <c r="AE492" s="18"/>
    </row>
    <row r="493" spans="1:31" ht="230.25" outlineLevel="3" thickBot="1" x14ac:dyDescent="0.25">
      <c r="A493" s="61" t="s">
        <v>1386</v>
      </c>
      <c r="B493" s="149"/>
      <c r="C493" s="139"/>
      <c r="D493" s="141"/>
      <c r="E493" s="48" t="s">
        <v>71</v>
      </c>
      <c r="F493" s="25" t="s">
        <v>1387</v>
      </c>
      <c r="G493" s="25" t="s">
        <v>375</v>
      </c>
      <c r="H493" s="26" t="s">
        <v>1388</v>
      </c>
      <c r="I493" s="42">
        <v>3</v>
      </c>
      <c r="J493" s="28" t="s">
        <v>186</v>
      </c>
      <c r="K493" s="29" t="s">
        <v>1389</v>
      </c>
      <c r="L493" s="30">
        <v>1</v>
      </c>
      <c r="M493" s="31">
        <f t="shared" si="56"/>
        <v>3</v>
      </c>
      <c r="N493" s="32" t="s">
        <v>39</v>
      </c>
      <c r="O493" s="33" t="s">
        <v>76</v>
      </c>
      <c r="P493" s="71">
        <v>5</v>
      </c>
      <c r="Q493" s="34">
        <f t="shared" si="58"/>
        <v>15</v>
      </c>
      <c r="R493" s="33"/>
      <c r="S493" s="33"/>
      <c r="T493" s="33"/>
      <c r="U493" s="50"/>
      <c r="V493" s="51"/>
      <c r="W493" s="52"/>
      <c r="X493" s="51"/>
      <c r="Y493" s="51"/>
      <c r="Z493" s="53"/>
      <c r="AA493" s="40"/>
      <c r="AB493" s="41"/>
      <c r="AD493" s="17">
        <f t="shared" si="59"/>
        <v>10492</v>
      </c>
      <c r="AE493" s="18"/>
    </row>
    <row r="494" spans="1:31" ht="230.25" outlineLevel="3" thickBot="1" x14ac:dyDescent="0.25">
      <c r="A494" s="61" t="s">
        <v>1390</v>
      </c>
      <c r="B494" s="138" t="s">
        <v>1391</v>
      </c>
      <c r="C494" s="139" t="s">
        <v>1392</v>
      </c>
      <c r="D494" s="140" t="s">
        <v>1393</v>
      </c>
      <c r="E494" s="48" t="s">
        <v>67</v>
      </c>
      <c r="F494" s="25" t="s">
        <v>1394</v>
      </c>
      <c r="G494" s="25" t="s">
        <v>375</v>
      </c>
      <c r="H494" s="26" t="s">
        <v>1388</v>
      </c>
      <c r="I494" s="42">
        <v>3</v>
      </c>
      <c r="J494" s="28" t="s">
        <v>186</v>
      </c>
      <c r="K494" s="29" t="s">
        <v>849</v>
      </c>
      <c r="L494" s="30">
        <v>1</v>
      </c>
      <c r="M494" s="31">
        <f t="shared" si="56"/>
        <v>3</v>
      </c>
      <c r="N494" s="32" t="s">
        <v>39</v>
      </c>
      <c r="O494" s="60" t="s">
        <v>49</v>
      </c>
      <c r="P494" s="30">
        <v>2</v>
      </c>
      <c r="Q494" s="34">
        <f t="shared" si="58"/>
        <v>6</v>
      </c>
      <c r="R494" s="33"/>
      <c r="S494" s="33"/>
      <c r="T494" s="33"/>
      <c r="U494" s="50"/>
      <c r="V494" s="51"/>
      <c r="W494" s="52"/>
      <c r="X494" s="51"/>
      <c r="Y494" s="51"/>
      <c r="Z494" s="53"/>
      <c r="AA494" s="40"/>
      <c r="AB494" s="41"/>
      <c r="AD494" s="17">
        <f t="shared" si="59"/>
        <v>10493</v>
      </c>
      <c r="AE494" s="18"/>
    </row>
    <row r="495" spans="1:31" ht="230.25" outlineLevel="3" thickBot="1" x14ac:dyDescent="0.25">
      <c r="A495" s="61" t="s">
        <v>1395</v>
      </c>
      <c r="B495" s="138"/>
      <c r="C495" s="139"/>
      <c r="D495" s="141"/>
      <c r="E495" s="48" t="s">
        <v>71</v>
      </c>
      <c r="F495" s="25" t="s">
        <v>1396</v>
      </c>
      <c r="G495" s="48" t="s">
        <v>191</v>
      </c>
      <c r="H495" s="26" t="s">
        <v>46</v>
      </c>
      <c r="I495" s="42">
        <v>3</v>
      </c>
      <c r="J495" s="28" t="s">
        <v>84</v>
      </c>
      <c r="K495" s="29" t="s">
        <v>1059</v>
      </c>
      <c r="L495" s="30">
        <v>1</v>
      </c>
      <c r="M495" s="31">
        <f t="shared" si="56"/>
        <v>3</v>
      </c>
      <c r="N495" s="32" t="s">
        <v>39</v>
      </c>
      <c r="O495" s="60" t="s">
        <v>884</v>
      </c>
      <c r="P495" s="30">
        <v>2</v>
      </c>
      <c r="Q495" s="34">
        <f t="shared" si="58"/>
        <v>6</v>
      </c>
      <c r="R495" s="33"/>
      <c r="S495" s="33"/>
      <c r="T495" s="33"/>
      <c r="U495" s="50"/>
      <c r="V495" s="51"/>
      <c r="W495" s="52"/>
      <c r="X495" s="51"/>
      <c r="Y495" s="51"/>
      <c r="Z495" s="53"/>
      <c r="AA495" s="40"/>
      <c r="AB495" s="41"/>
      <c r="AD495" s="17">
        <f t="shared" si="59"/>
        <v>10494</v>
      </c>
      <c r="AE495" s="18"/>
    </row>
    <row r="496" spans="1:31" ht="230.25" outlineLevel="3" thickBot="1" x14ac:dyDescent="0.25">
      <c r="A496" s="10" t="s">
        <v>1397</v>
      </c>
      <c r="B496" s="142" t="s">
        <v>1398</v>
      </c>
      <c r="C496" s="47" t="s">
        <v>1399</v>
      </c>
      <c r="D496" s="142" t="s">
        <v>1400</v>
      </c>
      <c r="E496" s="25" t="s">
        <v>1401</v>
      </c>
      <c r="F496" s="25" t="s">
        <v>1402</v>
      </c>
      <c r="G496" s="48" t="s">
        <v>375</v>
      </c>
      <c r="H496" s="26" t="s">
        <v>46</v>
      </c>
      <c r="I496" s="42">
        <v>3</v>
      </c>
      <c r="J496" s="28" t="s">
        <v>1403</v>
      </c>
      <c r="K496" s="29" t="s">
        <v>1404</v>
      </c>
      <c r="L496" s="30">
        <v>1</v>
      </c>
      <c r="M496" s="31">
        <f t="shared" si="56"/>
        <v>3</v>
      </c>
      <c r="N496" s="32" t="s">
        <v>39</v>
      </c>
      <c r="O496" s="60" t="s">
        <v>49</v>
      </c>
      <c r="P496" s="30">
        <v>1</v>
      </c>
      <c r="Q496" s="34">
        <f t="shared" si="58"/>
        <v>3</v>
      </c>
      <c r="R496" s="33"/>
      <c r="S496" s="33"/>
      <c r="T496" s="33"/>
      <c r="U496" s="50"/>
      <c r="V496" s="51"/>
      <c r="W496" s="52"/>
      <c r="X496" s="51"/>
      <c r="Y496" s="51"/>
      <c r="Z496" s="53"/>
      <c r="AA496" s="40"/>
      <c r="AB496" s="41"/>
      <c r="AD496" s="17">
        <f t="shared" si="59"/>
        <v>-4846</v>
      </c>
      <c r="AE496" s="18">
        <f t="shared" si="62"/>
        <v>4846</v>
      </c>
    </row>
    <row r="497" spans="1:31" ht="230.25" outlineLevel="3" thickBot="1" x14ac:dyDescent="0.25">
      <c r="A497" s="10" t="s">
        <v>1405</v>
      </c>
      <c r="B497" s="141"/>
      <c r="C497" s="55"/>
      <c r="D497" s="141"/>
      <c r="E497" s="25" t="s">
        <v>1406</v>
      </c>
      <c r="F497" s="25" t="s">
        <v>1407</v>
      </c>
      <c r="G497" s="25" t="s">
        <v>275</v>
      </c>
      <c r="H497" s="26" t="s">
        <v>61</v>
      </c>
      <c r="I497" s="42">
        <v>1</v>
      </c>
      <c r="J497" s="28" t="s">
        <v>1403</v>
      </c>
      <c r="K497" s="29" t="s">
        <v>1356</v>
      </c>
      <c r="L497" s="30">
        <v>1</v>
      </c>
      <c r="M497" s="31">
        <f t="shared" si="56"/>
        <v>1</v>
      </c>
      <c r="N497" s="32" t="s">
        <v>39</v>
      </c>
      <c r="O497" s="33" t="s">
        <v>76</v>
      </c>
      <c r="P497" s="30">
        <v>5</v>
      </c>
      <c r="Q497" s="34">
        <f t="shared" si="58"/>
        <v>5</v>
      </c>
      <c r="R497" s="33"/>
      <c r="S497" s="33"/>
      <c r="T497" s="33"/>
      <c r="U497" s="50"/>
      <c r="V497" s="51"/>
      <c r="W497" s="52"/>
      <c r="X497" s="51"/>
      <c r="Y497" s="51"/>
      <c r="Z497" s="53"/>
      <c r="AA497" s="40"/>
      <c r="AB497" s="41"/>
      <c r="AD497" s="17">
        <f t="shared" si="59"/>
        <v>-4847</v>
      </c>
      <c r="AE497" s="18">
        <f t="shared" si="62"/>
        <v>4847</v>
      </c>
    </row>
    <row r="498" spans="1:31" ht="230.25" outlineLevel="3" thickBot="1" x14ac:dyDescent="0.25">
      <c r="A498" s="10" t="s">
        <v>1408</v>
      </c>
      <c r="B498" s="25" t="s">
        <v>1409</v>
      </c>
      <c r="C498" s="55" t="s">
        <v>1410</v>
      </c>
      <c r="D498" s="25" t="s">
        <v>1411</v>
      </c>
      <c r="E498" s="25" t="s">
        <v>1057</v>
      </c>
      <c r="F498" s="25" t="s">
        <v>1412</v>
      </c>
      <c r="G498" s="74" t="s">
        <v>191</v>
      </c>
      <c r="H498" s="26" t="s">
        <v>46</v>
      </c>
      <c r="I498" s="42">
        <v>4</v>
      </c>
      <c r="J498" s="28" t="s">
        <v>1413</v>
      </c>
      <c r="K498" s="29" t="s">
        <v>62</v>
      </c>
      <c r="L498" s="30">
        <v>1</v>
      </c>
      <c r="M498" s="45">
        <f t="shared" si="56"/>
        <v>4</v>
      </c>
      <c r="N498" s="32" t="s">
        <v>39</v>
      </c>
      <c r="O498" s="60" t="s">
        <v>49</v>
      </c>
      <c r="P498" s="30">
        <v>2</v>
      </c>
      <c r="Q498" s="34">
        <f t="shared" si="58"/>
        <v>8</v>
      </c>
      <c r="R498" s="33"/>
      <c r="S498" s="33"/>
      <c r="T498" s="33"/>
      <c r="U498" s="50"/>
      <c r="V498" s="51"/>
      <c r="W498" s="52"/>
      <c r="X498" s="51"/>
      <c r="Y498" s="51"/>
      <c r="Z498" s="53"/>
      <c r="AA498" s="40"/>
      <c r="AB498" s="41"/>
      <c r="AD498" s="17">
        <f t="shared" si="59"/>
        <v>-4849</v>
      </c>
      <c r="AE498" s="18">
        <f t="shared" si="62"/>
        <v>4849</v>
      </c>
    </row>
    <row r="499" spans="1:31" x14ac:dyDescent="0.2">
      <c r="A499" s="18"/>
      <c r="B499" s="17"/>
      <c r="E499" s="133"/>
      <c r="M499" s="58"/>
      <c r="N499" s="58"/>
      <c r="O499" s="58"/>
      <c r="AD499" s="17">
        <f t="shared" si="59"/>
        <v>0</v>
      </c>
    </row>
    <row r="500" spans="1:31" x14ac:dyDescent="0.2">
      <c r="A500" s="18"/>
      <c r="B500" s="17"/>
      <c r="E500" s="133"/>
    </row>
    <row r="501" spans="1:31" x14ac:dyDescent="0.2">
      <c r="A501" s="18"/>
      <c r="B501" s="17"/>
      <c r="E501" s="133"/>
    </row>
    <row r="502" spans="1:31" x14ac:dyDescent="0.2">
      <c r="A502" s="18"/>
      <c r="B502" s="17"/>
      <c r="E502" s="133"/>
    </row>
    <row r="503" spans="1:31" x14ac:dyDescent="0.2">
      <c r="A503" s="18"/>
      <c r="B503" s="17"/>
      <c r="E503" s="133"/>
    </row>
    <row r="504" spans="1:31" x14ac:dyDescent="0.2">
      <c r="A504" s="18"/>
      <c r="B504" s="17"/>
      <c r="E504" s="133"/>
    </row>
    <row r="505" spans="1:31" x14ac:dyDescent="0.2">
      <c r="A505" s="18"/>
      <c r="B505" s="17"/>
      <c r="E505" s="133"/>
    </row>
    <row r="506" spans="1:31" x14ac:dyDescent="0.2">
      <c r="A506" s="18"/>
      <c r="B506" s="17"/>
      <c r="E506" s="133"/>
    </row>
    <row r="507" spans="1:31" x14ac:dyDescent="0.2">
      <c r="A507" s="18"/>
      <c r="B507" s="17"/>
      <c r="E507" s="133"/>
    </row>
    <row r="508" spans="1:31" x14ac:dyDescent="0.2">
      <c r="A508" s="18"/>
      <c r="B508" s="17"/>
      <c r="E508" s="133"/>
    </row>
    <row r="509" spans="1:31" x14ac:dyDescent="0.2">
      <c r="A509" s="18"/>
      <c r="B509" s="17"/>
      <c r="E509" s="133"/>
    </row>
    <row r="510" spans="1:31" x14ac:dyDescent="0.2">
      <c r="A510" s="18"/>
      <c r="B510" s="17"/>
      <c r="E510" s="133"/>
    </row>
    <row r="511" spans="1:31" x14ac:dyDescent="0.2">
      <c r="A511" s="18"/>
      <c r="B511" s="17"/>
      <c r="E511" s="133"/>
    </row>
    <row r="512" spans="1:31" x14ac:dyDescent="0.2">
      <c r="A512" s="18"/>
      <c r="B512" s="17"/>
      <c r="E512" s="133"/>
    </row>
    <row r="513" spans="1:5" x14ac:dyDescent="0.2">
      <c r="A513" s="18"/>
      <c r="B513" s="17"/>
      <c r="E513" s="133"/>
    </row>
    <row r="514" spans="1:5" x14ac:dyDescent="0.2">
      <c r="A514" s="18"/>
      <c r="B514" s="17"/>
      <c r="E514" s="133"/>
    </row>
    <row r="515" spans="1:5" x14ac:dyDescent="0.2">
      <c r="A515" s="18"/>
      <c r="B515" s="17"/>
      <c r="E515" s="133"/>
    </row>
    <row r="516" spans="1:5" x14ac:dyDescent="0.2">
      <c r="A516" s="18"/>
      <c r="B516" s="17"/>
      <c r="E516" s="133"/>
    </row>
    <row r="517" spans="1:5" x14ac:dyDescent="0.2">
      <c r="A517" s="18"/>
      <c r="B517" s="17"/>
      <c r="E517" s="133"/>
    </row>
    <row r="518" spans="1:5" x14ac:dyDescent="0.2">
      <c r="A518" s="18"/>
      <c r="B518" s="17"/>
      <c r="E518" s="133"/>
    </row>
    <row r="519" spans="1:5" x14ac:dyDescent="0.2">
      <c r="A519" s="18"/>
      <c r="B519" s="17"/>
      <c r="E519" s="133"/>
    </row>
    <row r="520" spans="1:5" x14ac:dyDescent="0.2">
      <c r="A520" s="18"/>
      <c r="B520" s="17"/>
      <c r="E520" s="133"/>
    </row>
    <row r="521" spans="1:5" x14ac:dyDescent="0.2">
      <c r="A521" s="18"/>
      <c r="B521" s="17"/>
      <c r="E521" s="133"/>
    </row>
    <row r="522" spans="1:5" x14ac:dyDescent="0.2">
      <c r="A522" s="18"/>
      <c r="B522" s="17"/>
      <c r="E522" s="133"/>
    </row>
    <row r="523" spans="1:5" x14ac:dyDescent="0.2">
      <c r="A523" s="18"/>
      <c r="B523" s="17"/>
      <c r="E523" s="133"/>
    </row>
    <row r="524" spans="1:5" x14ac:dyDescent="0.2">
      <c r="A524" s="18"/>
      <c r="B524" s="17"/>
      <c r="E524" s="133"/>
    </row>
    <row r="525" spans="1:5" x14ac:dyDescent="0.2">
      <c r="A525" s="18"/>
      <c r="B525" s="17"/>
      <c r="E525" s="133"/>
    </row>
    <row r="526" spans="1:5" x14ac:dyDescent="0.2">
      <c r="A526" s="18"/>
      <c r="B526" s="17"/>
      <c r="E526" s="133"/>
    </row>
    <row r="527" spans="1:5" x14ac:dyDescent="0.2">
      <c r="A527" s="18"/>
      <c r="B527" s="17"/>
      <c r="E527" s="133"/>
    </row>
    <row r="528" spans="1:5" x14ac:dyDescent="0.2">
      <c r="A528" s="18"/>
      <c r="B528" s="17"/>
      <c r="E528" s="133"/>
    </row>
    <row r="529" spans="1:5" x14ac:dyDescent="0.2">
      <c r="A529" s="18"/>
      <c r="B529" s="17"/>
      <c r="E529" s="133"/>
    </row>
    <row r="530" spans="1:5" x14ac:dyDescent="0.2">
      <c r="A530" s="18"/>
      <c r="B530" s="17"/>
      <c r="E530" s="133"/>
    </row>
    <row r="531" spans="1:5" x14ac:dyDescent="0.2">
      <c r="A531" s="18"/>
      <c r="B531" s="17"/>
      <c r="E531" s="133"/>
    </row>
    <row r="532" spans="1:5" x14ac:dyDescent="0.2">
      <c r="A532" s="18"/>
      <c r="B532" s="17"/>
      <c r="E532" s="133"/>
    </row>
    <row r="533" spans="1:5" x14ac:dyDescent="0.2">
      <c r="A533" s="18"/>
      <c r="B533" s="17"/>
      <c r="E533" s="133"/>
    </row>
    <row r="534" spans="1:5" x14ac:dyDescent="0.2">
      <c r="A534" s="18"/>
      <c r="B534" s="17"/>
      <c r="E534" s="133"/>
    </row>
    <row r="535" spans="1:5" x14ac:dyDescent="0.2">
      <c r="A535" s="18"/>
      <c r="B535" s="17"/>
      <c r="E535" s="133"/>
    </row>
    <row r="536" spans="1:5" x14ac:dyDescent="0.2">
      <c r="A536" s="18"/>
      <c r="B536" s="17"/>
      <c r="E536" s="133"/>
    </row>
    <row r="537" spans="1:5" x14ac:dyDescent="0.2">
      <c r="A537" s="18"/>
      <c r="B537" s="17"/>
      <c r="E537" s="133"/>
    </row>
    <row r="538" spans="1:5" x14ac:dyDescent="0.2">
      <c r="A538" s="18"/>
      <c r="B538" s="17"/>
      <c r="E538" s="133"/>
    </row>
    <row r="539" spans="1:5" x14ac:dyDescent="0.2">
      <c r="A539" s="18"/>
      <c r="B539" s="17"/>
      <c r="E539" s="133"/>
    </row>
    <row r="540" spans="1:5" x14ac:dyDescent="0.2">
      <c r="A540" s="18"/>
      <c r="B540" s="17"/>
      <c r="E540" s="133"/>
    </row>
    <row r="541" spans="1:5" x14ac:dyDescent="0.2">
      <c r="A541" s="18"/>
      <c r="B541" s="17"/>
      <c r="E541" s="133"/>
    </row>
    <row r="542" spans="1:5" x14ac:dyDescent="0.2">
      <c r="A542" s="18"/>
      <c r="B542" s="17"/>
      <c r="E542" s="133"/>
    </row>
    <row r="543" spans="1:5" x14ac:dyDescent="0.2">
      <c r="A543" s="18"/>
      <c r="B543" s="17"/>
      <c r="E543" s="133"/>
    </row>
    <row r="544" spans="1:5" x14ac:dyDescent="0.2">
      <c r="A544" s="18"/>
      <c r="B544" s="17"/>
      <c r="E544" s="133"/>
    </row>
    <row r="545" spans="1:5" x14ac:dyDescent="0.2">
      <c r="A545" s="18"/>
      <c r="B545" s="17"/>
      <c r="E545" s="133"/>
    </row>
    <row r="546" spans="1:5" x14ac:dyDescent="0.2">
      <c r="A546" s="18"/>
      <c r="B546" s="17"/>
      <c r="E546" s="133"/>
    </row>
    <row r="547" spans="1:5" x14ac:dyDescent="0.2">
      <c r="A547" s="18"/>
      <c r="B547" s="17"/>
      <c r="E547" s="133"/>
    </row>
    <row r="548" spans="1:5" x14ac:dyDescent="0.2">
      <c r="A548" s="18"/>
      <c r="B548" s="17"/>
      <c r="E548" s="133"/>
    </row>
    <row r="549" spans="1:5" x14ac:dyDescent="0.2">
      <c r="A549" s="18"/>
      <c r="B549" s="17"/>
      <c r="E549" s="133"/>
    </row>
    <row r="550" spans="1:5" x14ac:dyDescent="0.2">
      <c r="A550" s="18"/>
      <c r="B550" s="17"/>
      <c r="E550" s="133"/>
    </row>
    <row r="551" spans="1:5" x14ac:dyDescent="0.2">
      <c r="A551" s="18"/>
      <c r="B551" s="17"/>
      <c r="E551" s="133"/>
    </row>
    <row r="552" spans="1:5" x14ac:dyDescent="0.2">
      <c r="A552" s="18"/>
      <c r="B552" s="17"/>
      <c r="E552" s="133"/>
    </row>
    <row r="553" spans="1:5" x14ac:dyDescent="0.2">
      <c r="A553" s="18"/>
      <c r="B553" s="17"/>
      <c r="E553" s="133"/>
    </row>
    <row r="554" spans="1:5" x14ac:dyDescent="0.2">
      <c r="A554" s="18"/>
      <c r="B554" s="17"/>
      <c r="E554" s="133"/>
    </row>
    <row r="555" spans="1:5" x14ac:dyDescent="0.2">
      <c r="A555" s="18"/>
      <c r="B555" s="17"/>
      <c r="E555" s="133"/>
    </row>
    <row r="556" spans="1:5" x14ac:dyDescent="0.2">
      <c r="A556" s="18"/>
      <c r="B556" s="17"/>
      <c r="E556" s="133"/>
    </row>
    <row r="557" spans="1:5" x14ac:dyDescent="0.2">
      <c r="A557" s="18"/>
      <c r="B557" s="17"/>
      <c r="E557" s="133"/>
    </row>
    <row r="558" spans="1:5" x14ac:dyDescent="0.2">
      <c r="A558" s="18"/>
      <c r="B558" s="17"/>
      <c r="E558" s="133"/>
    </row>
    <row r="559" spans="1:5" x14ac:dyDescent="0.2">
      <c r="A559" s="18"/>
      <c r="B559" s="17"/>
      <c r="E559" s="133"/>
    </row>
    <row r="560" spans="1:5" x14ac:dyDescent="0.2">
      <c r="A560" s="18"/>
      <c r="B560" s="17"/>
      <c r="E560" s="133"/>
    </row>
    <row r="561" spans="1:5" x14ac:dyDescent="0.2">
      <c r="A561" s="18"/>
      <c r="B561" s="17"/>
      <c r="E561" s="133"/>
    </row>
    <row r="562" spans="1:5" x14ac:dyDescent="0.2">
      <c r="A562" s="18"/>
      <c r="B562" s="17"/>
      <c r="E562" s="133"/>
    </row>
    <row r="563" spans="1:5" x14ac:dyDescent="0.2">
      <c r="A563" s="18"/>
      <c r="B563" s="17"/>
      <c r="E563" s="133"/>
    </row>
    <row r="564" spans="1:5" x14ac:dyDescent="0.2">
      <c r="A564" s="18"/>
      <c r="B564" s="17"/>
      <c r="E564" s="133"/>
    </row>
    <row r="565" spans="1:5" x14ac:dyDescent="0.2">
      <c r="A565" s="18"/>
      <c r="B565" s="17"/>
      <c r="E565" s="133"/>
    </row>
    <row r="566" spans="1:5" x14ac:dyDescent="0.2">
      <c r="A566" s="18"/>
      <c r="B566" s="17"/>
      <c r="E566" s="133"/>
    </row>
    <row r="567" spans="1:5" x14ac:dyDescent="0.2">
      <c r="A567" s="18"/>
      <c r="B567" s="17"/>
      <c r="E567" s="133"/>
    </row>
    <row r="568" spans="1:5" x14ac:dyDescent="0.2">
      <c r="A568" s="18"/>
      <c r="B568" s="17"/>
      <c r="E568" s="133"/>
    </row>
    <row r="569" spans="1:5" x14ac:dyDescent="0.2">
      <c r="A569" s="18"/>
      <c r="B569" s="17"/>
      <c r="E569" s="133"/>
    </row>
    <row r="570" spans="1:5" x14ac:dyDescent="0.2">
      <c r="A570" s="18"/>
      <c r="B570" s="17"/>
      <c r="E570" s="133"/>
    </row>
    <row r="571" spans="1:5" x14ac:dyDescent="0.2">
      <c r="A571" s="18"/>
      <c r="B571" s="17"/>
      <c r="E571" s="133"/>
    </row>
    <row r="572" spans="1:5" x14ac:dyDescent="0.2">
      <c r="A572" s="18"/>
      <c r="B572" s="17"/>
      <c r="E572" s="133"/>
    </row>
    <row r="573" spans="1:5" x14ac:dyDescent="0.2">
      <c r="A573" s="18"/>
      <c r="B573" s="17"/>
      <c r="E573" s="133"/>
    </row>
    <row r="574" spans="1:5" x14ac:dyDescent="0.2">
      <c r="A574" s="18"/>
      <c r="B574" s="17"/>
      <c r="E574" s="133"/>
    </row>
    <row r="575" spans="1:5" x14ac:dyDescent="0.2">
      <c r="A575" s="18"/>
      <c r="B575" s="17"/>
      <c r="E575" s="133"/>
    </row>
    <row r="576" spans="1:5" x14ac:dyDescent="0.2">
      <c r="A576" s="18"/>
      <c r="B576" s="17"/>
      <c r="E576" s="133"/>
    </row>
    <row r="577" spans="1:5" x14ac:dyDescent="0.2">
      <c r="A577" s="18"/>
      <c r="B577" s="17"/>
      <c r="E577" s="133"/>
    </row>
    <row r="578" spans="1:5" x14ac:dyDescent="0.2">
      <c r="A578" s="18"/>
      <c r="B578" s="17"/>
      <c r="E578" s="133"/>
    </row>
    <row r="579" spans="1:5" x14ac:dyDescent="0.2">
      <c r="A579" s="18"/>
      <c r="B579" s="17"/>
      <c r="E579" s="133"/>
    </row>
    <row r="580" spans="1:5" x14ac:dyDescent="0.2">
      <c r="A580" s="18"/>
      <c r="B580" s="17"/>
      <c r="E580" s="133"/>
    </row>
    <row r="581" spans="1:5" x14ac:dyDescent="0.2">
      <c r="A581" s="18"/>
      <c r="B581" s="17"/>
      <c r="E581" s="133"/>
    </row>
    <row r="582" spans="1:5" x14ac:dyDescent="0.2">
      <c r="A582" s="18"/>
      <c r="B582" s="17"/>
      <c r="E582" s="133"/>
    </row>
    <row r="583" spans="1:5" x14ac:dyDescent="0.2">
      <c r="A583" s="18"/>
      <c r="B583" s="17"/>
      <c r="E583" s="133"/>
    </row>
    <row r="584" spans="1:5" x14ac:dyDescent="0.2">
      <c r="A584" s="18"/>
      <c r="B584" s="17"/>
      <c r="E584" s="133"/>
    </row>
    <row r="585" spans="1:5" x14ac:dyDescent="0.2">
      <c r="A585" s="18"/>
      <c r="B585" s="17"/>
      <c r="E585" s="133"/>
    </row>
    <row r="586" spans="1:5" x14ac:dyDescent="0.2">
      <c r="A586" s="18"/>
      <c r="B586" s="17"/>
      <c r="E586" s="133"/>
    </row>
    <row r="587" spans="1:5" x14ac:dyDescent="0.2">
      <c r="A587" s="18"/>
      <c r="B587" s="17"/>
      <c r="E587" s="133"/>
    </row>
    <row r="588" spans="1:5" x14ac:dyDescent="0.2">
      <c r="A588" s="18"/>
      <c r="B588" s="17"/>
      <c r="E588" s="133"/>
    </row>
    <row r="589" spans="1:5" x14ac:dyDescent="0.2">
      <c r="A589" s="18"/>
      <c r="B589" s="17"/>
      <c r="E589" s="133"/>
    </row>
    <row r="590" spans="1:5" x14ac:dyDescent="0.2">
      <c r="A590" s="18"/>
      <c r="B590" s="17"/>
      <c r="E590" s="133"/>
    </row>
    <row r="591" spans="1:5" x14ac:dyDescent="0.2">
      <c r="A591" s="18"/>
      <c r="B591" s="17"/>
      <c r="E591" s="133"/>
    </row>
    <row r="592" spans="1:5" x14ac:dyDescent="0.2">
      <c r="A592" s="18"/>
      <c r="B592" s="17"/>
      <c r="E592" s="133"/>
    </row>
    <row r="593" spans="1:5" x14ac:dyDescent="0.2">
      <c r="A593" s="18"/>
      <c r="B593" s="17"/>
      <c r="E593" s="133"/>
    </row>
    <row r="594" spans="1:5" x14ac:dyDescent="0.2">
      <c r="A594" s="18"/>
      <c r="B594" s="17"/>
      <c r="E594" s="133"/>
    </row>
    <row r="595" spans="1:5" x14ac:dyDescent="0.2">
      <c r="A595" s="18"/>
      <c r="B595" s="17"/>
      <c r="E595" s="133"/>
    </row>
    <row r="596" spans="1:5" x14ac:dyDescent="0.2">
      <c r="A596" s="18"/>
      <c r="B596" s="17"/>
      <c r="E596" s="133"/>
    </row>
    <row r="597" spans="1:5" x14ac:dyDescent="0.2">
      <c r="A597" s="18"/>
      <c r="B597" s="17"/>
      <c r="E597" s="133"/>
    </row>
    <row r="598" spans="1:5" x14ac:dyDescent="0.2">
      <c r="A598" s="18"/>
      <c r="B598" s="17"/>
      <c r="E598" s="133"/>
    </row>
    <row r="599" spans="1:5" x14ac:dyDescent="0.2">
      <c r="A599" s="18"/>
      <c r="B599" s="17"/>
      <c r="E599" s="133"/>
    </row>
    <row r="600" spans="1:5" x14ac:dyDescent="0.2">
      <c r="A600" s="18"/>
      <c r="B600" s="17"/>
      <c r="E600" s="133"/>
    </row>
    <row r="601" spans="1:5" x14ac:dyDescent="0.2">
      <c r="A601" s="18"/>
      <c r="B601" s="17"/>
      <c r="E601" s="133"/>
    </row>
    <row r="602" spans="1:5" x14ac:dyDescent="0.2">
      <c r="A602" s="18"/>
      <c r="B602" s="17"/>
      <c r="E602" s="133"/>
    </row>
    <row r="603" spans="1:5" x14ac:dyDescent="0.2">
      <c r="A603" s="18"/>
      <c r="B603" s="17"/>
      <c r="E603" s="133"/>
    </row>
    <row r="604" spans="1:5" x14ac:dyDescent="0.2">
      <c r="A604" s="18"/>
      <c r="B604" s="17"/>
      <c r="E604" s="133"/>
    </row>
    <row r="605" spans="1:5" x14ac:dyDescent="0.2">
      <c r="A605" s="18"/>
      <c r="B605" s="17"/>
      <c r="E605" s="133"/>
    </row>
    <row r="606" spans="1:5" x14ac:dyDescent="0.2">
      <c r="A606" s="18"/>
      <c r="B606" s="17"/>
      <c r="E606" s="133"/>
    </row>
    <row r="607" spans="1:5" x14ac:dyDescent="0.2">
      <c r="A607" s="18"/>
      <c r="B607" s="17"/>
      <c r="E607" s="133"/>
    </row>
    <row r="608" spans="1:5" x14ac:dyDescent="0.2">
      <c r="A608" s="18"/>
      <c r="B608" s="17"/>
      <c r="E608" s="133"/>
    </row>
    <row r="609" spans="1:5" x14ac:dyDescent="0.2">
      <c r="A609" s="18"/>
      <c r="B609" s="17"/>
      <c r="E609" s="133"/>
    </row>
    <row r="610" spans="1:5" x14ac:dyDescent="0.2">
      <c r="A610" s="18"/>
      <c r="B610" s="17"/>
      <c r="E610" s="133"/>
    </row>
    <row r="611" spans="1:5" x14ac:dyDescent="0.2">
      <c r="A611" s="18"/>
      <c r="B611" s="17"/>
      <c r="E611" s="133"/>
    </row>
    <row r="612" spans="1:5" x14ac:dyDescent="0.2">
      <c r="A612" s="18"/>
      <c r="B612" s="17"/>
      <c r="E612" s="133"/>
    </row>
    <row r="613" spans="1:5" x14ac:dyDescent="0.2">
      <c r="A613" s="18"/>
      <c r="B613" s="17"/>
      <c r="E613" s="133"/>
    </row>
    <row r="614" spans="1:5" x14ac:dyDescent="0.2">
      <c r="A614" s="18"/>
      <c r="B614" s="17"/>
      <c r="E614" s="133"/>
    </row>
    <row r="615" spans="1:5" x14ac:dyDescent="0.2">
      <c r="A615" s="18"/>
      <c r="B615" s="17"/>
      <c r="E615" s="133"/>
    </row>
    <row r="616" spans="1:5" x14ac:dyDescent="0.2">
      <c r="A616" s="18"/>
      <c r="B616" s="17"/>
      <c r="E616" s="133"/>
    </row>
    <row r="617" spans="1:5" x14ac:dyDescent="0.2">
      <c r="A617" s="18"/>
      <c r="B617" s="17"/>
      <c r="E617" s="133"/>
    </row>
    <row r="618" spans="1:5" x14ac:dyDescent="0.2">
      <c r="A618" s="18"/>
      <c r="B618" s="17"/>
      <c r="E618" s="133"/>
    </row>
    <row r="619" spans="1:5" x14ac:dyDescent="0.2">
      <c r="A619" s="18"/>
      <c r="B619" s="17"/>
      <c r="E619" s="133"/>
    </row>
    <row r="620" spans="1:5" x14ac:dyDescent="0.2">
      <c r="A620" s="18"/>
      <c r="B620" s="17"/>
      <c r="E620" s="133"/>
    </row>
    <row r="621" spans="1:5" x14ac:dyDescent="0.2">
      <c r="A621" s="18"/>
      <c r="B621" s="17"/>
      <c r="E621" s="133"/>
    </row>
    <row r="622" spans="1:5" x14ac:dyDescent="0.2">
      <c r="A622" s="18"/>
      <c r="B622" s="17"/>
      <c r="E622" s="133"/>
    </row>
    <row r="623" spans="1:5" x14ac:dyDescent="0.2">
      <c r="A623" s="18"/>
      <c r="B623" s="17"/>
      <c r="E623" s="133"/>
    </row>
    <row r="624" spans="1:5" x14ac:dyDescent="0.2">
      <c r="A624" s="18"/>
      <c r="B624" s="17"/>
      <c r="E624" s="133"/>
    </row>
    <row r="625" spans="1:5" x14ac:dyDescent="0.2">
      <c r="A625" s="18"/>
      <c r="B625" s="17"/>
      <c r="E625" s="133"/>
    </row>
    <row r="626" spans="1:5" x14ac:dyDescent="0.2">
      <c r="A626" s="18"/>
      <c r="B626" s="17"/>
      <c r="E626" s="133"/>
    </row>
    <row r="627" spans="1:5" x14ac:dyDescent="0.2">
      <c r="A627" s="18"/>
      <c r="B627" s="17"/>
      <c r="E627" s="133"/>
    </row>
    <row r="628" spans="1:5" x14ac:dyDescent="0.2">
      <c r="A628" s="18"/>
      <c r="B628" s="17"/>
      <c r="E628" s="133"/>
    </row>
    <row r="629" spans="1:5" x14ac:dyDescent="0.2">
      <c r="A629" s="18"/>
      <c r="B629" s="17"/>
      <c r="E629" s="133"/>
    </row>
    <row r="630" spans="1:5" x14ac:dyDescent="0.2">
      <c r="A630" s="18"/>
      <c r="B630" s="17"/>
      <c r="E630" s="133"/>
    </row>
    <row r="631" spans="1:5" x14ac:dyDescent="0.2">
      <c r="A631" s="18"/>
      <c r="B631" s="17"/>
      <c r="E631" s="133"/>
    </row>
    <row r="632" spans="1:5" x14ac:dyDescent="0.2">
      <c r="A632" s="18"/>
      <c r="B632" s="17"/>
      <c r="E632" s="133"/>
    </row>
    <row r="633" spans="1:5" x14ac:dyDescent="0.2">
      <c r="A633" s="18"/>
      <c r="B633" s="17"/>
      <c r="E633" s="133"/>
    </row>
    <row r="634" spans="1:5" x14ac:dyDescent="0.2">
      <c r="A634" s="18"/>
      <c r="B634" s="17"/>
      <c r="E634" s="133"/>
    </row>
    <row r="635" spans="1:5" x14ac:dyDescent="0.2">
      <c r="A635" s="18"/>
      <c r="B635" s="17"/>
      <c r="E635" s="133"/>
    </row>
    <row r="636" spans="1:5" x14ac:dyDescent="0.2">
      <c r="A636" s="18"/>
      <c r="B636" s="17"/>
      <c r="E636" s="133"/>
    </row>
    <row r="637" spans="1:5" x14ac:dyDescent="0.2">
      <c r="A637" s="18"/>
      <c r="B637" s="17"/>
      <c r="E637" s="133"/>
    </row>
    <row r="638" spans="1:5" x14ac:dyDescent="0.2">
      <c r="A638" s="18"/>
      <c r="B638" s="17"/>
      <c r="E638" s="133"/>
    </row>
    <row r="639" spans="1:5" x14ac:dyDescent="0.2">
      <c r="A639" s="18"/>
      <c r="B639" s="17"/>
      <c r="E639" s="133"/>
    </row>
    <row r="640" spans="1:5" x14ac:dyDescent="0.2">
      <c r="A640" s="18"/>
      <c r="B640" s="17"/>
      <c r="E640" s="133"/>
    </row>
    <row r="641" spans="1:5" x14ac:dyDescent="0.2">
      <c r="A641" s="18"/>
      <c r="B641" s="17"/>
      <c r="E641" s="133"/>
    </row>
    <row r="642" spans="1:5" x14ac:dyDescent="0.2">
      <c r="A642" s="18"/>
      <c r="B642" s="17"/>
      <c r="E642" s="133"/>
    </row>
    <row r="643" spans="1:5" x14ac:dyDescent="0.2">
      <c r="A643" s="18"/>
      <c r="B643" s="17"/>
      <c r="E643" s="133"/>
    </row>
    <row r="644" spans="1:5" x14ac:dyDescent="0.2">
      <c r="A644" s="18"/>
      <c r="B644" s="17"/>
      <c r="E644" s="133"/>
    </row>
    <row r="645" spans="1:5" x14ac:dyDescent="0.2">
      <c r="A645" s="18"/>
      <c r="B645" s="17"/>
      <c r="E645" s="133"/>
    </row>
    <row r="646" spans="1:5" x14ac:dyDescent="0.2">
      <c r="A646" s="18"/>
      <c r="B646" s="17"/>
      <c r="E646" s="133"/>
    </row>
    <row r="647" spans="1:5" x14ac:dyDescent="0.2">
      <c r="A647" s="18"/>
      <c r="B647" s="17"/>
      <c r="E647" s="133"/>
    </row>
    <row r="648" spans="1:5" x14ac:dyDescent="0.2">
      <c r="A648" s="18"/>
      <c r="B648" s="17"/>
      <c r="E648" s="133"/>
    </row>
    <row r="649" spans="1:5" x14ac:dyDescent="0.2">
      <c r="A649" s="18"/>
      <c r="B649" s="17"/>
      <c r="E649" s="133"/>
    </row>
    <row r="650" spans="1:5" x14ac:dyDescent="0.2">
      <c r="A650" s="18"/>
      <c r="B650" s="17"/>
      <c r="E650" s="133"/>
    </row>
    <row r="651" spans="1:5" x14ac:dyDescent="0.2">
      <c r="A651" s="18"/>
      <c r="B651" s="17"/>
      <c r="E651" s="133"/>
    </row>
    <row r="652" spans="1:5" x14ac:dyDescent="0.2">
      <c r="A652" s="18"/>
      <c r="B652" s="17"/>
      <c r="E652" s="133"/>
    </row>
    <row r="653" spans="1:5" x14ac:dyDescent="0.2">
      <c r="A653" s="18"/>
      <c r="B653" s="17"/>
      <c r="E653" s="133"/>
    </row>
    <row r="654" spans="1:5" x14ac:dyDescent="0.2">
      <c r="A654" s="18"/>
      <c r="B654" s="17"/>
      <c r="E654" s="133"/>
    </row>
    <row r="655" spans="1:5" x14ac:dyDescent="0.2">
      <c r="A655" s="18"/>
      <c r="B655" s="17"/>
      <c r="E655" s="133"/>
    </row>
    <row r="656" spans="1:5" x14ac:dyDescent="0.2">
      <c r="A656" s="18"/>
      <c r="B656" s="17"/>
      <c r="E656" s="133"/>
    </row>
    <row r="657" spans="1:5" x14ac:dyDescent="0.2">
      <c r="A657" s="18"/>
      <c r="B657" s="17"/>
      <c r="E657" s="133"/>
    </row>
    <row r="658" spans="1:5" x14ac:dyDescent="0.2">
      <c r="A658" s="18"/>
      <c r="B658" s="17"/>
      <c r="E658" s="133"/>
    </row>
    <row r="659" spans="1:5" x14ac:dyDescent="0.2">
      <c r="A659" s="18"/>
      <c r="B659" s="17"/>
      <c r="E659" s="133"/>
    </row>
    <row r="660" spans="1:5" x14ac:dyDescent="0.2">
      <c r="A660" s="18"/>
      <c r="B660" s="17"/>
      <c r="E660" s="133"/>
    </row>
    <row r="661" spans="1:5" x14ac:dyDescent="0.2">
      <c r="A661" s="18"/>
      <c r="B661" s="17"/>
      <c r="E661" s="133"/>
    </row>
    <row r="662" spans="1:5" x14ac:dyDescent="0.2">
      <c r="A662" s="18"/>
      <c r="B662" s="17"/>
      <c r="E662" s="133"/>
    </row>
    <row r="663" spans="1:5" x14ac:dyDescent="0.2">
      <c r="A663" s="18"/>
      <c r="B663" s="17"/>
      <c r="E663" s="133"/>
    </row>
    <row r="664" spans="1:5" x14ac:dyDescent="0.2">
      <c r="A664" s="18"/>
      <c r="B664" s="17"/>
      <c r="E664" s="133"/>
    </row>
    <row r="665" spans="1:5" x14ac:dyDescent="0.2">
      <c r="A665" s="18"/>
      <c r="B665" s="17"/>
      <c r="E665" s="133"/>
    </row>
    <row r="666" spans="1:5" x14ac:dyDescent="0.2">
      <c r="A666" s="18"/>
      <c r="B666" s="17"/>
      <c r="E666" s="133"/>
    </row>
    <row r="667" spans="1:5" x14ac:dyDescent="0.2">
      <c r="A667" s="18"/>
      <c r="B667" s="17"/>
      <c r="E667" s="133"/>
    </row>
    <row r="668" spans="1:5" x14ac:dyDescent="0.2">
      <c r="A668" s="18"/>
      <c r="B668" s="17"/>
      <c r="E668" s="133"/>
    </row>
    <row r="669" spans="1:5" x14ac:dyDescent="0.2">
      <c r="A669" s="18"/>
      <c r="B669" s="17"/>
      <c r="E669" s="133"/>
    </row>
    <row r="670" spans="1:5" x14ac:dyDescent="0.2">
      <c r="A670" s="18"/>
      <c r="B670" s="17"/>
      <c r="E670" s="133"/>
    </row>
    <row r="671" spans="1:5" x14ac:dyDescent="0.2">
      <c r="A671" s="18"/>
      <c r="B671" s="17"/>
      <c r="E671" s="133"/>
    </row>
    <row r="672" spans="1:5" x14ac:dyDescent="0.2">
      <c r="A672" s="18"/>
      <c r="B672" s="17"/>
      <c r="E672" s="133"/>
    </row>
    <row r="673" spans="1:5" x14ac:dyDescent="0.2">
      <c r="A673" s="18"/>
      <c r="B673" s="17"/>
      <c r="E673" s="133"/>
    </row>
    <row r="674" spans="1:5" x14ac:dyDescent="0.2">
      <c r="A674" s="18"/>
      <c r="B674" s="17"/>
      <c r="E674" s="133"/>
    </row>
    <row r="675" spans="1:5" x14ac:dyDescent="0.2">
      <c r="A675" s="18"/>
      <c r="B675" s="17"/>
      <c r="E675" s="133"/>
    </row>
    <row r="676" spans="1:5" x14ac:dyDescent="0.2">
      <c r="A676" s="18"/>
      <c r="B676" s="17"/>
      <c r="E676" s="133"/>
    </row>
    <row r="677" spans="1:5" x14ac:dyDescent="0.2">
      <c r="A677" s="18"/>
      <c r="B677" s="17"/>
      <c r="E677" s="133"/>
    </row>
    <row r="678" spans="1:5" x14ac:dyDescent="0.2">
      <c r="A678" s="18"/>
      <c r="B678" s="17"/>
      <c r="E678" s="133"/>
    </row>
    <row r="679" spans="1:5" x14ac:dyDescent="0.2">
      <c r="A679" s="18"/>
      <c r="B679" s="17"/>
      <c r="E679" s="133"/>
    </row>
    <row r="680" spans="1:5" x14ac:dyDescent="0.2">
      <c r="A680" s="18"/>
      <c r="B680" s="17"/>
      <c r="E680" s="133"/>
    </row>
    <row r="681" spans="1:5" x14ac:dyDescent="0.2">
      <c r="A681" s="18"/>
      <c r="B681" s="17"/>
      <c r="E681" s="133"/>
    </row>
    <row r="682" spans="1:5" x14ac:dyDescent="0.2">
      <c r="A682" s="18"/>
      <c r="B682" s="17"/>
      <c r="E682" s="133"/>
    </row>
    <row r="683" spans="1:5" x14ac:dyDescent="0.2">
      <c r="A683" s="18"/>
      <c r="B683" s="17"/>
      <c r="E683" s="133"/>
    </row>
    <row r="684" spans="1:5" x14ac:dyDescent="0.2">
      <c r="A684" s="18"/>
      <c r="B684" s="17"/>
      <c r="E684" s="133"/>
    </row>
    <row r="685" spans="1:5" x14ac:dyDescent="0.2">
      <c r="A685" s="18"/>
      <c r="B685" s="17"/>
      <c r="E685" s="133"/>
    </row>
    <row r="686" spans="1:5" x14ac:dyDescent="0.2">
      <c r="A686" s="18"/>
      <c r="B686" s="17"/>
      <c r="E686" s="133"/>
    </row>
    <row r="687" spans="1:5" x14ac:dyDescent="0.2">
      <c r="A687" s="18"/>
      <c r="B687" s="17"/>
      <c r="E687" s="133"/>
    </row>
    <row r="688" spans="1:5" x14ac:dyDescent="0.2">
      <c r="A688" s="18"/>
      <c r="B688" s="17"/>
      <c r="E688" s="133"/>
    </row>
    <row r="689" spans="1:5" x14ac:dyDescent="0.2">
      <c r="A689" s="18"/>
      <c r="B689" s="17"/>
      <c r="E689" s="133"/>
    </row>
    <row r="690" spans="1:5" x14ac:dyDescent="0.2">
      <c r="A690" s="18"/>
      <c r="B690" s="17"/>
      <c r="E690" s="133"/>
    </row>
    <row r="691" spans="1:5" x14ac:dyDescent="0.2">
      <c r="A691" s="18"/>
      <c r="B691" s="17"/>
      <c r="E691" s="133"/>
    </row>
    <row r="692" spans="1:5" x14ac:dyDescent="0.2">
      <c r="A692" s="18"/>
      <c r="B692" s="17"/>
      <c r="E692" s="133"/>
    </row>
    <row r="693" spans="1:5" x14ac:dyDescent="0.2">
      <c r="A693" s="18"/>
      <c r="B693" s="17"/>
      <c r="E693" s="133"/>
    </row>
    <row r="694" spans="1:5" x14ac:dyDescent="0.2">
      <c r="A694" s="18"/>
      <c r="B694" s="17"/>
      <c r="E694" s="133"/>
    </row>
    <row r="695" spans="1:5" x14ac:dyDescent="0.2">
      <c r="A695" s="18"/>
      <c r="B695" s="17"/>
      <c r="E695" s="133"/>
    </row>
    <row r="696" spans="1:5" x14ac:dyDescent="0.2">
      <c r="A696" s="18"/>
      <c r="B696" s="17"/>
      <c r="E696" s="133"/>
    </row>
    <row r="697" spans="1:5" x14ac:dyDescent="0.2">
      <c r="A697" s="18"/>
      <c r="B697" s="17"/>
      <c r="E697" s="133"/>
    </row>
    <row r="698" spans="1:5" x14ac:dyDescent="0.2">
      <c r="A698" s="18"/>
      <c r="B698" s="17"/>
      <c r="E698" s="133"/>
    </row>
    <row r="699" spans="1:5" x14ac:dyDescent="0.2">
      <c r="A699" s="18"/>
      <c r="B699" s="17"/>
      <c r="E699" s="133"/>
    </row>
    <row r="700" spans="1:5" x14ac:dyDescent="0.2">
      <c r="A700" s="18"/>
      <c r="B700" s="17"/>
      <c r="E700" s="133"/>
    </row>
    <row r="701" spans="1:5" x14ac:dyDescent="0.2">
      <c r="A701" s="18"/>
      <c r="B701" s="17"/>
      <c r="E701" s="133"/>
    </row>
    <row r="702" spans="1:5" x14ac:dyDescent="0.2">
      <c r="A702" s="18"/>
      <c r="B702" s="17"/>
      <c r="E702" s="133"/>
    </row>
    <row r="703" spans="1:5" x14ac:dyDescent="0.2">
      <c r="A703" s="18"/>
      <c r="B703" s="17"/>
      <c r="E703" s="133"/>
    </row>
    <row r="704" spans="1:5" x14ac:dyDescent="0.2">
      <c r="A704" s="18"/>
      <c r="B704" s="17"/>
      <c r="E704" s="133"/>
    </row>
    <row r="705" spans="1:5" x14ac:dyDescent="0.2">
      <c r="A705" s="18"/>
      <c r="B705" s="17"/>
      <c r="E705" s="133"/>
    </row>
    <row r="706" spans="1:5" x14ac:dyDescent="0.2">
      <c r="A706" s="18"/>
      <c r="B706" s="17"/>
      <c r="E706" s="133"/>
    </row>
    <row r="707" spans="1:5" x14ac:dyDescent="0.2">
      <c r="A707" s="18"/>
      <c r="B707" s="17"/>
      <c r="E707" s="133"/>
    </row>
    <row r="708" spans="1:5" x14ac:dyDescent="0.2">
      <c r="A708" s="18"/>
      <c r="B708" s="17"/>
      <c r="E708" s="133"/>
    </row>
    <row r="709" spans="1:5" x14ac:dyDescent="0.2">
      <c r="A709" s="18"/>
      <c r="B709" s="17"/>
      <c r="E709" s="133"/>
    </row>
    <row r="710" spans="1:5" x14ac:dyDescent="0.2">
      <c r="A710" s="18"/>
      <c r="B710" s="17"/>
      <c r="E710" s="133"/>
    </row>
    <row r="711" spans="1:5" x14ac:dyDescent="0.2">
      <c r="A711" s="18"/>
      <c r="B711" s="17"/>
      <c r="E711" s="133"/>
    </row>
    <row r="712" spans="1:5" x14ac:dyDescent="0.2">
      <c r="A712" s="18"/>
      <c r="B712" s="17"/>
      <c r="E712" s="133"/>
    </row>
    <row r="713" spans="1:5" x14ac:dyDescent="0.2">
      <c r="A713" s="18"/>
      <c r="B713" s="17"/>
      <c r="E713" s="133"/>
    </row>
    <row r="714" spans="1:5" x14ac:dyDescent="0.2">
      <c r="A714" s="18"/>
      <c r="B714" s="17"/>
      <c r="E714" s="133"/>
    </row>
    <row r="715" spans="1:5" x14ac:dyDescent="0.2">
      <c r="A715" s="18"/>
      <c r="B715" s="17"/>
      <c r="E715" s="133"/>
    </row>
    <row r="716" spans="1:5" x14ac:dyDescent="0.2">
      <c r="A716" s="18"/>
      <c r="B716" s="17"/>
      <c r="E716" s="133"/>
    </row>
    <row r="717" spans="1:5" x14ac:dyDescent="0.2">
      <c r="A717" s="18"/>
      <c r="B717" s="17"/>
      <c r="E717" s="133"/>
    </row>
    <row r="718" spans="1:5" x14ac:dyDescent="0.2">
      <c r="A718" s="18"/>
      <c r="B718" s="17"/>
      <c r="E718" s="133"/>
    </row>
    <row r="719" spans="1:5" x14ac:dyDescent="0.2">
      <c r="A719" s="18"/>
      <c r="B719" s="17"/>
      <c r="E719" s="133"/>
    </row>
    <row r="720" spans="1:5" x14ac:dyDescent="0.2">
      <c r="A720" s="18"/>
      <c r="B720" s="17"/>
      <c r="E720" s="133"/>
    </row>
    <row r="721" spans="1:5" x14ac:dyDescent="0.2">
      <c r="A721" s="18"/>
      <c r="B721" s="17"/>
      <c r="E721" s="133"/>
    </row>
    <row r="722" spans="1:5" x14ac:dyDescent="0.2">
      <c r="A722" s="18"/>
      <c r="B722" s="17"/>
      <c r="E722" s="133"/>
    </row>
    <row r="723" spans="1:5" x14ac:dyDescent="0.2">
      <c r="A723" s="18"/>
      <c r="B723" s="17"/>
      <c r="E723" s="133"/>
    </row>
    <row r="724" spans="1:5" x14ac:dyDescent="0.2">
      <c r="A724" s="18"/>
      <c r="B724" s="17"/>
      <c r="E724" s="133"/>
    </row>
    <row r="725" spans="1:5" x14ac:dyDescent="0.2">
      <c r="A725" s="18"/>
      <c r="B725" s="17"/>
      <c r="E725" s="133"/>
    </row>
    <row r="726" spans="1:5" x14ac:dyDescent="0.2">
      <c r="A726" s="18"/>
      <c r="B726" s="17"/>
      <c r="E726" s="133"/>
    </row>
    <row r="727" spans="1:5" x14ac:dyDescent="0.2">
      <c r="A727" s="18"/>
      <c r="B727" s="17"/>
      <c r="E727" s="133"/>
    </row>
    <row r="728" spans="1:5" x14ac:dyDescent="0.2">
      <c r="A728" s="18"/>
      <c r="B728" s="17"/>
      <c r="E728" s="133"/>
    </row>
    <row r="729" spans="1:5" x14ac:dyDescent="0.2">
      <c r="A729" s="18"/>
      <c r="B729" s="17"/>
      <c r="E729" s="133"/>
    </row>
    <row r="730" spans="1:5" x14ac:dyDescent="0.2">
      <c r="A730" s="18"/>
      <c r="B730" s="17"/>
      <c r="E730" s="133"/>
    </row>
    <row r="731" spans="1:5" x14ac:dyDescent="0.2">
      <c r="A731" s="18"/>
      <c r="B731" s="17"/>
      <c r="E731" s="133"/>
    </row>
    <row r="732" spans="1:5" x14ac:dyDescent="0.2">
      <c r="A732" s="18"/>
      <c r="B732" s="17"/>
      <c r="E732" s="133"/>
    </row>
    <row r="733" spans="1:5" x14ac:dyDescent="0.2">
      <c r="A733" s="18"/>
      <c r="B733" s="17"/>
      <c r="E733" s="133"/>
    </row>
    <row r="734" spans="1:5" x14ac:dyDescent="0.2">
      <c r="A734" s="18"/>
      <c r="B734" s="17"/>
      <c r="E734" s="133"/>
    </row>
    <row r="735" spans="1:5" x14ac:dyDescent="0.2">
      <c r="A735" s="18"/>
      <c r="B735" s="17"/>
      <c r="E735" s="133"/>
    </row>
    <row r="736" spans="1:5" x14ac:dyDescent="0.2">
      <c r="A736" s="18"/>
      <c r="B736" s="17"/>
      <c r="E736" s="133"/>
    </row>
    <row r="737" spans="1:5" x14ac:dyDescent="0.2">
      <c r="A737" s="18"/>
      <c r="B737" s="17"/>
      <c r="E737" s="133"/>
    </row>
    <row r="738" spans="1:5" x14ac:dyDescent="0.2">
      <c r="A738" s="18"/>
      <c r="B738" s="17"/>
      <c r="E738" s="133"/>
    </row>
    <row r="739" spans="1:5" x14ac:dyDescent="0.2">
      <c r="A739" s="18"/>
      <c r="B739" s="17"/>
      <c r="E739" s="133"/>
    </row>
    <row r="740" spans="1:5" x14ac:dyDescent="0.2">
      <c r="A740" s="18"/>
      <c r="B740" s="17"/>
      <c r="E740" s="133"/>
    </row>
    <row r="741" spans="1:5" x14ac:dyDescent="0.2">
      <c r="A741" s="18"/>
      <c r="B741" s="17"/>
      <c r="E741" s="133"/>
    </row>
    <row r="742" spans="1:5" x14ac:dyDescent="0.2">
      <c r="A742" s="18"/>
      <c r="B742" s="17"/>
      <c r="E742" s="133"/>
    </row>
    <row r="743" spans="1:5" x14ac:dyDescent="0.2">
      <c r="A743" s="18"/>
      <c r="B743" s="17"/>
      <c r="E743" s="133"/>
    </row>
    <row r="744" spans="1:5" x14ac:dyDescent="0.2">
      <c r="A744" s="18"/>
      <c r="B744" s="17"/>
      <c r="E744" s="133"/>
    </row>
    <row r="745" spans="1:5" x14ac:dyDescent="0.2">
      <c r="A745" s="18"/>
      <c r="B745" s="17"/>
      <c r="E745" s="133"/>
    </row>
    <row r="746" spans="1:5" x14ac:dyDescent="0.2">
      <c r="A746" s="18"/>
      <c r="B746" s="17"/>
      <c r="E746" s="133"/>
    </row>
    <row r="747" spans="1:5" x14ac:dyDescent="0.2">
      <c r="A747" s="18"/>
      <c r="B747" s="17"/>
      <c r="E747" s="133"/>
    </row>
    <row r="748" spans="1:5" x14ac:dyDescent="0.2">
      <c r="A748" s="18"/>
      <c r="B748" s="17"/>
      <c r="E748" s="133"/>
    </row>
    <row r="749" spans="1:5" x14ac:dyDescent="0.2">
      <c r="A749" s="18"/>
      <c r="B749" s="17"/>
      <c r="E749" s="133"/>
    </row>
    <row r="750" spans="1:5" x14ac:dyDescent="0.2">
      <c r="A750" s="18"/>
      <c r="B750" s="17"/>
      <c r="E750" s="133"/>
    </row>
    <row r="751" spans="1:5" x14ac:dyDescent="0.2">
      <c r="A751" s="18"/>
      <c r="B751" s="17"/>
      <c r="E751" s="133"/>
    </row>
    <row r="752" spans="1:5" x14ac:dyDescent="0.2">
      <c r="A752" s="18"/>
      <c r="B752" s="17"/>
      <c r="E752" s="133"/>
    </row>
    <row r="753" spans="1:5" x14ac:dyDescent="0.2">
      <c r="A753" s="18"/>
      <c r="B753" s="17"/>
      <c r="E753" s="133"/>
    </row>
    <row r="754" spans="1:5" x14ac:dyDescent="0.2">
      <c r="A754" s="18"/>
      <c r="B754" s="17"/>
      <c r="E754" s="133"/>
    </row>
    <row r="755" spans="1:5" x14ac:dyDescent="0.2">
      <c r="A755" s="18"/>
      <c r="B755" s="17"/>
      <c r="E755" s="133"/>
    </row>
    <row r="756" spans="1:5" x14ac:dyDescent="0.2">
      <c r="A756" s="18"/>
      <c r="B756" s="17"/>
      <c r="E756" s="133"/>
    </row>
    <row r="757" spans="1:5" x14ac:dyDescent="0.2">
      <c r="A757" s="18"/>
      <c r="B757" s="17"/>
      <c r="E757" s="133"/>
    </row>
    <row r="758" spans="1:5" x14ac:dyDescent="0.2">
      <c r="A758" s="18"/>
      <c r="B758" s="17"/>
      <c r="E758" s="133"/>
    </row>
    <row r="759" spans="1:5" x14ac:dyDescent="0.2">
      <c r="A759" s="18"/>
      <c r="B759" s="17"/>
      <c r="E759" s="133"/>
    </row>
    <row r="760" spans="1:5" x14ac:dyDescent="0.2">
      <c r="A760" s="18"/>
      <c r="B760" s="17"/>
      <c r="E760" s="133"/>
    </row>
    <row r="761" spans="1:5" x14ac:dyDescent="0.2">
      <c r="A761" s="18"/>
      <c r="B761" s="17"/>
      <c r="E761" s="133"/>
    </row>
    <row r="762" spans="1:5" x14ac:dyDescent="0.2">
      <c r="A762" s="18"/>
      <c r="B762" s="17"/>
      <c r="E762" s="133"/>
    </row>
    <row r="763" spans="1:5" x14ac:dyDescent="0.2">
      <c r="A763" s="18"/>
      <c r="B763" s="17"/>
      <c r="E763" s="133"/>
    </row>
    <row r="764" spans="1:5" x14ac:dyDescent="0.2">
      <c r="A764" s="18"/>
      <c r="B764" s="17"/>
      <c r="E764" s="133"/>
    </row>
    <row r="765" spans="1:5" x14ac:dyDescent="0.2">
      <c r="A765" s="18"/>
      <c r="B765" s="17"/>
      <c r="E765" s="133"/>
    </row>
    <row r="766" spans="1:5" x14ac:dyDescent="0.2">
      <c r="A766" s="18"/>
      <c r="B766" s="17"/>
      <c r="E766" s="133"/>
    </row>
    <row r="767" spans="1:5" x14ac:dyDescent="0.2">
      <c r="A767" s="18"/>
      <c r="B767" s="17"/>
      <c r="E767" s="133"/>
    </row>
    <row r="768" spans="1:5" x14ac:dyDescent="0.2">
      <c r="A768" s="18"/>
      <c r="B768" s="17"/>
      <c r="E768" s="133"/>
    </row>
    <row r="769" spans="1:5" x14ac:dyDescent="0.2">
      <c r="A769" s="18"/>
      <c r="B769" s="17"/>
      <c r="E769" s="133"/>
    </row>
    <row r="770" spans="1:5" x14ac:dyDescent="0.2">
      <c r="A770" s="18"/>
      <c r="B770" s="17"/>
      <c r="E770" s="133"/>
    </row>
    <row r="771" spans="1:5" x14ac:dyDescent="0.2">
      <c r="A771" s="18"/>
      <c r="B771" s="17"/>
      <c r="E771" s="133"/>
    </row>
    <row r="772" spans="1:5" x14ac:dyDescent="0.2">
      <c r="A772" s="18"/>
      <c r="B772" s="17"/>
      <c r="E772" s="133"/>
    </row>
    <row r="773" spans="1:5" x14ac:dyDescent="0.2">
      <c r="A773" s="18"/>
      <c r="B773" s="17"/>
      <c r="E773" s="133"/>
    </row>
    <row r="774" spans="1:5" x14ac:dyDescent="0.2">
      <c r="A774" s="18"/>
      <c r="B774" s="17"/>
      <c r="E774" s="133"/>
    </row>
    <row r="775" spans="1:5" x14ac:dyDescent="0.2">
      <c r="A775" s="18"/>
      <c r="B775" s="17"/>
      <c r="E775" s="133"/>
    </row>
    <row r="776" spans="1:5" x14ac:dyDescent="0.2">
      <c r="A776" s="18"/>
      <c r="B776" s="17"/>
      <c r="E776" s="133"/>
    </row>
    <row r="777" spans="1:5" x14ac:dyDescent="0.2">
      <c r="A777" s="18"/>
      <c r="B777" s="17"/>
      <c r="E777" s="133"/>
    </row>
    <row r="778" spans="1:5" x14ac:dyDescent="0.2">
      <c r="A778" s="18"/>
      <c r="B778" s="17"/>
      <c r="E778" s="133"/>
    </row>
    <row r="779" spans="1:5" x14ac:dyDescent="0.2">
      <c r="A779" s="18"/>
      <c r="B779" s="17"/>
      <c r="E779" s="133"/>
    </row>
    <row r="780" spans="1:5" x14ac:dyDescent="0.2">
      <c r="A780" s="18"/>
      <c r="B780" s="17"/>
      <c r="E780" s="133"/>
    </row>
    <row r="781" spans="1:5" x14ac:dyDescent="0.2">
      <c r="A781" s="18"/>
      <c r="B781" s="17"/>
      <c r="E781" s="133"/>
    </row>
    <row r="782" spans="1:5" x14ac:dyDescent="0.2">
      <c r="A782" s="18"/>
      <c r="B782" s="17"/>
      <c r="E782" s="133"/>
    </row>
    <row r="783" spans="1:5" x14ac:dyDescent="0.2">
      <c r="A783" s="18"/>
      <c r="B783" s="17"/>
      <c r="E783" s="133"/>
    </row>
    <row r="784" spans="1:5" x14ac:dyDescent="0.2">
      <c r="A784" s="18"/>
      <c r="B784" s="17"/>
      <c r="E784" s="133"/>
    </row>
    <row r="785" spans="1:5" x14ac:dyDescent="0.2">
      <c r="A785" s="18"/>
      <c r="B785" s="17"/>
      <c r="E785" s="133"/>
    </row>
    <row r="786" spans="1:5" x14ac:dyDescent="0.2">
      <c r="A786" s="18"/>
      <c r="B786" s="17"/>
      <c r="E786" s="133"/>
    </row>
    <row r="787" spans="1:5" x14ac:dyDescent="0.2">
      <c r="A787" s="18"/>
      <c r="B787" s="17"/>
      <c r="E787" s="133"/>
    </row>
    <row r="788" spans="1:5" x14ac:dyDescent="0.2">
      <c r="A788" s="18"/>
      <c r="B788" s="17"/>
      <c r="E788" s="133"/>
    </row>
    <row r="789" spans="1:5" x14ac:dyDescent="0.2">
      <c r="A789" s="18"/>
      <c r="B789" s="17"/>
      <c r="E789" s="133"/>
    </row>
    <row r="790" spans="1:5" x14ac:dyDescent="0.2">
      <c r="A790" s="18"/>
      <c r="B790" s="17"/>
      <c r="E790" s="133"/>
    </row>
    <row r="791" spans="1:5" x14ac:dyDescent="0.2">
      <c r="A791" s="18"/>
      <c r="B791" s="17"/>
      <c r="E791" s="133"/>
    </row>
    <row r="792" spans="1:5" x14ac:dyDescent="0.2">
      <c r="A792" s="18"/>
      <c r="B792" s="17"/>
      <c r="E792" s="133"/>
    </row>
    <row r="793" spans="1:5" x14ac:dyDescent="0.2">
      <c r="A793" s="18"/>
      <c r="B793" s="17"/>
      <c r="E793" s="133"/>
    </row>
    <row r="794" spans="1:5" x14ac:dyDescent="0.2">
      <c r="A794" s="18"/>
      <c r="B794" s="17"/>
      <c r="E794" s="133"/>
    </row>
    <row r="795" spans="1:5" x14ac:dyDescent="0.2">
      <c r="A795" s="18"/>
      <c r="B795" s="17"/>
      <c r="E795" s="133"/>
    </row>
    <row r="796" spans="1:5" x14ac:dyDescent="0.2">
      <c r="A796" s="18"/>
      <c r="B796" s="17"/>
      <c r="E796" s="133"/>
    </row>
    <row r="797" spans="1:5" x14ac:dyDescent="0.2">
      <c r="A797" s="18"/>
      <c r="B797" s="17"/>
      <c r="E797" s="133"/>
    </row>
    <row r="798" spans="1:5" x14ac:dyDescent="0.2">
      <c r="A798" s="18"/>
      <c r="B798" s="17"/>
      <c r="E798" s="133"/>
    </row>
    <row r="799" spans="1:5" x14ac:dyDescent="0.2">
      <c r="A799" s="18"/>
      <c r="B799" s="17"/>
      <c r="E799" s="133"/>
    </row>
    <row r="800" spans="1:5" x14ac:dyDescent="0.2">
      <c r="A800" s="18"/>
      <c r="B800" s="17"/>
      <c r="E800" s="133"/>
    </row>
    <row r="801" spans="1:5" x14ac:dyDescent="0.2">
      <c r="A801" s="18"/>
      <c r="B801" s="17"/>
      <c r="E801" s="133"/>
    </row>
    <row r="802" spans="1:5" x14ac:dyDescent="0.2">
      <c r="A802" s="18"/>
      <c r="B802" s="17"/>
      <c r="E802" s="133"/>
    </row>
    <row r="803" spans="1:5" x14ac:dyDescent="0.2">
      <c r="A803" s="18"/>
      <c r="B803" s="17"/>
      <c r="E803" s="133"/>
    </row>
    <row r="804" spans="1:5" x14ac:dyDescent="0.2">
      <c r="A804" s="18"/>
      <c r="B804" s="17"/>
      <c r="E804" s="133"/>
    </row>
    <row r="805" spans="1:5" x14ac:dyDescent="0.2">
      <c r="A805" s="18"/>
      <c r="B805" s="17"/>
      <c r="E805" s="133"/>
    </row>
    <row r="806" spans="1:5" x14ac:dyDescent="0.2">
      <c r="A806" s="18"/>
      <c r="B806" s="17"/>
      <c r="E806" s="133"/>
    </row>
    <row r="807" spans="1:5" x14ac:dyDescent="0.2">
      <c r="A807" s="18"/>
      <c r="B807" s="17"/>
      <c r="E807" s="133"/>
    </row>
    <row r="808" spans="1:5" x14ac:dyDescent="0.2">
      <c r="A808" s="18"/>
      <c r="B808" s="17"/>
      <c r="E808" s="133"/>
    </row>
    <row r="809" spans="1:5" x14ac:dyDescent="0.2">
      <c r="A809" s="18"/>
      <c r="B809" s="17"/>
      <c r="E809" s="133"/>
    </row>
    <row r="810" spans="1:5" x14ac:dyDescent="0.2">
      <c r="A810" s="18"/>
      <c r="B810" s="17"/>
      <c r="E810" s="133"/>
    </row>
    <row r="811" spans="1:5" x14ac:dyDescent="0.2">
      <c r="A811" s="18"/>
      <c r="B811" s="17"/>
      <c r="E811" s="133"/>
    </row>
    <row r="812" spans="1:5" x14ac:dyDescent="0.2">
      <c r="A812" s="18"/>
      <c r="B812" s="17"/>
      <c r="E812" s="133"/>
    </row>
    <row r="813" spans="1:5" x14ac:dyDescent="0.2">
      <c r="A813" s="18"/>
      <c r="B813" s="17"/>
      <c r="E813" s="133"/>
    </row>
    <row r="814" spans="1:5" x14ac:dyDescent="0.2">
      <c r="A814" s="18"/>
      <c r="B814" s="17"/>
      <c r="E814" s="133"/>
    </row>
    <row r="815" spans="1:5" x14ac:dyDescent="0.2">
      <c r="A815" s="18"/>
      <c r="B815" s="17"/>
      <c r="E815" s="133"/>
    </row>
    <row r="816" spans="1:5" x14ac:dyDescent="0.2">
      <c r="A816" s="18"/>
      <c r="B816" s="17"/>
      <c r="E816" s="133"/>
    </row>
    <row r="817" spans="1:5" x14ac:dyDescent="0.2">
      <c r="A817" s="18"/>
      <c r="B817" s="17"/>
      <c r="E817" s="133"/>
    </row>
    <row r="818" spans="1:5" x14ac:dyDescent="0.2">
      <c r="A818" s="18"/>
      <c r="B818" s="17"/>
      <c r="E818" s="133"/>
    </row>
    <row r="819" spans="1:5" x14ac:dyDescent="0.2">
      <c r="A819" s="18"/>
      <c r="B819" s="17"/>
      <c r="E819" s="133"/>
    </row>
    <row r="820" spans="1:5" x14ac:dyDescent="0.2">
      <c r="A820" s="18"/>
      <c r="B820" s="17"/>
      <c r="E820" s="133"/>
    </row>
    <row r="821" spans="1:5" x14ac:dyDescent="0.2">
      <c r="A821" s="18"/>
      <c r="B821" s="17"/>
      <c r="E821" s="133"/>
    </row>
    <row r="822" spans="1:5" x14ac:dyDescent="0.2">
      <c r="A822" s="18"/>
      <c r="B822" s="17"/>
      <c r="E822" s="133"/>
    </row>
    <row r="823" spans="1:5" x14ac:dyDescent="0.2">
      <c r="A823" s="18"/>
      <c r="B823" s="17"/>
      <c r="E823" s="133"/>
    </row>
    <row r="824" spans="1:5" x14ac:dyDescent="0.2">
      <c r="A824" s="18"/>
      <c r="B824" s="17"/>
      <c r="E824" s="133"/>
    </row>
    <row r="825" spans="1:5" x14ac:dyDescent="0.2">
      <c r="A825" s="18"/>
      <c r="B825" s="17"/>
      <c r="E825" s="133"/>
    </row>
    <row r="826" spans="1:5" x14ac:dyDescent="0.2">
      <c r="A826" s="18"/>
      <c r="B826" s="17"/>
      <c r="E826" s="133"/>
    </row>
    <row r="827" spans="1:5" x14ac:dyDescent="0.2">
      <c r="A827" s="18"/>
      <c r="B827" s="17"/>
      <c r="E827" s="133"/>
    </row>
    <row r="828" spans="1:5" x14ac:dyDescent="0.2">
      <c r="A828" s="18"/>
      <c r="B828" s="17"/>
      <c r="E828" s="133"/>
    </row>
    <row r="829" spans="1:5" x14ac:dyDescent="0.2">
      <c r="A829" s="18"/>
      <c r="B829" s="17"/>
      <c r="E829" s="133"/>
    </row>
    <row r="830" spans="1:5" x14ac:dyDescent="0.2">
      <c r="A830" s="18"/>
      <c r="B830" s="17"/>
      <c r="E830" s="133"/>
    </row>
    <row r="831" spans="1:5" x14ac:dyDescent="0.2">
      <c r="A831" s="18"/>
      <c r="B831" s="17"/>
      <c r="E831" s="133"/>
    </row>
    <row r="832" spans="1:5" x14ac:dyDescent="0.2">
      <c r="A832" s="18"/>
      <c r="B832" s="17"/>
      <c r="E832" s="133"/>
    </row>
    <row r="833" spans="1:5" x14ac:dyDescent="0.2">
      <c r="A833" s="18"/>
      <c r="B833" s="17"/>
      <c r="E833" s="133"/>
    </row>
    <row r="834" spans="1:5" x14ac:dyDescent="0.2">
      <c r="A834" s="18"/>
      <c r="B834" s="17"/>
      <c r="E834" s="133"/>
    </row>
    <row r="835" spans="1:5" x14ac:dyDescent="0.2">
      <c r="A835" s="18"/>
      <c r="B835" s="17"/>
      <c r="E835" s="133"/>
    </row>
    <row r="836" spans="1:5" x14ac:dyDescent="0.2">
      <c r="A836" s="18"/>
      <c r="B836" s="17"/>
      <c r="E836" s="133"/>
    </row>
    <row r="837" spans="1:5" x14ac:dyDescent="0.2">
      <c r="A837" s="18"/>
      <c r="B837" s="17"/>
      <c r="E837" s="133"/>
    </row>
    <row r="838" spans="1:5" x14ac:dyDescent="0.2">
      <c r="A838" s="18"/>
      <c r="B838" s="17"/>
      <c r="E838" s="133"/>
    </row>
    <row r="839" spans="1:5" x14ac:dyDescent="0.2">
      <c r="A839" s="18"/>
      <c r="B839" s="17"/>
      <c r="E839" s="133"/>
    </row>
    <row r="840" spans="1:5" x14ac:dyDescent="0.2">
      <c r="A840" s="18"/>
      <c r="B840" s="17"/>
      <c r="E840" s="133"/>
    </row>
    <row r="841" spans="1:5" x14ac:dyDescent="0.2">
      <c r="A841" s="18"/>
      <c r="B841" s="17"/>
      <c r="E841" s="133"/>
    </row>
    <row r="842" spans="1:5" x14ac:dyDescent="0.2">
      <c r="A842" s="18"/>
      <c r="B842" s="17"/>
      <c r="E842" s="133"/>
    </row>
    <row r="843" spans="1:5" x14ac:dyDescent="0.2">
      <c r="A843" s="18"/>
      <c r="B843" s="17"/>
      <c r="E843" s="133"/>
    </row>
    <row r="844" spans="1:5" x14ac:dyDescent="0.2">
      <c r="A844" s="18"/>
      <c r="B844" s="17"/>
      <c r="E844" s="133"/>
    </row>
    <row r="845" spans="1:5" x14ac:dyDescent="0.2">
      <c r="A845" s="18"/>
      <c r="B845" s="17"/>
      <c r="E845" s="133"/>
    </row>
    <row r="846" spans="1:5" x14ac:dyDescent="0.2">
      <c r="A846" s="18"/>
      <c r="B846" s="17"/>
      <c r="E846" s="133"/>
    </row>
    <row r="847" spans="1:5" x14ac:dyDescent="0.2">
      <c r="A847" s="18"/>
      <c r="B847" s="17"/>
      <c r="E847" s="133"/>
    </row>
    <row r="848" spans="1:5" x14ac:dyDescent="0.2">
      <c r="A848" s="18"/>
      <c r="B848" s="17"/>
      <c r="E848" s="133"/>
    </row>
    <row r="849" spans="1:5" x14ac:dyDescent="0.2">
      <c r="A849" s="18"/>
      <c r="B849" s="17"/>
      <c r="E849" s="133"/>
    </row>
    <row r="850" spans="1:5" x14ac:dyDescent="0.2">
      <c r="A850" s="18"/>
      <c r="B850" s="17"/>
      <c r="E850" s="133"/>
    </row>
    <row r="851" spans="1:5" x14ac:dyDescent="0.2">
      <c r="A851" s="18"/>
      <c r="B851" s="17"/>
      <c r="E851" s="133"/>
    </row>
    <row r="852" spans="1:5" x14ac:dyDescent="0.2">
      <c r="A852" s="18"/>
      <c r="B852" s="17"/>
      <c r="E852" s="133"/>
    </row>
    <row r="853" spans="1:5" x14ac:dyDescent="0.2">
      <c r="A853" s="18"/>
      <c r="B853" s="17"/>
      <c r="E853" s="133"/>
    </row>
    <row r="854" spans="1:5" x14ac:dyDescent="0.2">
      <c r="A854" s="18"/>
      <c r="B854" s="17"/>
      <c r="E854" s="133"/>
    </row>
    <row r="855" spans="1:5" x14ac:dyDescent="0.2">
      <c r="A855" s="18"/>
      <c r="B855" s="17"/>
      <c r="E855" s="133"/>
    </row>
    <row r="856" spans="1:5" x14ac:dyDescent="0.2">
      <c r="A856" s="18"/>
      <c r="B856" s="17"/>
      <c r="E856" s="133"/>
    </row>
    <row r="857" spans="1:5" x14ac:dyDescent="0.2">
      <c r="A857" s="18"/>
      <c r="B857" s="17"/>
      <c r="E857" s="133"/>
    </row>
    <row r="858" spans="1:5" x14ac:dyDescent="0.2">
      <c r="A858" s="18"/>
      <c r="B858" s="17"/>
      <c r="E858" s="133"/>
    </row>
    <row r="859" spans="1:5" x14ac:dyDescent="0.2">
      <c r="A859" s="18"/>
      <c r="B859" s="17"/>
      <c r="E859" s="133"/>
    </row>
    <row r="860" spans="1:5" x14ac:dyDescent="0.2">
      <c r="A860" s="18"/>
      <c r="B860" s="17"/>
      <c r="E860" s="133"/>
    </row>
    <row r="861" spans="1:5" x14ac:dyDescent="0.2">
      <c r="A861" s="18"/>
      <c r="B861" s="17"/>
      <c r="E861" s="133"/>
    </row>
    <row r="862" spans="1:5" x14ac:dyDescent="0.2">
      <c r="A862" s="18"/>
      <c r="B862" s="17"/>
      <c r="E862" s="133"/>
    </row>
    <row r="863" spans="1:5" x14ac:dyDescent="0.2">
      <c r="A863" s="18"/>
      <c r="B863" s="17"/>
      <c r="E863" s="133"/>
    </row>
    <row r="864" spans="1:5" x14ac:dyDescent="0.2">
      <c r="A864" s="18"/>
      <c r="B864" s="17"/>
      <c r="E864" s="133"/>
    </row>
    <row r="865" spans="1:5" x14ac:dyDescent="0.2">
      <c r="A865" s="18"/>
      <c r="B865" s="17"/>
      <c r="E865" s="133"/>
    </row>
    <row r="866" spans="1:5" x14ac:dyDescent="0.2">
      <c r="A866" s="18"/>
      <c r="B866" s="17"/>
      <c r="E866" s="133"/>
    </row>
    <row r="867" spans="1:5" x14ac:dyDescent="0.2">
      <c r="A867" s="18"/>
      <c r="B867" s="17"/>
      <c r="E867" s="133"/>
    </row>
    <row r="868" spans="1:5" x14ac:dyDescent="0.2">
      <c r="A868" s="18"/>
      <c r="B868" s="17"/>
      <c r="E868" s="133"/>
    </row>
    <row r="869" spans="1:5" x14ac:dyDescent="0.2">
      <c r="A869" s="18"/>
      <c r="B869" s="17"/>
      <c r="E869" s="133"/>
    </row>
    <row r="870" spans="1:5" x14ac:dyDescent="0.2">
      <c r="A870" s="18"/>
      <c r="B870" s="17"/>
      <c r="E870" s="133"/>
    </row>
    <row r="871" spans="1:5" x14ac:dyDescent="0.2">
      <c r="A871" s="18"/>
      <c r="B871" s="17"/>
      <c r="E871" s="133"/>
    </row>
    <row r="872" spans="1:5" x14ac:dyDescent="0.2">
      <c r="A872" s="18"/>
      <c r="B872" s="17"/>
      <c r="E872" s="133"/>
    </row>
    <row r="873" spans="1:5" x14ac:dyDescent="0.2">
      <c r="A873" s="18"/>
      <c r="B873" s="17"/>
      <c r="E873" s="133"/>
    </row>
    <row r="874" spans="1:5" x14ac:dyDescent="0.2">
      <c r="A874" s="18"/>
      <c r="B874" s="17"/>
      <c r="E874" s="133"/>
    </row>
    <row r="875" spans="1:5" x14ac:dyDescent="0.2">
      <c r="A875" s="18"/>
      <c r="B875" s="17"/>
      <c r="E875" s="133"/>
    </row>
    <row r="876" spans="1:5" x14ac:dyDescent="0.2">
      <c r="A876" s="18"/>
      <c r="B876" s="17"/>
      <c r="E876" s="133"/>
    </row>
    <row r="877" spans="1:5" x14ac:dyDescent="0.2">
      <c r="A877" s="18"/>
      <c r="B877" s="17"/>
      <c r="E877" s="133"/>
    </row>
    <row r="878" spans="1:5" x14ac:dyDescent="0.2">
      <c r="A878" s="18"/>
      <c r="B878" s="17"/>
      <c r="E878" s="133"/>
    </row>
    <row r="879" spans="1:5" x14ac:dyDescent="0.2">
      <c r="A879" s="18"/>
      <c r="B879" s="17"/>
      <c r="E879" s="133"/>
    </row>
    <row r="880" spans="1:5" x14ac:dyDescent="0.2">
      <c r="A880" s="18"/>
      <c r="B880" s="17"/>
      <c r="E880" s="133"/>
    </row>
    <row r="881" spans="1:5" x14ac:dyDescent="0.2">
      <c r="A881" s="18"/>
      <c r="B881" s="17"/>
      <c r="E881" s="133"/>
    </row>
    <row r="882" spans="1:5" x14ac:dyDescent="0.2">
      <c r="A882" s="18"/>
      <c r="B882" s="17"/>
      <c r="E882" s="133"/>
    </row>
    <row r="883" spans="1:5" x14ac:dyDescent="0.2">
      <c r="A883" s="18"/>
      <c r="B883" s="17"/>
      <c r="E883" s="133"/>
    </row>
    <row r="884" spans="1:5" x14ac:dyDescent="0.2">
      <c r="A884" s="18"/>
      <c r="B884" s="17"/>
      <c r="E884" s="133"/>
    </row>
    <row r="885" spans="1:5" x14ac:dyDescent="0.2">
      <c r="A885" s="18"/>
      <c r="B885" s="17"/>
      <c r="E885" s="133"/>
    </row>
    <row r="886" spans="1:5" x14ac:dyDescent="0.2">
      <c r="A886" s="18"/>
      <c r="B886" s="17"/>
      <c r="E886" s="133"/>
    </row>
    <row r="887" spans="1:5" x14ac:dyDescent="0.2">
      <c r="A887" s="18"/>
      <c r="B887" s="17"/>
      <c r="E887" s="133"/>
    </row>
    <row r="888" spans="1:5" x14ac:dyDescent="0.2">
      <c r="A888" s="18"/>
      <c r="B888" s="17"/>
      <c r="E888" s="133"/>
    </row>
    <row r="889" spans="1:5" x14ac:dyDescent="0.2">
      <c r="A889" s="18"/>
      <c r="B889" s="17"/>
      <c r="E889" s="133"/>
    </row>
    <row r="890" spans="1:5" x14ac:dyDescent="0.2">
      <c r="A890" s="18"/>
      <c r="B890" s="17"/>
      <c r="E890" s="133"/>
    </row>
    <row r="891" spans="1:5" x14ac:dyDescent="0.2">
      <c r="A891" s="18"/>
      <c r="B891" s="17"/>
      <c r="E891" s="133"/>
    </row>
    <row r="892" spans="1:5" x14ac:dyDescent="0.2">
      <c r="A892" s="18"/>
      <c r="B892" s="17"/>
      <c r="E892" s="133"/>
    </row>
    <row r="893" spans="1:5" x14ac:dyDescent="0.2">
      <c r="A893" s="18"/>
      <c r="B893" s="17"/>
      <c r="E893" s="133"/>
    </row>
    <row r="894" spans="1:5" x14ac:dyDescent="0.2">
      <c r="A894" s="18"/>
      <c r="B894" s="17"/>
      <c r="E894" s="133"/>
    </row>
    <row r="895" spans="1:5" x14ac:dyDescent="0.2">
      <c r="A895" s="18"/>
      <c r="B895" s="17"/>
      <c r="E895" s="133"/>
    </row>
    <row r="896" spans="1:5" x14ac:dyDescent="0.2">
      <c r="A896" s="18"/>
      <c r="B896" s="17"/>
      <c r="E896" s="133"/>
    </row>
    <row r="897" spans="1:5" x14ac:dyDescent="0.2">
      <c r="A897" s="18"/>
      <c r="B897" s="17"/>
      <c r="E897" s="133"/>
    </row>
    <row r="898" spans="1:5" x14ac:dyDescent="0.2">
      <c r="A898" s="18"/>
      <c r="B898" s="17"/>
      <c r="E898" s="133"/>
    </row>
    <row r="899" spans="1:5" x14ac:dyDescent="0.2">
      <c r="A899" s="18"/>
      <c r="B899" s="17"/>
      <c r="E899" s="133"/>
    </row>
    <row r="900" spans="1:5" x14ac:dyDescent="0.2">
      <c r="A900" s="18"/>
      <c r="B900" s="17"/>
      <c r="E900" s="133"/>
    </row>
    <row r="901" spans="1:5" x14ac:dyDescent="0.2">
      <c r="A901" s="18"/>
      <c r="B901" s="17"/>
      <c r="E901" s="133"/>
    </row>
    <row r="902" spans="1:5" x14ac:dyDescent="0.2">
      <c r="A902" s="18"/>
      <c r="B902" s="17"/>
      <c r="E902" s="133"/>
    </row>
    <row r="903" spans="1:5" x14ac:dyDescent="0.2">
      <c r="A903" s="18"/>
      <c r="B903" s="17"/>
      <c r="E903" s="133"/>
    </row>
    <row r="904" spans="1:5" x14ac:dyDescent="0.2">
      <c r="A904" s="18"/>
      <c r="B904" s="17"/>
      <c r="E904" s="133"/>
    </row>
    <row r="905" spans="1:5" x14ac:dyDescent="0.2">
      <c r="A905" s="18"/>
      <c r="B905" s="17"/>
      <c r="E905" s="133"/>
    </row>
    <row r="906" spans="1:5" x14ac:dyDescent="0.2">
      <c r="A906" s="18"/>
      <c r="B906" s="17"/>
      <c r="E906" s="133"/>
    </row>
    <row r="907" spans="1:5" x14ac:dyDescent="0.2">
      <c r="A907" s="18"/>
      <c r="B907" s="17"/>
      <c r="E907" s="133"/>
    </row>
    <row r="908" spans="1:5" x14ac:dyDescent="0.2">
      <c r="A908" s="18"/>
      <c r="B908" s="17"/>
      <c r="E908" s="133"/>
    </row>
    <row r="909" spans="1:5" x14ac:dyDescent="0.2">
      <c r="A909" s="18"/>
      <c r="B909" s="17"/>
      <c r="E909" s="133"/>
    </row>
    <row r="910" spans="1:5" x14ac:dyDescent="0.2">
      <c r="A910" s="18"/>
      <c r="B910" s="17"/>
      <c r="E910" s="133"/>
    </row>
    <row r="911" spans="1:5" x14ac:dyDescent="0.2">
      <c r="A911" s="18"/>
      <c r="B911" s="17"/>
      <c r="E911" s="133"/>
    </row>
    <row r="912" spans="1:5" x14ac:dyDescent="0.2">
      <c r="A912" s="18"/>
      <c r="B912" s="17"/>
      <c r="E912" s="133"/>
    </row>
    <row r="913" spans="1:5" x14ac:dyDescent="0.2">
      <c r="A913" s="18"/>
      <c r="B913" s="17"/>
      <c r="E913" s="133"/>
    </row>
    <row r="914" spans="1:5" x14ac:dyDescent="0.2">
      <c r="A914" s="18"/>
      <c r="B914" s="17"/>
      <c r="E914" s="133"/>
    </row>
    <row r="915" spans="1:5" x14ac:dyDescent="0.2">
      <c r="A915" s="18"/>
      <c r="B915" s="17"/>
      <c r="E915" s="133"/>
    </row>
    <row r="916" spans="1:5" x14ac:dyDescent="0.2">
      <c r="A916" s="18"/>
      <c r="B916" s="17"/>
      <c r="E916" s="133"/>
    </row>
    <row r="917" spans="1:5" x14ac:dyDescent="0.2">
      <c r="A917" s="18"/>
      <c r="B917" s="17"/>
      <c r="E917" s="133"/>
    </row>
    <row r="918" spans="1:5" x14ac:dyDescent="0.2">
      <c r="A918" s="18"/>
      <c r="B918" s="17"/>
      <c r="E918" s="133"/>
    </row>
    <row r="919" spans="1:5" x14ac:dyDescent="0.2">
      <c r="A919" s="18"/>
      <c r="B919" s="17"/>
      <c r="E919" s="133"/>
    </row>
    <row r="920" spans="1:5" x14ac:dyDescent="0.2">
      <c r="A920" s="18"/>
      <c r="B920" s="17"/>
      <c r="E920" s="133"/>
    </row>
    <row r="921" spans="1:5" x14ac:dyDescent="0.2">
      <c r="A921" s="18"/>
      <c r="B921" s="17"/>
      <c r="E921" s="133"/>
    </row>
    <row r="922" spans="1:5" x14ac:dyDescent="0.2">
      <c r="A922" s="18"/>
      <c r="B922" s="17"/>
      <c r="E922" s="133"/>
    </row>
    <row r="923" spans="1:5" x14ac:dyDescent="0.2">
      <c r="A923" s="18"/>
      <c r="B923" s="17"/>
      <c r="E923" s="133"/>
    </row>
    <row r="924" spans="1:5" x14ac:dyDescent="0.2">
      <c r="A924" s="18"/>
      <c r="B924" s="17"/>
      <c r="E924" s="133"/>
    </row>
    <row r="925" spans="1:5" x14ac:dyDescent="0.2">
      <c r="A925" s="18"/>
      <c r="B925" s="17"/>
      <c r="E925" s="133"/>
    </row>
    <row r="926" spans="1:5" x14ac:dyDescent="0.2">
      <c r="A926" s="18"/>
      <c r="B926" s="17"/>
      <c r="E926" s="133"/>
    </row>
    <row r="927" spans="1:5" x14ac:dyDescent="0.2">
      <c r="A927" s="18"/>
      <c r="B927" s="17"/>
      <c r="E927" s="133"/>
    </row>
    <row r="928" spans="1:5" x14ac:dyDescent="0.2">
      <c r="A928" s="18"/>
      <c r="B928" s="17"/>
      <c r="E928" s="133"/>
    </row>
    <row r="929" spans="1:5" x14ac:dyDescent="0.2">
      <c r="A929" s="18"/>
      <c r="B929" s="17"/>
      <c r="E929" s="133"/>
    </row>
    <row r="930" spans="1:5" x14ac:dyDescent="0.2">
      <c r="A930" s="18"/>
      <c r="B930" s="17"/>
      <c r="E930" s="133"/>
    </row>
    <row r="931" spans="1:5" x14ac:dyDescent="0.2">
      <c r="A931" s="18"/>
      <c r="B931" s="17"/>
      <c r="E931" s="133"/>
    </row>
    <row r="932" spans="1:5" x14ac:dyDescent="0.2">
      <c r="A932" s="18"/>
      <c r="B932" s="17"/>
      <c r="E932" s="133"/>
    </row>
    <row r="933" spans="1:5" x14ac:dyDescent="0.2">
      <c r="A933" s="18"/>
      <c r="B933" s="17"/>
      <c r="E933" s="133"/>
    </row>
    <row r="934" spans="1:5" x14ac:dyDescent="0.2">
      <c r="A934" s="18"/>
      <c r="B934" s="17"/>
      <c r="E934" s="133"/>
    </row>
    <row r="935" spans="1:5" x14ac:dyDescent="0.2">
      <c r="A935" s="18"/>
      <c r="B935" s="17"/>
      <c r="E935" s="133"/>
    </row>
    <row r="936" spans="1:5" x14ac:dyDescent="0.2">
      <c r="A936" s="18"/>
      <c r="B936" s="17"/>
      <c r="E936" s="133"/>
    </row>
    <row r="937" spans="1:5" x14ac:dyDescent="0.2">
      <c r="A937" s="18"/>
      <c r="B937" s="17"/>
      <c r="E937" s="133"/>
    </row>
    <row r="938" spans="1:5" x14ac:dyDescent="0.2">
      <c r="A938" s="18"/>
      <c r="B938" s="17"/>
      <c r="E938" s="133"/>
    </row>
    <row r="939" spans="1:5" x14ac:dyDescent="0.2">
      <c r="A939" s="18"/>
      <c r="B939" s="17"/>
      <c r="E939" s="133"/>
    </row>
    <row r="940" spans="1:5" x14ac:dyDescent="0.2">
      <c r="A940" s="18"/>
      <c r="B940" s="17"/>
      <c r="E940" s="133"/>
    </row>
    <row r="941" spans="1:5" x14ac:dyDescent="0.2">
      <c r="A941" s="18"/>
      <c r="B941" s="17"/>
      <c r="E941" s="133"/>
    </row>
    <row r="942" spans="1:5" x14ac:dyDescent="0.2">
      <c r="A942" s="18"/>
      <c r="B942" s="17"/>
      <c r="E942" s="133"/>
    </row>
    <row r="943" spans="1:5" x14ac:dyDescent="0.2">
      <c r="A943" s="18"/>
      <c r="B943" s="17"/>
      <c r="E943" s="133"/>
    </row>
    <row r="944" spans="1:5" x14ac:dyDescent="0.2">
      <c r="A944" s="18"/>
      <c r="B944" s="17"/>
      <c r="E944" s="133"/>
    </row>
    <row r="945" spans="1:5" x14ac:dyDescent="0.2">
      <c r="A945" s="18"/>
      <c r="B945" s="17"/>
      <c r="E945" s="133"/>
    </row>
    <row r="946" spans="1:5" x14ac:dyDescent="0.2">
      <c r="A946" s="18"/>
      <c r="B946" s="17"/>
      <c r="E946" s="133"/>
    </row>
    <row r="947" spans="1:5" x14ac:dyDescent="0.2">
      <c r="A947" s="18"/>
      <c r="B947" s="17"/>
      <c r="E947" s="133"/>
    </row>
    <row r="948" spans="1:5" x14ac:dyDescent="0.2">
      <c r="A948" s="18"/>
      <c r="B948" s="17"/>
      <c r="E948" s="133"/>
    </row>
    <row r="949" spans="1:5" x14ac:dyDescent="0.2">
      <c r="A949" s="18"/>
      <c r="B949" s="17"/>
      <c r="E949" s="133"/>
    </row>
    <row r="950" spans="1:5" x14ac:dyDescent="0.2">
      <c r="A950" s="18"/>
      <c r="B950" s="17"/>
      <c r="E950" s="133"/>
    </row>
    <row r="951" spans="1:5" x14ac:dyDescent="0.2">
      <c r="A951" s="18"/>
      <c r="B951" s="17"/>
      <c r="E951" s="133"/>
    </row>
    <row r="952" spans="1:5" x14ac:dyDescent="0.2">
      <c r="A952" s="18"/>
      <c r="B952" s="17"/>
      <c r="E952" s="133"/>
    </row>
    <row r="953" spans="1:5" x14ac:dyDescent="0.2">
      <c r="A953" s="18"/>
      <c r="B953" s="17"/>
      <c r="E953" s="133"/>
    </row>
    <row r="954" spans="1:5" x14ac:dyDescent="0.2">
      <c r="A954" s="18"/>
      <c r="B954" s="17"/>
      <c r="E954" s="133"/>
    </row>
    <row r="955" spans="1:5" x14ac:dyDescent="0.2">
      <c r="A955" s="18"/>
      <c r="B955" s="17"/>
      <c r="E955" s="133"/>
    </row>
    <row r="956" spans="1:5" x14ac:dyDescent="0.2">
      <c r="A956" s="18"/>
      <c r="B956" s="17"/>
      <c r="E956" s="133"/>
    </row>
    <row r="957" spans="1:5" x14ac:dyDescent="0.2">
      <c r="A957" s="18"/>
      <c r="B957" s="17"/>
      <c r="E957" s="133"/>
    </row>
    <row r="958" spans="1:5" x14ac:dyDescent="0.2">
      <c r="A958" s="18"/>
      <c r="B958" s="17"/>
      <c r="E958" s="133"/>
    </row>
    <row r="959" spans="1:5" x14ac:dyDescent="0.2">
      <c r="A959" s="18"/>
      <c r="B959" s="17"/>
      <c r="E959" s="133"/>
    </row>
    <row r="960" spans="1:5" x14ac:dyDescent="0.2">
      <c r="A960" s="18"/>
      <c r="B960" s="17"/>
      <c r="E960" s="133"/>
    </row>
    <row r="961" spans="1:5" x14ac:dyDescent="0.2">
      <c r="A961" s="18"/>
      <c r="B961" s="17"/>
      <c r="E961" s="133"/>
    </row>
    <row r="962" spans="1:5" x14ac:dyDescent="0.2">
      <c r="A962" s="18"/>
      <c r="B962" s="17"/>
      <c r="E962" s="133"/>
    </row>
    <row r="963" spans="1:5" x14ac:dyDescent="0.2">
      <c r="A963" s="18"/>
      <c r="B963" s="17"/>
      <c r="E963" s="133"/>
    </row>
    <row r="964" spans="1:5" x14ac:dyDescent="0.2">
      <c r="A964" s="18"/>
      <c r="B964" s="17"/>
      <c r="E964" s="133"/>
    </row>
    <row r="965" spans="1:5" x14ac:dyDescent="0.2">
      <c r="A965" s="18"/>
      <c r="B965" s="17"/>
      <c r="E965" s="133"/>
    </row>
    <row r="966" spans="1:5" x14ac:dyDescent="0.2">
      <c r="A966" s="18"/>
      <c r="B966" s="17"/>
      <c r="E966" s="133"/>
    </row>
    <row r="967" spans="1:5" x14ac:dyDescent="0.2">
      <c r="A967" s="18"/>
      <c r="B967" s="17"/>
      <c r="E967" s="133"/>
    </row>
    <row r="968" spans="1:5" x14ac:dyDescent="0.2">
      <c r="A968" s="18"/>
      <c r="B968" s="17"/>
      <c r="E968" s="133"/>
    </row>
    <row r="969" spans="1:5" x14ac:dyDescent="0.2">
      <c r="A969" s="18"/>
      <c r="B969" s="17"/>
      <c r="E969" s="133"/>
    </row>
    <row r="970" spans="1:5" x14ac:dyDescent="0.2">
      <c r="A970" s="18"/>
      <c r="B970" s="17"/>
      <c r="E970" s="133"/>
    </row>
    <row r="971" spans="1:5" x14ac:dyDescent="0.2">
      <c r="A971" s="18"/>
      <c r="B971" s="17"/>
      <c r="E971" s="133"/>
    </row>
    <row r="972" spans="1:5" x14ac:dyDescent="0.2">
      <c r="A972" s="18"/>
      <c r="B972" s="17"/>
      <c r="E972" s="133"/>
    </row>
    <row r="973" spans="1:5" x14ac:dyDescent="0.2">
      <c r="A973" s="18"/>
      <c r="B973" s="17"/>
      <c r="E973" s="133"/>
    </row>
    <row r="974" spans="1:5" x14ac:dyDescent="0.2">
      <c r="A974" s="18"/>
      <c r="B974" s="17"/>
      <c r="E974" s="133"/>
    </row>
    <row r="975" spans="1:5" x14ac:dyDescent="0.2">
      <c r="A975" s="18"/>
      <c r="B975" s="17"/>
      <c r="E975" s="133"/>
    </row>
    <row r="976" spans="1:5" x14ac:dyDescent="0.2">
      <c r="A976" s="18"/>
      <c r="B976" s="17"/>
      <c r="E976" s="133"/>
    </row>
    <row r="977" spans="1:5" x14ac:dyDescent="0.2">
      <c r="A977" s="18"/>
      <c r="B977" s="17"/>
      <c r="E977" s="133"/>
    </row>
    <row r="978" spans="1:5" x14ac:dyDescent="0.2">
      <c r="A978" s="18"/>
      <c r="B978" s="17"/>
      <c r="E978" s="133"/>
    </row>
    <row r="979" spans="1:5" x14ac:dyDescent="0.2">
      <c r="A979" s="18"/>
      <c r="B979" s="17"/>
      <c r="E979" s="133"/>
    </row>
    <row r="980" spans="1:5" x14ac:dyDescent="0.2">
      <c r="A980" s="18"/>
      <c r="B980" s="17"/>
      <c r="E980" s="133"/>
    </row>
    <row r="981" spans="1:5" x14ac:dyDescent="0.2">
      <c r="A981" s="18"/>
      <c r="B981" s="17"/>
      <c r="E981" s="133"/>
    </row>
    <row r="982" spans="1:5" x14ac:dyDescent="0.2">
      <c r="A982" s="18"/>
      <c r="B982" s="17"/>
      <c r="E982" s="133"/>
    </row>
    <row r="983" spans="1:5" x14ac:dyDescent="0.2">
      <c r="A983" s="18"/>
      <c r="B983" s="17"/>
      <c r="E983" s="133"/>
    </row>
    <row r="984" spans="1:5" x14ac:dyDescent="0.2">
      <c r="A984" s="18"/>
      <c r="B984" s="17"/>
      <c r="E984" s="133"/>
    </row>
    <row r="985" spans="1:5" x14ac:dyDescent="0.2">
      <c r="A985" s="18"/>
      <c r="B985" s="17"/>
      <c r="E985" s="133"/>
    </row>
    <row r="986" spans="1:5" x14ac:dyDescent="0.2">
      <c r="A986" s="18"/>
      <c r="B986" s="17"/>
      <c r="E986" s="133"/>
    </row>
    <row r="987" spans="1:5" x14ac:dyDescent="0.2">
      <c r="A987" s="18"/>
      <c r="B987" s="17"/>
      <c r="E987" s="133"/>
    </row>
    <row r="988" spans="1:5" x14ac:dyDescent="0.2">
      <c r="A988" s="18"/>
      <c r="B988" s="17"/>
      <c r="E988" s="133"/>
    </row>
    <row r="989" spans="1:5" x14ac:dyDescent="0.2">
      <c r="A989" s="18"/>
      <c r="B989" s="17"/>
      <c r="E989" s="133"/>
    </row>
    <row r="990" spans="1:5" x14ac:dyDescent="0.2">
      <c r="A990" s="18"/>
      <c r="B990" s="17"/>
      <c r="E990" s="133"/>
    </row>
    <row r="991" spans="1:5" x14ac:dyDescent="0.2">
      <c r="A991" s="18"/>
      <c r="B991" s="17"/>
      <c r="E991" s="133"/>
    </row>
    <row r="992" spans="1:5" x14ac:dyDescent="0.2">
      <c r="A992" s="18"/>
      <c r="B992" s="17"/>
      <c r="E992" s="133"/>
    </row>
    <row r="993" spans="1:5" x14ac:dyDescent="0.2">
      <c r="A993" s="18"/>
      <c r="B993" s="17"/>
      <c r="E993" s="133"/>
    </row>
    <row r="994" spans="1:5" x14ac:dyDescent="0.2">
      <c r="A994" s="18"/>
      <c r="B994" s="17"/>
      <c r="E994" s="133"/>
    </row>
    <row r="995" spans="1:5" x14ac:dyDescent="0.2">
      <c r="A995" s="18"/>
      <c r="B995" s="17"/>
      <c r="E995" s="133"/>
    </row>
    <row r="996" spans="1:5" x14ac:dyDescent="0.2">
      <c r="A996" s="18"/>
      <c r="B996" s="17"/>
      <c r="E996" s="133"/>
    </row>
    <row r="997" spans="1:5" x14ac:dyDescent="0.2">
      <c r="A997" s="18"/>
      <c r="B997" s="17"/>
      <c r="E997" s="133"/>
    </row>
    <row r="998" spans="1:5" x14ac:dyDescent="0.2">
      <c r="A998" s="18"/>
      <c r="B998" s="17"/>
      <c r="E998" s="133"/>
    </row>
    <row r="999" spans="1:5" x14ac:dyDescent="0.2">
      <c r="A999" s="18"/>
      <c r="B999" s="17"/>
      <c r="E999" s="133"/>
    </row>
    <row r="1000" spans="1:5" x14ac:dyDescent="0.2">
      <c r="A1000" s="18"/>
      <c r="B1000" s="17"/>
      <c r="E1000" s="133"/>
    </row>
    <row r="1001" spans="1:5" x14ac:dyDescent="0.2">
      <c r="A1001" s="18"/>
      <c r="B1001" s="17"/>
      <c r="E1001" s="133"/>
    </row>
    <row r="1002" spans="1:5" x14ac:dyDescent="0.2">
      <c r="A1002" s="18"/>
      <c r="B1002" s="17"/>
      <c r="E1002" s="133"/>
    </row>
    <row r="1003" spans="1:5" x14ac:dyDescent="0.2">
      <c r="A1003" s="18"/>
      <c r="B1003" s="17"/>
      <c r="E1003" s="133"/>
    </row>
    <row r="1004" spans="1:5" x14ac:dyDescent="0.2">
      <c r="A1004" s="18"/>
      <c r="B1004" s="17"/>
      <c r="E1004" s="133"/>
    </row>
    <row r="1005" spans="1:5" x14ac:dyDescent="0.2">
      <c r="A1005" s="18"/>
      <c r="B1005" s="17"/>
      <c r="E1005" s="133"/>
    </row>
    <row r="1006" spans="1:5" x14ac:dyDescent="0.2">
      <c r="A1006" s="18"/>
      <c r="B1006" s="17"/>
      <c r="E1006" s="133"/>
    </row>
    <row r="1007" spans="1:5" x14ac:dyDescent="0.2">
      <c r="A1007" s="18"/>
      <c r="B1007" s="17"/>
      <c r="E1007" s="133"/>
    </row>
    <row r="1008" spans="1:5" x14ac:dyDescent="0.2">
      <c r="A1008" s="18"/>
      <c r="B1008" s="17"/>
      <c r="E1008" s="133"/>
    </row>
    <row r="1009" spans="1:5" x14ac:dyDescent="0.2">
      <c r="A1009" s="18"/>
      <c r="B1009" s="17"/>
      <c r="E1009" s="133"/>
    </row>
    <row r="1010" spans="1:5" x14ac:dyDescent="0.2">
      <c r="A1010" s="18"/>
      <c r="B1010" s="17"/>
      <c r="E1010" s="133"/>
    </row>
    <row r="1011" spans="1:5" x14ac:dyDescent="0.2">
      <c r="A1011" s="18"/>
      <c r="B1011" s="17"/>
      <c r="E1011" s="133"/>
    </row>
    <row r="1012" spans="1:5" x14ac:dyDescent="0.2">
      <c r="A1012" s="18"/>
      <c r="B1012" s="17"/>
      <c r="E1012" s="133"/>
    </row>
    <row r="1013" spans="1:5" x14ac:dyDescent="0.2">
      <c r="A1013" s="18"/>
      <c r="B1013" s="17"/>
      <c r="E1013" s="133"/>
    </row>
    <row r="1014" spans="1:5" x14ac:dyDescent="0.2">
      <c r="A1014" s="18"/>
      <c r="B1014" s="17"/>
      <c r="E1014" s="133"/>
    </row>
    <row r="1015" spans="1:5" x14ac:dyDescent="0.2">
      <c r="A1015" s="18"/>
      <c r="B1015" s="17"/>
      <c r="E1015" s="133"/>
    </row>
    <row r="1016" spans="1:5" x14ac:dyDescent="0.2">
      <c r="A1016" s="18"/>
      <c r="B1016" s="17"/>
      <c r="E1016" s="133"/>
    </row>
    <row r="1017" spans="1:5" x14ac:dyDescent="0.2">
      <c r="A1017" s="18"/>
      <c r="B1017" s="17"/>
      <c r="E1017" s="133"/>
    </row>
    <row r="1018" spans="1:5" x14ac:dyDescent="0.2">
      <c r="A1018" s="18"/>
      <c r="B1018" s="17"/>
      <c r="E1018" s="133"/>
    </row>
    <row r="1019" spans="1:5" x14ac:dyDescent="0.2">
      <c r="A1019" s="18"/>
      <c r="B1019" s="17"/>
      <c r="E1019" s="133"/>
    </row>
    <row r="1020" spans="1:5" x14ac:dyDescent="0.2">
      <c r="A1020" s="18"/>
      <c r="B1020" s="17"/>
      <c r="E1020" s="133"/>
    </row>
    <row r="1021" spans="1:5" x14ac:dyDescent="0.2">
      <c r="A1021" s="18"/>
      <c r="B1021" s="17"/>
      <c r="E1021" s="133"/>
    </row>
    <row r="1022" spans="1:5" x14ac:dyDescent="0.2">
      <c r="A1022" s="18"/>
      <c r="B1022" s="17"/>
      <c r="E1022" s="133"/>
    </row>
    <row r="1023" spans="1:5" x14ac:dyDescent="0.2">
      <c r="A1023" s="18"/>
      <c r="B1023" s="17"/>
      <c r="E1023" s="133"/>
    </row>
    <row r="1024" spans="1:5" x14ac:dyDescent="0.2">
      <c r="A1024" s="18"/>
      <c r="B1024" s="17"/>
      <c r="E1024" s="133"/>
    </row>
    <row r="1025" spans="1:5" x14ac:dyDescent="0.2">
      <c r="A1025" s="18"/>
      <c r="B1025" s="17"/>
      <c r="E1025" s="133"/>
    </row>
    <row r="1026" spans="1:5" x14ac:dyDescent="0.2">
      <c r="A1026" s="18"/>
      <c r="B1026" s="17"/>
      <c r="E1026" s="133"/>
    </row>
    <row r="1027" spans="1:5" x14ac:dyDescent="0.2">
      <c r="A1027" s="18"/>
      <c r="B1027" s="17"/>
      <c r="E1027" s="133"/>
    </row>
    <row r="1028" spans="1:5" x14ac:dyDescent="0.2">
      <c r="A1028" s="18"/>
      <c r="B1028" s="17"/>
      <c r="E1028" s="133"/>
    </row>
    <row r="1029" spans="1:5" x14ac:dyDescent="0.2">
      <c r="A1029" s="18"/>
      <c r="B1029" s="17"/>
      <c r="E1029" s="133"/>
    </row>
    <row r="1030" spans="1:5" x14ac:dyDescent="0.2">
      <c r="A1030" s="18"/>
      <c r="B1030" s="17"/>
      <c r="E1030" s="133"/>
    </row>
    <row r="1031" spans="1:5" x14ac:dyDescent="0.2">
      <c r="A1031" s="18"/>
      <c r="B1031" s="17"/>
      <c r="E1031" s="133"/>
    </row>
    <row r="1032" spans="1:5" x14ac:dyDescent="0.2">
      <c r="A1032" s="18"/>
      <c r="B1032" s="17"/>
      <c r="E1032" s="133"/>
    </row>
    <row r="1033" spans="1:5" x14ac:dyDescent="0.2">
      <c r="A1033" s="18"/>
      <c r="B1033" s="17"/>
      <c r="E1033" s="133"/>
    </row>
    <row r="1034" spans="1:5" x14ac:dyDescent="0.2">
      <c r="A1034" s="18"/>
      <c r="B1034" s="17"/>
      <c r="E1034" s="133"/>
    </row>
    <row r="1035" spans="1:5" x14ac:dyDescent="0.2">
      <c r="A1035" s="18"/>
      <c r="B1035" s="17"/>
      <c r="E1035" s="133"/>
    </row>
    <row r="1036" spans="1:5" x14ac:dyDescent="0.2">
      <c r="A1036" s="18"/>
      <c r="B1036" s="17"/>
      <c r="E1036" s="133"/>
    </row>
    <row r="1037" spans="1:5" x14ac:dyDescent="0.2">
      <c r="A1037" s="18"/>
      <c r="B1037" s="17"/>
      <c r="E1037" s="133"/>
    </row>
    <row r="1038" spans="1:5" x14ac:dyDescent="0.2">
      <c r="A1038" s="18"/>
      <c r="B1038" s="17"/>
      <c r="E1038" s="133"/>
    </row>
    <row r="1039" spans="1:5" x14ac:dyDescent="0.2">
      <c r="A1039" s="18"/>
      <c r="B1039" s="17"/>
      <c r="E1039" s="133"/>
    </row>
    <row r="1040" spans="1:5" x14ac:dyDescent="0.2">
      <c r="A1040" s="18"/>
      <c r="B1040" s="17"/>
      <c r="E1040" s="133"/>
    </row>
    <row r="1041" spans="1:5" x14ac:dyDescent="0.2">
      <c r="A1041" s="18"/>
      <c r="B1041" s="17"/>
      <c r="E1041" s="133"/>
    </row>
    <row r="1042" spans="1:5" x14ac:dyDescent="0.2">
      <c r="A1042" s="18"/>
      <c r="B1042" s="17"/>
      <c r="E1042" s="133"/>
    </row>
    <row r="1043" spans="1:5" x14ac:dyDescent="0.2">
      <c r="A1043" s="18"/>
      <c r="B1043" s="17"/>
      <c r="E1043" s="133"/>
    </row>
    <row r="1044" spans="1:5" x14ac:dyDescent="0.2">
      <c r="A1044" s="18"/>
      <c r="B1044" s="17"/>
      <c r="E1044" s="133"/>
    </row>
    <row r="1045" spans="1:5" x14ac:dyDescent="0.2">
      <c r="A1045" s="18"/>
      <c r="B1045" s="17"/>
      <c r="E1045" s="133"/>
    </row>
    <row r="1046" spans="1:5" x14ac:dyDescent="0.2">
      <c r="A1046" s="18"/>
      <c r="B1046" s="17"/>
      <c r="E1046" s="133"/>
    </row>
    <row r="1047" spans="1:5" x14ac:dyDescent="0.2">
      <c r="A1047" s="18"/>
      <c r="B1047" s="17"/>
      <c r="E1047" s="133"/>
    </row>
    <row r="1048" spans="1:5" x14ac:dyDescent="0.2">
      <c r="A1048" s="18"/>
      <c r="B1048" s="17"/>
      <c r="E1048" s="133"/>
    </row>
    <row r="1049" spans="1:5" x14ac:dyDescent="0.2">
      <c r="A1049" s="18"/>
      <c r="B1049" s="17"/>
      <c r="E1049" s="133"/>
    </row>
    <row r="1050" spans="1:5" x14ac:dyDescent="0.2">
      <c r="A1050" s="18"/>
      <c r="B1050" s="17"/>
      <c r="E1050" s="133"/>
    </row>
    <row r="1051" spans="1:5" x14ac:dyDescent="0.2">
      <c r="A1051" s="18"/>
      <c r="B1051" s="17"/>
      <c r="E1051" s="133"/>
    </row>
    <row r="1052" spans="1:5" x14ac:dyDescent="0.2">
      <c r="A1052" s="18"/>
      <c r="B1052" s="17"/>
      <c r="E1052" s="133"/>
    </row>
    <row r="1053" spans="1:5" x14ac:dyDescent="0.2">
      <c r="A1053" s="18"/>
      <c r="B1053" s="17"/>
      <c r="E1053" s="133"/>
    </row>
    <row r="1054" spans="1:5" x14ac:dyDescent="0.2">
      <c r="A1054" s="18"/>
      <c r="B1054" s="17"/>
      <c r="E1054" s="133"/>
    </row>
    <row r="1055" spans="1:5" x14ac:dyDescent="0.2">
      <c r="A1055" s="18"/>
      <c r="B1055" s="17"/>
      <c r="E1055" s="133"/>
    </row>
    <row r="1056" spans="1:5" x14ac:dyDescent="0.2">
      <c r="A1056" s="18"/>
      <c r="B1056" s="17"/>
      <c r="E1056" s="133"/>
    </row>
    <row r="1057" spans="1:5" x14ac:dyDescent="0.2">
      <c r="A1057" s="18"/>
      <c r="B1057" s="17"/>
      <c r="E1057" s="133"/>
    </row>
    <row r="1058" spans="1:5" x14ac:dyDescent="0.2">
      <c r="A1058" s="18"/>
      <c r="B1058" s="17"/>
      <c r="E1058" s="133"/>
    </row>
    <row r="1059" spans="1:5" x14ac:dyDescent="0.2">
      <c r="A1059" s="18"/>
      <c r="B1059" s="17"/>
      <c r="E1059" s="133"/>
    </row>
    <row r="1060" spans="1:5" x14ac:dyDescent="0.2">
      <c r="A1060" s="18"/>
      <c r="B1060" s="17"/>
      <c r="E1060" s="133"/>
    </row>
    <row r="1061" spans="1:5" x14ac:dyDescent="0.2">
      <c r="A1061" s="18"/>
      <c r="B1061" s="17"/>
      <c r="E1061" s="133"/>
    </row>
    <row r="1062" spans="1:5" x14ac:dyDescent="0.2">
      <c r="A1062" s="18"/>
      <c r="B1062" s="17"/>
      <c r="E1062" s="133"/>
    </row>
    <row r="1063" spans="1:5" x14ac:dyDescent="0.2">
      <c r="A1063" s="18"/>
      <c r="B1063" s="17"/>
      <c r="E1063" s="133"/>
    </row>
    <row r="1064" spans="1:5" x14ac:dyDescent="0.2">
      <c r="A1064" s="18"/>
      <c r="B1064" s="17"/>
      <c r="E1064" s="133"/>
    </row>
    <row r="1065" spans="1:5" x14ac:dyDescent="0.2">
      <c r="A1065" s="18"/>
      <c r="B1065" s="17"/>
      <c r="E1065" s="133"/>
    </row>
    <row r="1066" spans="1:5" x14ac:dyDescent="0.2">
      <c r="A1066" s="18"/>
      <c r="B1066" s="17"/>
      <c r="E1066" s="133"/>
    </row>
    <row r="1067" spans="1:5" x14ac:dyDescent="0.2">
      <c r="A1067" s="18"/>
      <c r="B1067" s="17"/>
      <c r="E1067" s="133"/>
    </row>
    <row r="1068" spans="1:5" x14ac:dyDescent="0.2">
      <c r="A1068" s="18"/>
      <c r="B1068" s="17"/>
      <c r="E1068" s="133"/>
    </row>
    <row r="1069" spans="1:5" x14ac:dyDescent="0.2">
      <c r="A1069" s="18"/>
      <c r="B1069" s="17"/>
      <c r="E1069" s="133"/>
    </row>
    <row r="1070" spans="1:5" x14ac:dyDescent="0.2">
      <c r="A1070" s="18"/>
      <c r="B1070" s="17"/>
      <c r="E1070" s="133"/>
    </row>
    <row r="1071" spans="1:5" x14ac:dyDescent="0.2">
      <c r="A1071" s="18"/>
      <c r="B1071" s="17"/>
      <c r="E1071" s="133"/>
    </row>
    <row r="1072" spans="1:5" x14ac:dyDescent="0.2">
      <c r="A1072" s="18"/>
      <c r="B1072" s="17"/>
      <c r="E1072" s="133"/>
    </row>
    <row r="1073" spans="1:5" x14ac:dyDescent="0.2">
      <c r="A1073" s="18"/>
      <c r="B1073" s="17"/>
      <c r="E1073" s="133"/>
    </row>
    <row r="1074" spans="1:5" x14ac:dyDescent="0.2">
      <c r="A1074" s="18"/>
      <c r="B1074" s="17"/>
      <c r="E1074" s="133"/>
    </row>
    <row r="1075" spans="1:5" x14ac:dyDescent="0.2">
      <c r="A1075" s="18"/>
      <c r="B1075" s="17"/>
      <c r="E1075" s="133"/>
    </row>
    <row r="1076" spans="1:5" x14ac:dyDescent="0.2">
      <c r="A1076" s="18"/>
      <c r="B1076" s="17"/>
      <c r="E1076" s="133"/>
    </row>
    <row r="1077" spans="1:5" x14ac:dyDescent="0.2">
      <c r="A1077" s="18"/>
      <c r="B1077" s="17"/>
      <c r="E1077" s="133"/>
    </row>
    <row r="1078" spans="1:5" x14ac:dyDescent="0.2">
      <c r="A1078" s="18"/>
      <c r="B1078" s="17"/>
      <c r="E1078" s="133"/>
    </row>
    <row r="1079" spans="1:5" x14ac:dyDescent="0.2">
      <c r="A1079" s="18"/>
      <c r="B1079" s="17"/>
      <c r="E1079" s="133"/>
    </row>
    <row r="1080" spans="1:5" x14ac:dyDescent="0.2">
      <c r="A1080" s="18"/>
      <c r="B1080" s="17"/>
      <c r="E1080" s="133"/>
    </row>
    <row r="1081" spans="1:5" x14ac:dyDescent="0.2">
      <c r="A1081" s="18"/>
      <c r="B1081" s="17"/>
      <c r="E1081" s="133"/>
    </row>
    <row r="1082" spans="1:5" x14ac:dyDescent="0.2">
      <c r="A1082" s="18"/>
      <c r="B1082" s="17"/>
      <c r="E1082" s="133"/>
    </row>
    <row r="1083" spans="1:5" x14ac:dyDescent="0.2">
      <c r="A1083" s="18"/>
      <c r="B1083" s="17"/>
      <c r="E1083" s="133"/>
    </row>
    <row r="1084" spans="1:5" x14ac:dyDescent="0.2">
      <c r="A1084" s="18"/>
      <c r="B1084" s="17"/>
      <c r="E1084" s="133"/>
    </row>
    <row r="1085" spans="1:5" x14ac:dyDescent="0.2">
      <c r="A1085" s="18"/>
      <c r="B1085" s="17"/>
      <c r="E1085" s="133"/>
    </row>
    <row r="1086" spans="1:5" x14ac:dyDescent="0.2">
      <c r="A1086" s="18"/>
      <c r="B1086" s="17"/>
      <c r="E1086" s="133"/>
    </row>
    <row r="1087" spans="1:5" x14ac:dyDescent="0.2">
      <c r="A1087" s="18"/>
      <c r="B1087" s="17"/>
      <c r="E1087" s="133"/>
    </row>
    <row r="1088" spans="1:5" x14ac:dyDescent="0.2">
      <c r="A1088" s="18"/>
      <c r="B1088" s="17"/>
      <c r="E1088" s="133"/>
    </row>
    <row r="1089" spans="1:5" x14ac:dyDescent="0.2">
      <c r="A1089" s="18"/>
      <c r="B1089" s="17"/>
      <c r="E1089" s="133"/>
    </row>
    <row r="1090" spans="1:5" x14ac:dyDescent="0.2">
      <c r="A1090" s="18"/>
      <c r="B1090" s="17"/>
      <c r="E1090" s="133"/>
    </row>
    <row r="1091" spans="1:5" x14ac:dyDescent="0.2">
      <c r="A1091" s="18"/>
      <c r="B1091" s="17"/>
      <c r="E1091" s="133"/>
    </row>
    <row r="1092" spans="1:5" x14ac:dyDescent="0.2">
      <c r="A1092" s="18"/>
      <c r="B1092" s="17"/>
      <c r="E1092" s="133"/>
    </row>
    <row r="1093" spans="1:5" x14ac:dyDescent="0.2">
      <c r="A1093" s="18"/>
      <c r="B1093" s="17"/>
      <c r="E1093" s="133"/>
    </row>
    <row r="1094" spans="1:5" x14ac:dyDescent="0.2">
      <c r="A1094" s="18"/>
      <c r="B1094" s="17"/>
      <c r="E1094" s="133"/>
    </row>
    <row r="1095" spans="1:5" x14ac:dyDescent="0.2">
      <c r="A1095" s="18"/>
      <c r="B1095" s="17"/>
      <c r="E1095" s="133"/>
    </row>
    <row r="1096" spans="1:5" x14ac:dyDescent="0.2">
      <c r="A1096" s="18"/>
      <c r="B1096" s="17"/>
      <c r="E1096" s="133"/>
    </row>
    <row r="1097" spans="1:5" x14ac:dyDescent="0.2">
      <c r="A1097" s="18"/>
      <c r="B1097" s="17"/>
      <c r="E1097" s="133"/>
    </row>
    <row r="1098" spans="1:5" x14ac:dyDescent="0.2">
      <c r="A1098" s="18"/>
      <c r="B1098" s="17"/>
      <c r="E1098" s="133"/>
    </row>
    <row r="1099" spans="1:5" x14ac:dyDescent="0.2">
      <c r="A1099" s="18"/>
      <c r="B1099" s="17"/>
      <c r="E1099" s="133"/>
    </row>
    <row r="1100" spans="1:5" x14ac:dyDescent="0.2">
      <c r="A1100" s="18"/>
      <c r="B1100" s="17"/>
      <c r="E1100" s="133"/>
    </row>
    <row r="1101" spans="1:5" x14ac:dyDescent="0.2">
      <c r="A1101" s="18"/>
      <c r="B1101" s="17"/>
      <c r="E1101" s="133"/>
    </row>
    <row r="1102" spans="1:5" x14ac:dyDescent="0.2">
      <c r="A1102" s="18"/>
      <c r="B1102" s="17"/>
      <c r="E1102" s="133"/>
    </row>
    <row r="1103" spans="1:5" x14ac:dyDescent="0.2">
      <c r="A1103" s="18"/>
      <c r="B1103" s="17"/>
      <c r="E1103" s="133"/>
    </row>
    <row r="1104" spans="1:5" x14ac:dyDescent="0.2">
      <c r="A1104" s="18"/>
      <c r="B1104" s="17"/>
      <c r="E1104" s="133"/>
    </row>
    <row r="1105" spans="1:5" x14ac:dyDescent="0.2">
      <c r="A1105" s="18"/>
      <c r="B1105" s="17"/>
      <c r="E1105" s="133"/>
    </row>
    <row r="1106" spans="1:5" x14ac:dyDescent="0.2">
      <c r="A1106" s="18"/>
      <c r="B1106" s="17"/>
      <c r="E1106" s="133"/>
    </row>
    <row r="1107" spans="1:5" x14ac:dyDescent="0.2">
      <c r="A1107" s="18"/>
      <c r="B1107" s="17"/>
      <c r="E1107" s="133"/>
    </row>
    <row r="1108" spans="1:5" x14ac:dyDescent="0.2">
      <c r="A1108" s="18"/>
      <c r="B1108" s="17"/>
      <c r="E1108" s="133"/>
    </row>
    <row r="1109" spans="1:5" x14ac:dyDescent="0.2">
      <c r="A1109" s="18"/>
      <c r="B1109" s="17"/>
      <c r="E1109" s="133"/>
    </row>
    <row r="1110" spans="1:5" x14ac:dyDescent="0.2">
      <c r="A1110" s="18"/>
      <c r="B1110" s="17"/>
      <c r="E1110" s="133"/>
    </row>
    <row r="1111" spans="1:5" x14ac:dyDescent="0.2">
      <c r="A1111" s="18"/>
      <c r="B1111" s="17"/>
      <c r="E1111" s="133"/>
    </row>
    <row r="1112" spans="1:5" x14ac:dyDescent="0.2">
      <c r="A1112" s="18"/>
      <c r="B1112" s="17"/>
      <c r="E1112" s="133"/>
    </row>
    <row r="1113" spans="1:5" x14ac:dyDescent="0.2">
      <c r="A1113" s="18"/>
      <c r="B1113" s="17"/>
      <c r="E1113" s="133"/>
    </row>
    <row r="1114" spans="1:5" x14ac:dyDescent="0.2">
      <c r="A1114" s="18"/>
      <c r="B1114" s="17"/>
      <c r="E1114" s="133"/>
    </row>
    <row r="1115" spans="1:5" x14ac:dyDescent="0.2">
      <c r="A1115" s="18"/>
      <c r="B1115" s="17"/>
      <c r="E1115" s="133"/>
    </row>
    <row r="1116" spans="1:5" x14ac:dyDescent="0.2">
      <c r="A1116" s="18"/>
      <c r="B1116" s="17"/>
      <c r="E1116" s="133"/>
    </row>
    <row r="1117" spans="1:5" x14ac:dyDescent="0.2">
      <c r="A1117" s="18"/>
      <c r="B1117" s="17"/>
      <c r="E1117" s="133"/>
    </row>
    <row r="1118" spans="1:5" x14ac:dyDescent="0.2">
      <c r="A1118" s="18"/>
      <c r="B1118" s="17"/>
      <c r="E1118" s="133"/>
    </row>
    <row r="1119" spans="1:5" x14ac:dyDescent="0.2">
      <c r="A1119" s="18"/>
      <c r="B1119" s="17"/>
      <c r="E1119" s="133"/>
    </row>
    <row r="1120" spans="1:5" x14ac:dyDescent="0.2">
      <c r="A1120" s="18"/>
      <c r="B1120" s="17"/>
      <c r="E1120" s="133"/>
    </row>
    <row r="1121" spans="1:5" x14ac:dyDescent="0.2">
      <c r="A1121" s="18"/>
      <c r="B1121" s="17"/>
      <c r="E1121" s="133"/>
    </row>
    <row r="1122" spans="1:5" x14ac:dyDescent="0.2">
      <c r="A1122" s="18"/>
      <c r="B1122" s="17"/>
      <c r="E1122" s="133"/>
    </row>
    <row r="1123" spans="1:5" x14ac:dyDescent="0.2">
      <c r="A1123" s="18"/>
      <c r="B1123" s="17"/>
      <c r="E1123" s="133"/>
    </row>
    <row r="1124" spans="1:5" x14ac:dyDescent="0.2">
      <c r="A1124" s="18"/>
      <c r="B1124" s="17"/>
      <c r="E1124" s="133"/>
    </row>
    <row r="1125" spans="1:5" x14ac:dyDescent="0.2">
      <c r="A1125" s="18"/>
      <c r="B1125" s="17"/>
      <c r="E1125" s="133"/>
    </row>
    <row r="1126" spans="1:5" x14ac:dyDescent="0.2">
      <c r="A1126" s="18"/>
      <c r="B1126" s="17"/>
      <c r="E1126" s="133"/>
    </row>
    <row r="1127" spans="1:5" x14ac:dyDescent="0.2">
      <c r="A1127" s="18"/>
      <c r="B1127" s="17"/>
      <c r="E1127" s="133"/>
    </row>
    <row r="1128" spans="1:5" x14ac:dyDescent="0.2">
      <c r="A1128" s="18"/>
      <c r="B1128" s="17"/>
      <c r="E1128" s="133"/>
    </row>
    <row r="1129" spans="1:5" x14ac:dyDescent="0.2">
      <c r="A1129" s="18"/>
      <c r="B1129" s="17"/>
      <c r="E1129" s="133"/>
    </row>
    <row r="1130" spans="1:5" x14ac:dyDescent="0.2">
      <c r="A1130" s="18"/>
      <c r="B1130" s="17"/>
      <c r="E1130" s="133"/>
    </row>
    <row r="1131" spans="1:5" x14ac:dyDescent="0.2">
      <c r="A1131" s="18"/>
      <c r="B1131" s="17"/>
      <c r="E1131" s="133"/>
    </row>
    <row r="1132" spans="1:5" x14ac:dyDescent="0.2">
      <c r="A1132" s="18"/>
      <c r="B1132" s="17"/>
      <c r="E1132" s="133"/>
    </row>
    <row r="1133" spans="1:5" x14ac:dyDescent="0.2">
      <c r="A1133" s="18"/>
      <c r="B1133" s="17"/>
      <c r="E1133" s="133"/>
    </row>
    <row r="1134" spans="1:5" x14ac:dyDescent="0.2">
      <c r="A1134" s="18"/>
      <c r="B1134" s="17"/>
      <c r="E1134" s="133"/>
    </row>
    <row r="1135" spans="1:5" x14ac:dyDescent="0.2">
      <c r="A1135" s="18"/>
      <c r="B1135" s="17"/>
      <c r="E1135" s="133"/>
    </row>
    <row r="1136" spans="1:5" x14ac:dyDescent="0.2">
      <c r="A1136" s="18"/>
      <c r="B1136" s="17"/>
      <c r="E1136" s="133"/>
    </row>
    <row r="1137" spans="1:5" x14ac:dyDescent="0.2">
      <c r="A1137" s="18"/>
      <c r="B1137" s="17"/>
      <c r="E1137" s="133"/>
    </row>
    <row r="1138" spans="1:5" x14ac:dyDescent="0.2">
      <c r="A1138" s="18"/>
      <c r="B1138" s="17"/>
      <c r="E1138" s="133"/>
    </row>
    <row r="1139" spans="1:5" x14ac:dyDescent="0.2">
      <c r="A1139" s="18"/>
      <c r="B1139" s="17"/>
      <c r="E1139" s="133"/>
    </row>
    <row r="1140" spans="1:5" x14ac:dyDescent="0.2">
      <c r="A1140" s="18"/>
      <c r="B1140" s="17"/>
      <c r="E1140" s="133"/>
    </row>
    <row r="1141" spans="1:5" x14ac:dyDescent="0.2">
      <c r="A1141" s="18"/>
      <c r="B1141" s="17"/>
      <c r="E1141" s="133"/>
    </row>
    <row r="1142" spans="1:5" x14ac:dyDescent="0.2">
      <c r="A1142" s="18"/>
      <c r="B1142" s="17"/>
      <c r="E1142" s="133"/>
    </row>
    <row r="1143" spans="1:5" x14ac:dyDescent="0.2">
      <c r="A1143" s="18"/>
      <c r="B1143" s="17"/>
      <c r="E1143" s="133"/>
    </row>
    <row r="1144" spans="1:5" x14ac:dyDescent="0.2">
      <c r="A1144" s="18"/>
      <c r="B1144" s="17"/>
      <c r="E1144" s="133"/>
    </row>
    <row r="1145" spans="1:5" x14ac:dyDescent="0.2">
      <c r="A1145" s="18"/>
      <c r="B1145" s="17"/>
      <c r="E1145" s="133"/>
    </row>
    <row r="1146" spans="1:5" x14ac:dyDescent="0.2">
      <c r="A1146" s="18"/>
      <c r="B1146" s="17"/>
      <c r="E1146" s="133"/>
    </row>
    <row r="1147" spans="1:5" x14ac:dyDescent="0.2">
      <c r="A1147" s="18"/>
      <c r="B1147" s="17"/>
      <c r="E1147" s="133"/>
    </row>
    <row r="1148" spans="1:5" x14ac:dyDescent="0.2">
      <c r="A1148" s="18"/>
      <c r="B1148" s="17"/>
      <c r="E1148" s="133"/>
    </row>
    <row r="1149" spans="1:5" x14ac:dyDescent="0.2">
      <c r="A1149" s="18"/>
      <c r="B1149" s="17"/>
      <c r="E1149" s="133"/>
    </row>
    <row r="1150" spans="1:5" x14ac:dyDescent="0.2">
      <c r="A1150" s="18"/>
      <c r="B1150" s="17"/>
      <c r="E1150" s="133"/>
    </row>
    <row r="1151" spans="1:5" x14ac:dyDescent="0.2">
      <c r="A1151" s="18"/>
      <c r="B1151" s="17"/>
      <c r="E1151" s="133"/>
    </row>
    <row r="1152" spans="1:5" x14ac:dyDescent="0.2">
      <c r="A1152" s="18"/>
      <c r="B1152" s="17"/>
      <c r="E1152" s="133"/>
    </row>
    <row r="1153" spans="1:5" x14ac:dyDescent="0.2">
      <c r="A1153" s="18"/>
      <c r="B1153" s="17"/>
      <c r="E1153" s="133"/>
    </row>
    <row r="1154" spans="1:5" x14ac:dyDescent="0.2">
      <c r="A1154" s="18"/>
      <c r="B1154" s="17"/>
      <c r="E1154" s="133"/>
    </row>
    <row r="1155" spans="1:5" x14ac:dyDescent="0.2">
      <c r="A1155" s="18"/>
      <c r="B1155" s="17"/>
      <c r="E1155" s="133"/>
    </row>
    <row r="1156" spans="1:5" x14ac:dyDescent="0.2">
      <c r="A1156" s="18"/>
      <c r="B1156" s="17"/>
      <c r="E1156" s="133"/>
    </row>
    <row r="1157" spans="1:5" x14ac:dyDescent="0.2">
      <c r="A1157" s="18"/>
      <c r="B1157" s="17"/>
      <c r="E1157" s="133"/>
    </row>
    <row r="1158" spans="1:5" x14ac:dyDescent="0.2">
      <c r="A1158" s="18"/>
      <c r="B1158" s="17"/>
      <c r="E1158" s="133"/>
    </row>
    <row r="1159" spans="1:5" x14ac:dyDescent="0.2">
      <c r="A1159" s="18"/>
      <c r="B1159" s="17"/>
      <c r="E1159" s="133"/>
    </row>
    <row r="1160" spans="1:5" x14ac:dyDescent="0.2">
      <c r="A1160" s="18"/>
      <c r="B1160" s="17"/>
      <c r="E1160" s="133"/>
    </row>
    <row r="1161" spans="1:5" x14ac:dyDescent="0.2">
      <c r="A1161" s="18"/>
      <c r="B1161" s="17"/>
      <c r="E1161" s="133"/>
    </row>
    <row r="1162" spans="1:5" x14ac:dyDescent="0.2">
      <c r="A1162" s="18"/>
      <c r="B1162" s="17"/>
      <c r="E1162" s="133"/>
    </row>
    <row r="1163" spans="1:5" x14ac:dyDescent="0.2">
      <c r="A1163" s="18"/>
      <c r="B1163" s="17"/>
      <c r="E1163" s="133"/>
    </row>
    <row r="1164" spans="1:5" x14ac:dyDescent="0.2">
      <c r="A1164" s="18"/>
      <c r="B1164" s="17"/>
      <c r="E1164" s="133"/>
    </row>
    <row r="1165" spans="1:5" x14ac:dyDescent="0.2">
      <c r="A1165" s="18"/>
      <c r="B1165" s="17"/>
      <c r="E1165" s="133"/>
    </row>
    <row r="1166" spans="1:5" x14ac:dyDescent="0.2">
      <c r="A1166" s="18"/>
      <c r="B1166" s="17"/>
      <c r="E1166" s="133"/>
    </row>
    <row r="1167" spans="1:5" x14ac:dyDescent="0.2">
      <c r="A1167" s="18"/>
      <c r="B1167" s="17"/>
      <c r="E1167" s="133"/>
    </row>
    <row r="1168" spans="1:5" x14ac:dyDescent="0.2">
      <c r="A1168" s="18"/>
      <c r="B1168" s="17"/>
      <c r="E1168" s="133"/>
    </row>
    <row r="1169" spans="1:5" x14ac:dyDescent="0.2">
      <c r="A1169" s="18"/>
      <c r="B1169" s="17"/>
      <c r="E1169" s="133"/>
    </row>
    <row r="1170" spans="1:5" x14ac:dyDescent="0.2">
      <c r="A1170" s="18"/>
      <c r="B1170" s="17"/>
      <c r="E1170" s="133"/>
    </row>
    <row r="1171" spans="1:5" x14ac:dyDescent="0.2">
      <c r="A1171" s="18"/>
      <c r="B1171" s="17"/>
      <c r="E1171" s="133"/>
    </row>
    <row r="1172" spans="1:5" x14ac:dyDescent="0.2">
      <c r="A1172" s="18"/>
      <c r="B1172" s="17"/>
      <c r="E1172" s="133"/>
    </row>
    <row r="1173" spans="1:5" x14ac:dyDescent="0.2">
      <c r="A1173" s="18"/>
      <c r="B1173" s="17"/>
      <c r="E1173" s="133"/>
    </row>
    <row r="1174" spans="1:5" x14ac:dyDescent="0.2">
      <c r="A1174" s="18"/>
      <c r="B1174" s="17"/>
      <c r="E1174" s="133"/>
    </row>
    <row r="1175" spans="1:5" x14ac:dyDescent="0.2">
      <c r="A1175" s="18"/>
      <c r="B1175" s="17"/>
      <c r="E1175" s="133"/>
    </row>
    <row r="1176" spans="1:5" x14ac:dyDescent="0.2">
      <c r="A1176" s="18"/>
      <c r="B1176" s="17"/>
      <c r="E1176" s="133"/>
    </row>
    <row r="1177" spans="1:5" x14ac:dyDescent="0.2">
      <c r="A1177" s="18"/>
      <c r="B1177" s="17"/>
      <c r="E1177" s="133"/>
    </row>
    <row r="1178" spans="1:5" x14ac:dyDescent="0.2">
      <c r="A1178" s="18"/>
      <c r="B1178" s="17"/>
      <c r="E1178" s="133"/>
    </row>
    <row r="1179" spans="1:5" x14ac:dyDescent="0.2">
      <c r="A1179" s="18"/>
      <c r="B1179" s="17"/>
      <c r="E1179" s="133"/>
    </row>
    <row r="1180" spans="1:5" x14ac:dyDescent="0.2">
      <c r="A1180" s="18"/>
      <c r="B1180" s="17"/>
      <c r="E1180" s="133"/>
    </row>
    <row r="1181" spans="1:5" x14ac:dyDescent="0.2">
      <c r="A1181" s="18"/>
      <c r="B1181" s="17"/>
      <c r="E1181" s="133"/>
    </row>
    <row r="1182" spans="1:5" x14ac:dyDescent="0.2">
      <c r="A1182" s="18"/>
      <c r="B1182" s="17"/>
      <c r="E1182" s="133"/>
    </row>
    <row r="1183" spans="1:5" x14ac:dyDescent="0.2">
      <c r="A1183" s="18"/>
      <c r="B1183" s="17"/>
      <c r="E1183" s="133"/>
    </row>
    <row r="1184" spans="1:5" x14ac:dyDescent="0.2">
      <c r="A1184" s="18"/>
      <c r="B1184" s="17"/>
      <c r="E1184" s="133"/>
    </row>
    <row r="1185" spans="1:5" x14ac:dyDescent="0.2">
      <c r="A1185" s="18"/>
      <c r="B1185" s="17"/>
      <c r="E1185" s="133"/>
    </row>
    <row r="1186" spans="1:5" x14ac:dyDescent="0.2">
      <c r="A1186" s="18"/>
      <c r="B1186" s="17"/>
      <c r="E1186" s="133"/>
    </row>
    <row r="1187" spans="1:5" x14ac:dyDescent="0.2">
      <c r="A1187" s="18"/>
      <c r="B1187" s="17"/>
      <c r="E1187" s="133"/>
    </row>
    <row r="1188" spans="1:5" x14ac:dyDescent="0.2">
      <c r="A1188" s="18"/>
      <c r="B1188" s="17"/>
      <c r="E1188" s="133"/>
    </row>
    <row r="1189" spans="1:5" x14ac:dyDescent="0.2">
      <c r="A1189" s="18"/>
      <c r="B1189" s="17"/>
      <c r="E1189" s="133"/>
    </row>
    <row r="1190" spans="1:5" x14ac:dyDescent="0.2">
      <c r="A1190" s="18"/>
      <c r="B1190" s="17"/>
      <c r="E1190" s="133"/>
    </row>
    <row r="1191" spans="1:5" x14ac:dyDescent="0.2">
      <c r="A1191" s="18"/>
      <c r="B1191" s="17"/>
      <c r="E1191" s="133"/>
    </row>
    <row r="1192" spans="1:5" x14ac:dyDescent="0.2">
      <c r="A1192" s="18"/>
      <c r="B1192" s="17"/>
      <c r="E1192" s="133"/>
    </row>
    <row r="1193" spans="1:5" x14ac:dyDescent="0.2">
      <c r="A1193" s="18"/>
      <c r="B1193" s="17"/>
      <c r="E1193" s="133"/>
    </row>
    <row r="1194" spans="1:5" x14ac:dyDescent="0.2">
      <c r="A1194" s="18"/>
      <c r="B1194" s="17"/>
      <c r="E1194" s="133"/>
    </row>
    <row r="1195" spans="1:5" x14ac:dyDescent="0.2">
      <c r="A1195" s="18"/>
      <c r="B1195" s="17"/>
      <c r="E1195" s="133"/>
    </row>
    <row r="1196" spans="1:5" x14ac:dyDescent="0.2">
      <c r="A1196" s="18"/>
      <c r="B1196" s="17"/>
      <c r="E1196" s="133"/>
    </row>
    <row r="1197" spans="1:5" x14ac:dyDescent="0.2">
      <c r="A1197" s="18"/>
      <c r="B1197" s="17"/>
      <c r="E1197" s="133"/>
    </row>
    <row r="1198" spans="1:5" x14ac:dyDescent="0.2">
      <c r="A1198" s="18"/>
      <c r="B1198" s="17"/>
      <c r="E1198" s="133"/>
    </row>
    <row r="1199" spans="1:5" x14ac:dyDescent="0.2">
      <c r="A1199" s="18"/>
      <c r="B1199" s="17"/>
      <c r="E1199" s="133"/>
    </row>
    <row r="1200" spans="1:5" x14ac:dyDescent="0.2">
      <c r="A1200" s="18"/>
      <c r="B1200" s="17"/>
      <c r="E1200" s="133"/>
    </row>
    <row r="1201" spans="1:5" x14ac:dyDescent="0.2">
      <c r="A1201" s="18"/>
      <c r="B1201" s="17"/>
      <c r="E1201" s="133"/>
    </row>
    <row r="1202" spans="1:5" x14ac:dyDescent="0.2">
      <c r="A1202" s="18"/>
      <c r="B1202" s="17"/>
      <c r="E1202" s="133"/>
    </row>
    <row r="1203" spans="1:5" x14ac:dyDescent="0.2">
      <c r="A1203" s="18"/>
      <c r="B1203" s="17"/>
      <c r="E1203" s="133"/>
    </row>
    <row r="1204" spans="1:5" x14ac:dyDescent="0.2">
      <c r="A1204" s="18"/>
      <c r="B1204" s="17"/>
      <c r="E1204" s="133"/>
    </row>
    <row r="1205" spans="1:5" x14ac:dyDescent="0.2">
      <c r="A1205" s="18"/>
      <c r="B1205" s="17"/>
      <c r="E1205" s="133"/>
    </row>
    <row r="1206" spans="1:5" x14ac:dyDescent="0.2">
      <c r="A1206" s="18"/>
      <c r="B1206" s="17"/>
      <c r="E1206" s="133"/>
    </row>
    <row r="1207" spans="1:5" x14ac:dyDescent="0.2">
      <c r="A1207" s="18"/>
      <c r="B1207" s="17"/>
      <c r="E1207" s="133"/>
    </row>
    <row r="1208" spans="1:5" x14ac:dyDescent="0.2">
      <c r="A1208" s="18"/>
      <c r="B1208" s="17"/>
      <c r="E1208" s="133"/>
    </row>
    <row r="1209" spans="1:5" x14ac:dyDescent="0.2">
      <c r="A1209" s="18"/>
      <c r="B1209" s="17"/>
      <c r="E1209" s="133"/>
    </row>
    <row r="1210" spans="1:5" x14ac:dyDescent="0.2">
      <c r="A1210" s="18"/>
      <c r="B1210" s="17"/>
      <c r="E1210" s="133"/>
    </row>
    <row r="1211" spans="1:5" x14ac:dyDescent="0.2">
      <c r="A1211" s="18"/>
      <c r="B1211" s="17"/>
      <c r="E1211" s="133"/>
    </row>
    <row r="1212" spans="1:5" x14ac:dyDescent="0.2">
      <c r="A1212" s="18"/>
      <c r="B1212" s="17"/>
      <c r="E1212" s="133"/>
    </row>
    <row r="1213" spans="1:5" x14ac:dyDescent="0.2">
      <c r="A1213" s="18"/>
      <c r="B1213" s="17"/>
      <c r="E1213" s="133"/>
    </row>
    <row r="1214" spans="1:5" x14ac:dyDescent="0.2">
      <c r="A1214" s="18"/>
      <c r="B1214" s="17"/>
      <c r="E1214" s="133"/>
    </row>
    <row r="1215" spans="1:5" x14ac:dyDescent="0.2">
      <c r="A1215" s="18"/>
      <c r="B1215" s="17"/>
      <c r="E1215" s="133"/>
    </row>
    <row r="1216" spans="1:5" x14ac:dyDescent="0.2">
      <c r="A1216" s="18"/>
      <c r="B1216" s="17"/>
      <c r="E1216" s="133"/>
    </row>
    <row r="1217" spans="1:5" x14ac:dyDescent="0.2">
      <c r="A1217" s="18"/>
      <c r="B1217" s="17"/>
      <c r="E1217" s="133"/>
    </row>
    <row r="1218" spans="1:5" x14ac:dyDescent="0.2">
      <c r="A1218" s="18"/>
      <c r="B1218" s="17"/>
      <c r="E1218" s="133"/>
    </row>
    <row r="1219" spans="1:5" x14ac:dyDescent="0.2">
      <c r="A1219" s="18"/>
      <c r="B1219" s="17"/>
      <c r="E1219" s="133"/>
    </row>
    <row r="1220" spans="1:5" x14ac:dyDescent="0.2">
      <c r="A1220" s="18"/>
      <c r="B1220" s="17"/>
      <c r="E1220" s="133"/>
    </row>
    <row r="1221" spans="1:5" x14ac:dyDescent="0.2">
      <c r="A1221" s="18"/>
      <c r="B1221" s="17"/>
      <c r="E1221" s="133"/>
    </row>
    <row r="1222" spans="1:5" x14ac:dyDescent="0.2">
      <c r="A1222" s="18"/>
      <c r="B1222" s="17"/>
      <c r="E1222" s="133"/>
    </row>
    <row r="1223" spans="1:5" x14ac:dyDescent="0.2">
      <c r="A1223" s="18"/>
      <c r="B1223" s="17"/>
      <c r="E1223" s="133"/>
    </row>
    <row r="1224" spans="1:5" x14ac:dyDescent="0.2">
      <c r="A1224" s="18"/>
      <c r="B1224" s="17"/>
      <c r="E1224" s="133"/>
    </row>
    <row r="1225" spans="1:5" x14ac:dyDescent="0.2">
      <c r="A1225" s="18"/>
      <c r="B1225" s="17"/>
      <c r="E1225" s="133"/>
    </row>
    <row r="1226" spans="1:5" x14ac:dyDescent="0.2">
      <c r="A1226" s="18"/>
      <c r="B1226" s="17"/>
      <c r="E1226" s="133"/>
    </row>
    <row r="1227" spans="1:5" x14ac:dyDescent="0.2">
      <c r="A1227" s="18"/>
      <c r="B1227" s="17"/>
      <c r="E1227" s="133"/>
    </row>
    <row r="1228" spans="1:5" x14ac:dyDescent="0.2">
      <c r="A1228" s="18"/>
      <c r="B1228" s="17"/>
      <c r="E1228" s="133"/>
    </row>
    <row r="1229" spans="1:5" x14ac:dyDescent="0.2">
      <c r="A1229" s="18"/>
      <c r="B1229" s="17"/>
      <c r="E1229" s="133"/>
    </row>
    <row r="1230" spans="1:5" x14ac:dyDescent="0.2">
      <c r="A1230" s="18"/>
      <c r="B1230" s="17"/>
      <c r="E1230" s="133"/>
    </row>
    <row r="1231" spans="1:5" x14ac:dyDescent="0.2">
      <c r="A1231" s="18"/>
      <c r="B1231" s="17"/>
      <c r="E1231" s="133"/>
    </row>
    <row r="1232" spans="1:5" x14ac:dyDescent="0.2">
      <c r="A1232" s="18"/>
      <c r="B1232" s="17"/>
      <c r="E1232" s="133"/>
    </row>
    <row r="1233" spans="1:5" x14ac:dyDescent="0.2">
      <c r="A1233" s="18"/>
      <c r="B1233" s="17"/>
      <c r="E1233" s="133"/>
    </row>
    <row r="1234" spans="1:5" x14ac:dyDescent="0.2">
      <c r="A1234" s="18"/>
      <c r="B1234" s="17"/>
      <c r="E1234" s="133"/>
    </row>
    <row r="1235" spans="1:5" x14ac:dyDescent="0.2">
      <c r="A1235" s="18"/>
      <c r="B1235" s="17"/>
      <c r="E1235" s="133"/>
    </row>
    <row r="1236" spans="1:5" x14ac:dyDescent="0.2">
      <c r="A1236" s="18"/>
      <c r="B1236" s="17"/>
      <c r="E1236" s="133"/>
    </row>
    <row r="1237" spans="1:5" x14ac:dyDescent="0.2">
      <c r="A1237" s="18"/>
      <c r="B1237" s="17"/>
      <c r="E1237" s="133"/>
    </row>
    <row r="1238" spans="1:5" x14ac:dyDescent="0.2">
      <c r="A1238" s="18"/>
      <c r="B1238" s="17"/>
      <c r="E1238" s="133"/>
    </row>
    <row r="1239" spans="1:5" x14ac:dyDescent="0.2">
      <c r="A1239" s="18"/>
      <c r="B1239" s="17"/>
      <c r="E1239" s="133"/>
    </row>
    <row r="1240" spans="1:5" x14ac:dyDescent="0.2">
      <c r="A1240" s="18"/>
      <c r="B1240" s="17"/>
      <c r="E1240" s="133"/>
    </row>
    <row r="1241" spans="1:5" x14ac:dyDescent="0.2">
      <c r="A1241" s="18"/>
      <c r="B1241" s="17"/>
      <c r="E1241" s="133"/>
    </row>
    <row r="1242" spans="1:5" x14ac:dyDescent="0.2">
      <c r="A1242" s="18"/>
      <c r="B1242" s="17"/>
      <c r="E1242" s="133"/>
    </row>
    <row r="1243" spans="1:5" x14ac:dyDescent="0.2">
      <c r="A1243" s="18"/>
      <c r="B1243" s="17"/>
      <c r="E1243" s="133"/>
    </row>
    <row r="1244" spans="1:5" x14ac:dyDescent="0.2">
      <c r="A1244" s="18"/>
      <c r="B1244" s="17"/>
      <c r="E1244" s="133"/>
    </row>
    <row r="1245" spans="1:5" x14ac:dyDescent="0.2">
      <c r="A1245" s="18"/>
      <c r="B1245" s="17"/>
      <c r="E1245" s="133"/>
    </row>
    <row r="1246" spans="1:5" x14ac:dyDescent="0.2">
      <c r="A1246" s="18"/>
      <c r="B1246" s="17"/>
      <c r="E1246" s="133"/>
    </row>
    <row r="1247" spans="1:5" x14ac:dyDescent="0.2">
      <c r="A1247" s="18"/>
      <c r="B1247" s="17"/>
      <c r="E1247" s="133"/>
    </row>
    <row r="1248" spans="1:5" x14ac:dyDescent="0.2">
      <c r="A1248" s="18"/>
      <c r="B1248" s="17"/>
      <c r="E1248" s="133"/>
    </row>
    <row r="1249" spans="1:5" x14ac:dyDescent="0.2">
      <c r="A1249" s="18"/>
      <c r="B1249" s="17"/>
      <c r="E1249" s="133"/>
    </row>
    <row r="1250" spans="1:5" x14ac:dyDescent="0.2">
      <c r="A1250" s="18"/>
      <c r="B1250" s="17"/>
      <c r="E1250" s="133"/>
    </row>
    <row r="1251" spans="1:5" x14ac:dyDescent="0.2">
      <c r="A1251" s="18"/>
      <c r="B1251" s="17"/>
      <c r="E1251" s="133"/>
    </row>
    <row r="1252" spans="1:5" x14ac:dyDescent="0.2">
      <c r="A1252" s="18"/>
      <c r="B1252" s="17"/>
      <c r="E1252" s="133"/>
    </row>
    <row r="1253" spans="1:5" x14ac:dyDescent="0.2">
      <c r="A1253" s="18"/>
      <c r="B1253" s="17"/>
      <c r="E1253" s="133"/>
    </row>
    <row r="1254" spans="1:5" x14ac:dyDescent="0.2">
      <c r="A1254" s="18"/>
      <c r="B1254" s="17"/>
      <c r="E1254" s="133"/>
    </row>
    <row r="1255" spans="1:5" x14ac:dyDescent="0.2">
      <c r="A1255" s="18"/>
      <c r="B1255" s="17"/>
      <c r="E1255" s="133"/>
    </row>
    <row r="1256" spans="1:5" x14ac:dyDescent="0.2">
      <c r="A1256" s="18"/>
      <c r="B1256" s="17"/>
      <c r="E1256" s="133"/>
    </row>
    <row r="1257" spans="1:5" x14ac:dyDescent="0.2">
      <c r="A1257" s="18"/>
      <c r="B1257" s="17"/>
      <c r="E1257" s="133"/>
    </row>
    <row r="1258" spans="1:5" x14ac:dyDescent="0.2">
      <c r="A1258" s="18"/>
      <c r="B1258" s="17"/>
      <c r="E1258" s="133"/>
    </row>
    <row r="1259" spans="1:5" x14ac:dyDescent="0.2">
      <c r="A1259" s="18"/>
      <c r="B1259" s="17"/>
      <c r="E1259" s="133"/>
    </row>
    <row r="1260" spans="1:5" x14ac:dyDescent="0.2">
      <c r="A1260" s="18"/>
      <c r="B1260" s="17"/>
      <c r="E1260" s="133"/>
    </row>
    <row r="1261" spans="1:5" x14ac:dyDescent="0.2">
      <c r="A1261" s="18"/>
      <c r="B1261" s="17"/>
      <c r="E1261" s="133"/>
    </row>
    <row r="1262" spans="1:5" x14ac:dyDescent="0.2">
      <c r="A1262" s="18"/>
      <c r="B1262" s="17"/>
      <c r="E1262" s="133"/>
    </row>
    <row r="1263" spans="1:5" x14ac:dyDescent="0.2">
      <c r="A1263" s="18"/>
      <c r="B1263" s="17"/>
      <c r="E1263" s="133"/>
    </row>
    <row r="1264" spans="1:5" x14ac:dyDescent="0.2">
      <c r="A1264" s="18"/>
      <c r="B1264" s="17"/>
      <c r="E1264" s="133"/>
    </row>
    <row r="1265" spans="1:5" x14ac:dyDescent="0.2">
      <c r="A1265" s="18"/>
      <c r="B1265" s="17"/>
      <c r="E1265" s="133"/>
    </row>
    <row r="1266" spans="1:5" x14ac:dyDescent="0.2">
      <c r="A1266" s="18"/>
      <c r="B1266" s="17"/>
      <c r="E1266" s="133"/>
    </row>
    <row r="1267" spans="1:5" x14ac:dyDescent="0.2">
      <c r="A1267" s="18"/>
      <c r="B1267" s="17"/>
      <c r="E1267" s="133"/>
    </row>
    <row r="1268" spans="1:5" x14ac:dyDescent="0.2">
      <c r="A1268" s="18"/>
      <c r="B1268" s="17"/>
      <c r="E1268" s="133"/>
    </row>
    <row r="1269" spans="1:5" x14ac:dyDescent="0.2">
      <c r="A1269" s="18"/>
      <c r="B1269" s="17"/>
      <c r="E1269" s="133"/>
    </row>
    <row r="1270" spans="1:5" x14ac:dyDescent="0.2">
      <c r="A1270" s="18"/>
      <c r="B1270" s="17"/>
      <c r="E1270" s="133"/>
    </row>
    <row r="1271" spans="1:5" x14ac:dyDescent="0.2">
      <c r="A1271" s="18"/>
      <c r="B1271" s="17"/>
      <c r="E1271" s="133"/>
    </row>
    <row r="1272" spans="1:5" x14ac:dyDescent="0.2">
      <c r="A1272" s="18"/>
      <c r="B1272" s="17"/>
      <c r="E1272" s="133"/>
    </row>
    <row r="1273" spans="1:5" x14ac:dyDescent="0.2">
      <c r="A1273" s="18"/>
      <c r="B1273" s="17"/>
      <c r="E1273" s="133"/>
    </row>
    <row r="1274" spans="1:5" x14ac:dyDescent="0.2">
      <c r="A1274" s="18"/>
      <c r="B1274" s="17"/>
      <c r="E1274" s="133"/>
    </row>
    <row r="1275" spans="1:5" x14ac:dyDescent="0.2">
      <c r="A1275" s="18"/>
      <c r="B1275" s="17"/>
      <c r="E1275" s="133"/>
    </row>
    <row r="1276" spans="1:5" x14ac:dyDescent="0.2">
      <c r="A1276" s="18"/>
      <c r="B1276" s="17"/>
      <c r="E1276" s="133"/>
    </row>
    <row r="1277" spans="1:5" x14ac:dyDescent="0.2">
      <c r="A1277" s="18"/>
      <c r="B1277" s="17"/>
      <c r="E1277" s="133"/>
    </row>
    <row r="1278" spans="1:5" x14ac:dyDescent="0.2">
      <c r="A1278" s="18"/>
      <c r="B1278" s="17"/>
      <c r="E1278" s="133"/>
    </row>
    <row r="1279" spans="1:5" x14ac:dyDescent="0.2">
      <c r="A1279" s="18"/>
      <c r="B1279" s="17"/>
      <c r="E1279" s="133"/>
    </row>
    <row r="1280" spans="1:5" x14ac:dyDescent="0.2">
      <c r="A1280" s="18"/>
      <c r="B1280" s="17"/>
      <c r="E1280" s="133"/>
    </row>
    <row r="1281" spans="1:5" x14ac:dyDescent="0.2">
      <c r="A1281" s="18"/>
      <c r="B1281" s="17"/>
      <c r="E1281" s="133"/>
    </row>
    <row r="1282" spans="1:5" x14ac:dyDescent="0.2">
      <c r="A1282" s="18"/>
      <c r="B1282" s="17"/>
      <c r="E1282" s="133"/>
    </row>
    <row r="1283" spans="1:5" x14ac:dyDescent="0.2">
      <c r="A1283" s="18"/>
      <c r="B1283" s="17"/>
      <c r="E1283" s="133"/>
    </row>
    <row r="1284" spans="1:5" x14ac:dyDescent="0.2">
      <c r="A1284" s="18"/>
      <c r="B1284" s="17"/>
      <c r="E1284" s="133"/>
    </row>
    <row r="1285" spans="1:5" x14ac:dyDescent="0.2">
      <c r="A1285" s="18"/>
      <c r="B1285" s="17"/>
      <c r="E1285" s="133"/>
    </row>
    <row r="1286" spans="1:5" x14ac:dyDescent="0.2">
      <c r="A1286" s="18"/>
      <c r="B1286" s="17"/>
      <c r="E1286" s="133"/>
    </row>
    <row r="1287" spans="1:5" x14ac:dyDescent="0.2">
      <c r="A1287" s="18"/>
      <c r="B1287" s="17"/>
      <c r="E1287" s="133"/>
    </row>
    <row r="1288" spans="1:5" x14ac:dyDescent="0.2">
      <c r="A1288" s="18"/>
      <c r="B1288" s="17"/>
      <c r="E1288" s="133"/>
    </row>
    <row r="1289" spans="1:5" x14ac:dyDescent="0.2">
      <c r="A1289" s="18"/>
      <c r="B1289" s="17"/>
      <c r="E1289" s="133"/>
    </row>
    <row r="1290" spans="1:5" x14ac:dyDescent="0.2">
      <c r="A1290" s="18"/>
      <c r="B1290" s="17"/>
      <c r="E1290" s="133"/>
    </row>
    <row r="1291" spans="1:5" x14ac:dyDescent="0.2">
      <c r="A1291" s="18"/>
      <c r="B1291" s="17"/>
      <c r="E1291" s="133"/>
    </row>
    <row r="1292" spans="1:5" x14ac:dyDescent="0.2">
      <c r="A1292" s="18"/>
      <c r="B1292" s="17"/>
      <c r="E1292" s="133"/>
    </row>
    <row r="1293" spans="1:5" x14ac:dyDescent="0.2">
      <c r="A1293" s="18"/>
      <c r="B1293" s="17"/>
      <c r="E1293" s="133"/>
    </row>
    <row r="1294" spans="1:5" x14ac:dyDescent="0.2">
      <c r="A1294" s="18"/>
      <c r="B1294" s="17"/>
      <c r="E1294" s="133"/>
    </row>
    <row r="1295" spans="1:5" x14ac:dyDescent="0.2">
      <c r="A1295" s="18"/>
      <c r="B1295" s="17"/>
      <c r="E1295" s="133"/>
    </row>
    <row r="1296" spans="1:5" x14ac:dyDescent="0.2">
      <c r="A1296" s="18"/>
      <c r="B1296" s="17"/>
      <c r="E1296" s="133"/>
    </row>
    <row r="1297" spans="1:5" x14ac:dyDescent="0.2">
      <c r="A1297" s="18"/>
      <c r="B1297" s="17"/>
      <c r="E1297" s="133"/>
    </row>
    <row r="1298" spans="1:5" x14ac:dyDescent="0.2">
      <c r="A1298" s="18"/>
      <c r="B1298" s="17"/>
      <c r="E1298" s="133"/>
    </row>
    <row r="1299" spans="1:5" x14ac:dyDescent="0.2">
      <c r="A1299" s="18"/>
      <c r="B1299" s="17"/>
      <c r="E1299" s="133"/>
    </row>
    <row r="1300" spans="1:5" x14ac:dyDescent="0.2">
      <c r="A1300" s="18"/>
      <c r="B1300" s="17"/>
      <c r="E1300" s="133"/>
    </row>
    <row r="1301" spans="1:5" x14ac:dyDescent="0.2">
      <c r="A1301" s="18"/>
      <c r="B1301" s="17"/>
      <c r="E1301" s="133"/>
    </row>
    <row r="1302" spans="1:5" x14ac:dyDescent="0.2">
      <c r="A1302" s="18"/>
      <c r="B1302" s="17"/>
      <c r="E1302" s="133"/>
    </row>
    <row r="1303" spans="1:5" x14ac:dyDescent="0.2">
      <c r="A1303" s="18"/>
      <c r="B1303" s="17"/>
      <c r="E1303" s="133"/>
    </row>
    <row r="1304" spans="1:5" x14ac:dyDescent="0.2">
      <c r="A1304" s="18"/>
      <c r="B1304" s="17"/>
      <c r="E1304" s="133"/>
    </row>
    <row r="1305" spans="1:5" x14ac:dyDescent="0.2">
      <c r="A1305" s="18"/>
      <c r="B1305" s="17"/>
      <c r="E1305" s="133"/>
    </row>
    <row r="1306" spans="1:5" x14ac:dyDescent="0.2">
      <c r="A1306" s="18"/>
      <c r="B1306" s="17"/>
      <c r="E1306" s="133"/>
    </row>
    <row r="1307" spans="1:5" x14ac:dyDescent="0.2">
      <c r="A1307" s="18"/>
      <c r="B1307" s="17"/>
      <c r="E1307" s="133"/>
    </row>
    <row r="1308" spans="1:5" x14ac:dyDescent="0.2">
      <c r="A1308" s="18"/>
      <c r="B1308" s="17"/>
      <c r="E1308" s="133"/>
    </row>
    <row r="1309" spans="1:5" x14ac:dyDescent="0.2">
      <c r="A1309" s="18"/>
      <c r="B1309" s="17"/>
      <c r="E1309" s="133"/>
    </row>
    <row r="1310" spans="1:5" x14ac:dyDescent="0.2">
      <c r="A1310" s="18"/>
      <c r="B1310" s="17"/>
      <c r="E1310" s="133"/>
    </row>
    <row r="1311" spans="1:5" x14ac:dyDescent="0.2">
      <c r="A1311" s="18"/>
      <c r="B1311" s="17"/>
      <c r="E1311" s="133"/>
    </row>
    <row r="1312" spans="1:5" x14ac:dyDescent="0.2">
      <c r="A1312" s="18"/>
      <c r="B1312" s="17"/>
      <c r="E1312" s="133"/>
    </row>
    <row r="1313" spans="1:5" x14ac:dyDescent="0.2">
      <c r="A1313" s="18"/>
      <c r="B1313" s="17"/>
      <c r="E1313" s="133"/>
    </row>
    <row r="1314" spans="1:5" x14ac:dyDescent="0.2">
      <c r="A1314" s="18"/>
      <c r="B1314" s="17"/>
      <c r="E1314" s="133"/>
    </row>
    <row r="1315" spans="1:5" x14ac:dyDescent="0.2">
      <c r="A1315" s="18"/>
      <c r="B1315" s="17"/>
      <c r="E1315" s="133"/>
    </row>
    <row r="1316" spans="1:5" x14ac:dyDescent="0.2">
      <c r="A1316" s="18"/>
      <c r="B1316" s="17"/>
      <c r="E1316" s="133"/>
    </row>
    <row r="1317" spans="1:5" x14ac:dyDescent="0.2">
      <c r="A1317" s="18"/>
      <c r="B1317" s="17"/>
      <c r="E1317" s="133"/>
    </row>
    <row r="1318" spans="1:5" x14ac:dyDescent="0.2">
      <c r="A1318" s="18"/>
      <c r="B1318" s="17"/>
      <c r="E1318" s="133"/>
    </row>
    <row r="1319" spans="1:5" x14ac:dyDescent="0.2">
      <c r="A1319" s="18"/>
      <c r="B1319" s="17"/>
      <c r="E1319" s="133"/>
    </row>
    <row r="1320" spans="1:5" x14ac:dyDescent="0.2">
      <c r="A1320" s="18"/>
      <c r="B1320" s="17"/>
      <c r="E1320" s="133"/>
    </row>
    <row r="1321" spans="1:5" x14ac:dyDescent="0.2">
      <c r="A1321" s="18"/>
      <c r="B1321" s="17"/>
      <c r="E1321" s="133"/>
    </row>
    <row r="1322" spans="1:5" x14ac:dyDescent="0.2">
      <c r="A1322" s="18"/>
      <c r="B1322" s="17"/>
      <c r="E1322" s="133"/>
    </row>
    <row r="1323" spans="1:5" x14ac:dyDescent="0.2">
      <c r="A1323" s="18"/>
      <c r="B1323" s="17"/>
      <c r="E1323" s="133"/>
    </row>
    <row r="1324" spans="1:5" x14ac:dyDescent="0.2">
      <c r="A1324" s="18"/>
      <c r="B1324" s="17"/>
      <c r="E1324" s="133"/>
    </row>
    <row r="1325" spans="1:5" x14ac:dyDescent="0.2">
      <c r="A1325" s="18"/>
      <c r="B1325" s="17"/>
      <c r="E1325" s="133"/>
    </row>
    <row r="1326" spans="1:5" x14ac:dyDescent="0.2">
      <c r="A1326" s="18"/>
      <c r="B1326" s="17"/>
      <c r="E1326" s="133"/>
    </row>
    <row r="1327" spans="1:5" x14ac:dyDescent="0.2">
      <c r="A1327" s="18"/>
      <c r="B1327" s="17"/>
      <c r="E1327" s="133"/>
    </row>
    <row r="1328" spans="1:5" x14ac:dyDescent="0.2">
      <c r="A1328" s="18"/>
      <c r="B1328" s="17"/>
      <c r="E1328" s="133"/>
    </row>
    <row r="1329" spans="1:5" x14ac:dyDescent="0.2">
      <c r="A1329" s="18"/>
      <c r="B1329" s="17"/>
      <c r="E1329" s="133"/>
    </row>
    <row r="1330" spans="1:5" x14ac:dyDescent="0.2">
      <c r="A1330" s="18"/>
      <c r="B1330" s="17"/>
      <c r="E1330" s="133"/>
    </row>
    <row r="1331" spans="1:5" x14ac:dyDescent="0.2">
      <c r="A1331" s="18"/>
      <c r="B1331" s="17"/>
      <c r="E1331" s="133"/>
    </row>
    <row r="1332" spans="1:5" x14ac:dyDescent="0.2">
      <c r="A1332" s="18"/>
      <c r="B1332" s="17"/>
      <c r="E1332" s="133"/>
    </row>
    <row r="1333" spans="1:5" x14ac:dyDescent="0.2">
      <c r="A1333" s="18"/>
      <c r="B1333" s="17"/>
      <c r="E1333" s="133"/>
    </row>
    <row r="1334" spans="1:5" x14ac:dyDescent="0.2">
      <c r="A1334" s="18"/>
      <c r="B1334" s="17"/>
      <c r="E1334" s="133"/>
    </row>
    <row r="1335" spans="1:5" x14ac:dyDescent="0.2">
      <c r="A1335" s="18"/>
      <c r="B1335" s="17"/>
      <c r="E1335" s="133"/>
    </row>
    <row r="1336" spans="1:5" x14ac:dyDescent="0.2">
      <c r="A1336" s="18"/>
      <c r="B1336" s="17"/>
      <c r="E1336" s="133"/>
    </row>
    <row r="1337" spans="1:5" x14ac:dyDescent="0.2">
      <c r="A1337" s="18"/>
      <c r="B1337" s="17"/>
      <c r="E1337" s="133"/>
    </row>
    <row r="1338" spans="1:5" x14ac:dyDescent="0.2">
      <c r="A1338" s="18"/>
      <c r="B1338" s="17"/>
      <c r="E1338" s="133"/>
    </row>
    <row r="1339" spans="1:5" x14ac:dyDescent="0.2">
      <c r="A1339" s="18"/>
      <c r="B1339" s="17"/>
      <c r="E1339" s="133"/>
    </row>
    <row r="1340" spans="1:5" x14ac:dyDescent="0.2">
      <c r="A1340" s="18"/>
      <c r="B1340" s="17"/>
      <c r="E1340" s="133"/>
    </row>
    <row r="1341" spans="1:5" x14ac:dyDescent="0.2">
      <c r="A1341" s="18"/>
      <c r="B1341" s="17"/>
      <c r="E1341" s="133"/>
    </row>
    <row r="1342" spans="1:5" x14ac:dyDescent="0.2">
      <c r="A1342" s="18"/>
      <c r="B1342" s="17"/>
      <c r="E1342" s="133"/>
    </row>
    <row r="1343" spans="1:5" x14ac:dyDescent="0.2">
      <c r="A1343" s="18"/>
      <c r="B1343" s="17"/>
      <c r="E1343" s="133"/>
    </row>
    <row r="1344" spans="1:5" x14ac:dyDescent="0.2">
      <c r="A1344" s="18"/>
      <c r="B1344" s="17"/>
      <c r="E1344" s="133"/>
    </row>
    <row r="1345" spans="1:5" x14ac:dyDescent="0.2">
      <c r="A1345" s="18"/>
      <c r="B1345" s="17"/>
      <c r="E1345" s="133"/>
    </row>
    <row r="1346" spans="1:5" x14ac:dyDescent="0.2">
      <c r="A1346" s="18"/>
      <c r="B1346" s="17"/>
      <c r="E1346" s="133"/>
    </row>
    <row r="1347" spans="1:5" x14ac:dyDescent="0.2">
      <c r="A1347" s="18"/>
      <c r="B1347" s="17"/>
      <c r="E1347" s="133"/>
    </row>
    <row r="1348" spans="1:5" x14ac:dyDescent="0.2">
      <c r="A1348" s="18"/>
      <c r="B1348" s="17"/>
      <c r="E1348" s="133"/>
    </row>
    <row r="1349" spans="1:5" x14ac:dyDescent="0.2">
      <c r="A1349" s="18"/>
      <c r="B1349" s="17"/>
      <c r="E1349" s="133"/>
    </row>
    <row r="1350" spans="1:5" x14ac:dyDescent="0.2">
      <c r="A1350" s="18"/>
      <c r="B1350" s="17"/>
      <c r="E1350" s="133"/>
    </row>
    <row r="1351" spans="1:5" x14ac:dyDescent="0.2">
      <c r="A1351" s="18"/>
      <c r="B1351" s="17"/>
      <c r="E1351" s="133"/>
    </row>
    <row r="1352" spans="1:5" x14ac:dyDescent="0.2">
      <c r="A1352" s="18"/>
      <c r="B1352" s="17"/>
      <c r="E1352" s="133"/>
    </row>
    <row r="1353" spans="1:5" x14ac:dyDescent="0.2">
      <c r="A1353" s="18"/>
      <c r="B1353" s="17"/>
      <c r="E1353" s="133"/>
    </row>
    <row r="1354" spans="1:5" x14ac:dyDescent="0.2">
      <c r="A1354" s="18"/>
      <c r="B1354" s="17"/>
      <c r="E1354" s="133"/>
    </row>
    <row r="1355" spans="1:5" x14ac:dyDescent="0.2">
      <c r="A1355" s="18"/>
      <c r="B1355" s="17"/>
      <c r="E1355" s="133"/>
    </row>
    <row r="1356" spans="1:5" x14ac:dyDescent="0.2">
      <c r="A1356" s="18"/>
      <c r="B1356" s="17"/>
      <c r="E1356" s="133"/>
    </row>
    <row r="1357" spans="1:5" x14ac:dyDescent="0.2">
      <c r="A1357" s="18"/>
      <c r="B1357" s="17"/>
      <c r="E1357" s="133"/>
    </row>
    <row r="1358" spans="1:5" x14ac:dyDescent="0.2">
      <c r="A1358" s="18"/>
      <c r="B1358" s="17"/>
      <c r="E1358" s="133"/>
    </row>
    <row r="1359" spans="1:5" x14ac:dyDescent="0.2">
      <c r="A1359" s="18"/>
      <c r="B1359" s="17"/>
      <c r="E1359" s="133"/>
    </row>
    <row r="1360" spans="1:5" x14ac:dyDescent="0.2">
      <c r="A1360" s="18"/>
      <c r="B1360" s="17"/>
      <c r="E1360" s="133"/>
    </row>
    <row r="1361" spans="1:5" x14ac:dyDescent="0.2">
      <c r="A1361" s="18"/>
      <c r="B1361" s="17"/>
      <c r="E1361" s="133"/>
    </row>
    <row r="1362" spans="1:5" x14ac:dyDescent="0.2">
      <c r="A1362" s="18"/>
      <c r="B1362" s="17"/>
      <c r="E1362" s="133"/>
    </row>
    <row r="1363" spans="1:5" x14ac:dyDescent="0.2">
      <c r="A1363" s="18"/>
      <c r="B1363" s="17"/>
      <c r="E1363" s="133"/>
    </row>
    <row r="1364" spans="1:5" x14ac:dyDescent="0.2">
      <c r="A1364" s="18"/>
      <c r="B1364" s="17"/>
      <c r="E1364" s="133"/>
    </row>
    <row r="1365" spans="1:5" x14ac:dyDescent="0.2">
      <c r="A1365" s="18"/>
      <c r="B1365" s="17"/>
      <c r="E1365" s="133"/>
    </row>
    <row r="1366" spans="1:5" x14ac:dyDescent="0.2">
      <c r="A1366" s="18"/>
      <c r="B1366" s="17"/>
      <c r="E1366" s="133"/>
    </row>
    <row r="1367" spans="1:5" x14ac:dyDescent="0.2">
      <c r="A1367" s="18"/>
      <c r="B1367" s="17"/>
      <c r="E1367" s="133"/>
    </row>
    <row r="1368" spans="1:5" x14ac:dyDescent="0.2">
      <c r="A1368" s="18"/>
      <c r="B1368" s="17"/>
      <c r="E1368" s="133"/>
    </row>
    <row r="1369" spans="1:5" x14ac:dyDescent="0.2">
      <c r="A1369" s="18"/>
      <c r="B1369" s="17"/>
      <c r="E1369" s="133"/>
    </row>
    <row r="1370" spans="1:5" x14ac:dyDescent="0.2">
      <c r="A1370" s="18"/>
      <c r="B1370" s="17"/>
      <c r="E1370" s="133"/>
    </row>
    <row r="1371" spans="1:5" x14ac:dyDescent="0.2">
      <c r="A1371" s="18"/>
      <c r="B1371" s="17"/>
      <c r="E1371" s="133"/>
    </row>
    <row r="1372" spans="1:5" x14ac:dyDescent="0.2">
      <c r="A1372" s="18"/>
      <c r="B1372" s="17"/>
      <c r="E1372" s="133"/>
    </row>
    <row r="1373" spans="1:5" x14ac:dyDescent="0.2">
      <c r="A1373" s="18"/>
      <c r="B1373" s="17"/>
      <c r="E1373" s="133"/>
    </row>
    <row r="1374" spans="1:5" x14ac:dyDescent="0.2">
      <c r="A1374" s="18"/>
      <c r="B1374" s="17"/>
      <c r="E1374" s="133"/>
    </row>
    <row r="1375" spans="1:5" x14ac:dyDescent="0.2">
      <c r="A1375" s="18"/>
      <c r="B1375" s="17"/>
      <c r="E1375" s="133"/>
    </row>
    <row r="1376" spans="1:5" x14ac:dyDescent="0.2">
      <c r="A1376" s="18"/>
      <c r="B1376" s="17"/>
      <c r="E1376" s="133"/>
    </row>
    <row r="1377" spans="1:5" x14ac:dyDescent="0.2">
      <c r="A1377" s="18"/>
      <c r="B1377" s="17"/>
      <c r="E1377" s="133"/>
    </row>
    <row r="1378" spans="1:5" x14ac:dyDescent="0.2">
      <c r="A1378" s="18"/>
      <c r="B1378" s="17"/>
      <c r="E1378" s="133"/>
    </row>
    <row r="1379" spans="1:5" x14ac:dyDescent="0.2">
      <c r="A1379" s="18"/>
      <c r="B1379" s="17"/>
      <c r="E1379" s="133"/>
    </row>
    <row r="1380" spans="1:5" x14ac:dyDescent="0.2">
      <c r="A1380" s="18"/>
      <c r="B1380" s="17"/>
      <c r="E1380" s="133"/>
    </row>
    <row r="1381" spans="1:5" x14ac:dyDescent="0.2">
      <c r="A1381" s="18"/>
      <c r="B1381" s="17"/>
      <c r="E1381" s="133"/>
    </row>
    <row r="1382" spans="1:5" x14ac:dyDescent="0.2">
      <c r="A1382" s="18"/>
      <c r="B1382" s="17"/>
      <c r="E1382" s="133"/>
    </row>
    <row r="1383" spans="1:5" x14ac:dyDescent="0.2">
      <c r="A1383" s="18"/>
      <c r="B1383" s="17"/>
      <c r="E1383" s="133"/>
    </row>
    <row r="1384" spans="1:5" x14ac:dyDescent="0.2">
      <c r="A1384" s="18"/>
      <c r="B1384" s="17"/>
      <c r="E1384" s="133"/>
    </row>
    <row r="1385" spans="1:5" x14ac:dyDescent="0.2">
      <c r="A1385" s="18"/>
      <c r="B1385" s="17"/>
      <c r="E1385" s="133"/>
    </row>
    <row r="1386" spans="1:5" x14ac:dyDescent="0.2">
      <c r="A1386" s="18"/>
      <c r="B1386" s="17"/>
      <c r="E1386" s="133"/>
    </row>
    <row r="1387" spans="1:5" x14ac:dyDescent="0.2">
      <c r="A1387" s="18"/>
      <c r="B1387" s="17"/>
      <c r="E1387" s="133"/>
    </row>
    <row r="1388" spans="1:5" x14ac:dyDescent="0.2">
      <c r="A1388" s="18"/>
      <c r="B1388" s="17"/>
      <c r="E1388" s="133"/>
    </row>
    <row r="1389" spans="1:5" x14ac:dyDescent="0.2">
      <c r="A1389" s="18"/>
      <c r="B1389" s="17"/>
      <c r="E1389" s="133"/>
    </row>
    <row r="1390" spans="1:5" x14ac:dyDescent="0.2">
      <c r="A1390" s="18"/>
      <c r="B1390" s="17"/>
      <c r="E1390" s="133"/>
    </row>
    <row r="1391" spans="1:5" x14ac:dyDescent="0.2">
      <c r="A1391" s="18"/>
      <c r="B1391" s="17"/>
      <c r="E1391" s="133"/>
    </row>
    <row r="1392" spans="1:5" x14ac:dyDescent="0.2">
      <c r="A1392" s="18"/>
      <c r="B1392" s="17"/>
      <c r="E1392" s="133"/>
    </row>
    <row r="1393" spans="1:5" x14ac:dyDescent="0.2">
      <c r="A1393" s="18"/>
      <c r="B1393" s="17"/>
      <c r="E1393" s="133"/>
    </row>
    <row r="1394" spans="1:5" x14ac:dyDescent="0.2">
      <c r="A1394" s="18"/>
      <c r="B1394" s="17"/>
      <c r="E1394" s="133"/>
    </row>
    <row r="1395" spans="1:5" x14ac:dyDescent="0.2">
      <c r="A1395" s="18"/>
      <c r="B1395" s="17"/>
      <c r="E1395" s="133"/>
    </row>
    <row r="1396" spans="1:5" x14ac:dyDescent="0.2">
      <c r="A1396" s="18"/>
      <c r="B1396" s="17"/>
      <c r="E1396" s="133"/>
    </row>
    <row r="1397" spans="1:5" x14ac:dyDescent="0.2">
      <c r="A1397" s="18"/>
      <c r="B1397" s="17"/>
      <c r="E1397" s="133"/>
    </row>
    <row r="1398" spans="1:5" x14ac:dyDescent="0.2">
      <c r="A1398" s="18"/>
      <c r="B1398" s="17"/>
      <c r="E1398" s="133"/>
    </row>
    <row r="1399" spans="1:5" x14ac:dyDescent="0.2">
      <c r="A1399" s="18"/>
      <c r="B1399" s="17"/>
      <c r="E1399" s="133"/>
    </row>
    <row r="1400" spans="1:5" x14ac:dyDescent="0.2">
      <c r="A1400" s="18"/>
      <c r="B1400" s="17"/>
      <c r="E1400" s="133"/>
    </row>
    <row r="1401" spans="1:5" x14ac:dyDescent="0.2">
      <c r="A1401" s="18"/>
      <c r="B1401" s="17"/>
      <c r="E1401" s="133"/>
    </row>
    <row r="1402" spans="1:5" x14ac:dyDescent="0.2">
      <c r="A1402" s="18"/>
      <c r="B1402" s="17"/>
      <c r="E1402" s="133"/>
    </row>
    <row r="1403" spans="1:5" x14ac:dyDescent="0.2">
      <c r="A1403" s="18"/>
      <c r="B1403" s="17"/>
      <c r="E1403" s="133"/>
    </row>
    <row r="1404" spans="1:5" x14ac:dyDescent="0.2">
      <c r="A1404" s="18"/>
      <c r="B1404" s="17"/>
      <c r="E1404" s="133"/>
    </row>
    <row r="1405" spans="1:5" x14ac:dyDescent="0.2">
      <c r="A1405" s="18"/>
      <c r="B1405" s="17"/>
      <c r="E1405" s="133"/>
    </row>
    <row r="1406" spans="1:5" x14ac:dyDescent="0.2">
      <c r="A1406" s="18"/>
      <c r="B1406" s="17"/>
      <c r="E1406" s="133"/>
    </row>
    <row r="1407" spans="1:5" x14ac:dyDescent="0.2">
      <c r="A1407" s="18"/>
      <c r="B1407" s="17"/>
      <c r="E1407" s="133"/>
    </row>
    <row r="1408" spans="1:5" x14ac:dyDescent="0.2">
      <c r="A1408" s="18"/>
      <c r="B1408" s="17"/>
      <c r="E1408" s="133"/>
    </row>
    <row r="1409" spans="1:5" x14ac:dyDescent="0.2">
      <c r="A1409" s="18"/>
      <c r="B1409" s="17"/>
      <c r="E1409" s="133"/>
    </row>
    <row r="1410" spans="1:5" x14ac:dyDescent="0.2">
      <c r="A1410" s="18"/>
      <c r="B1410" s="17"/>
      <c r="E1410" s="133"/>
    </row>
    <row r="1411" spans="1:5" x14ac:dyDescent="0.2">
      <c r="A1411" s="18"/>
      <c r="B1411" s="17"/>
      <c r="E1411" s="133"/>
    </row>
    <row r="1412" spans="1:5" x14ac:dyDescent="0.2">
      <c r="A1412" s="18"/>
      <c r="B1412" s="17"/>
      <c r="E1412" s="133"/>
    </row>
    <row r="1413" spans="1:5" x14ac:dyDescent="0.2">
      <c r="A1413" s="18"/>
      <c r="B1413" s="17"/>
      <c r="E1413" s="133"/>
    </row>
    <row r="1414" spans="1:5" x14ac:dyDescent="0.2">
      <c r="A1414" s="18"/>
      <c r="B1414" s="17"/>
      <c r="E1414" s="133"/>
    </row>
    <row r="1415" spans="1:5" x14ac:dyDescent="0.2">
      <c r="A1415" s="18"/>
      <c r="B1415" s="17"/>
      <c r="E1415" s="133"/>
    </row>
    <row r="1416" spans="1:5" x14ac:dyDescent="0.2">
      <c r="A1416" s="18"/>
      <c r="B1416" s="17"/>
      <c r="E1416" s="133"/>
    </row>
    <row r="1417" spans="1:5" x14ac:dyDescent="0.2">
      <c r="A1417" s="18"/>
      <c r="B1417" s="17"/>
      <c r="E1417" s="133"/>
    </row>
    <row r="1418" spans="1:5" x14ac:dyDescent="0.2">
      <c r="A1418" s="18"/>
      <c r="B1418" s="17"/>
      <c r="E1418" s="133"/>
    </row>
    <row r="1419" spans="1:5" x14ac:dyDescent="0.2">
      <c r="A1419" s="18"/>
      <c r="B1419" s="17"/>
      <c r="E1419" s="133"/>
    </row>
    <row r="1420" spans="1:5" x14ac:dyDescent="0.2">
      <c r="A1420" s="18"/>
      <c r="B1420" s="17"/>
      <c r="E1420" s="133"/>
    </row>
    <row r="1421" spans="1:5" x14ac:dyDescent="0.2">
      <c r="A1421" s="18"/>
      <c r="B1421" s="17"/>
      <c r="E1421" s="133"/>
    </row>
    <row r="1422" spans="1:5" x14ac:dyDescent="0.2">
      <c r="A1422" s="18"/>
      <c r="B1422" s="17"/>
      <c r="E1422" s="133"/>
    </row>
    <row r="1423" spans="1:5" x14ac:dyDescent="0.2">
      <c r="A1423" s="18"/>
      <c r="B1423" s="17"/>
      <c r="E1423" s="133"/>
    </row>
    <row r="1424" spans="1:5" x14ac:dyDescent="0.2">
      <c r="A1424" s="18"/>
      <c r="B1424" s="17"/>
      <c r="E1424" s="133"/>
    </row>
    <row r="1425" spans="1:5" x14ac:dyDescent="0.2">
      <c r="A1425" s="18"/>
      <c r="B1425" s="17"/>
      <c r="E1425" s="133"/>
    </row>
    <row r="1426" spans="1:5" x14ac:dyDescent="0.2">
      <c r="A1426" s="18"/>
      <c r="B1426" s="17"/>
      <c r="E1426" s="133"/>
    </row>
    <row r="1427" spans="1:5" x14ac:dyDescent="0.2">
      <c r="A1427" s="18"/>
      <c r="B1427" s="17"/>
      <c r="E1427" s="133"/>
    </row>
    <row r="1428" spans="1:5" x14ac:dyDescent="0.2">
      <c r="A1428" s="18"/>
      <c r="B1428" s="17"/>
      <c r="E1428" s="133"/>
    </row>
    <row r="1429" spans="1:5" x14ac:dyDescent="0.2">
      <c r="A1429" s="18"/>
      <c r="B1429" s="17"/>
      <c r="E1429" s="133"/>
    </row>
    <row r="1430" spans="1:5" x14ac:dyDescent="0.2">
      <c r="A1430" s="18"/>
      <c r="B1430" s="17"/>
      <c r="E1430" s="133"/>
    </row>
    <row r="1431" spans="1:5" x14ac:dyDescent="0.2">
      <c r="A1431" s="18"/>
      <c r="B1431" s="17"/>
      <c r="E1431" s="133"/>
    </row>
    <row r="1432" spans="1:5" x14ac:dyDescent="0.2">
      <c r="A1432" s="18"/>
      <c r="B1432" s="17"/>
      <c r="E1432" s="133"/>
    </row>
    <row r="1433" spans="1:5" x14ac:dyDescent="0.2">
      <c r="A1433" s="18"/>
      <c r="B1433" s="17"/>
      <c r="E1433" s="133"/>
    </row>
    <row r="1434" spans="1:5" x14ac:dyDescent="0.2">
      <c r="A1434" s="18"/>
      <c r="B1434" s="17"/>
      <c r="E1434" s="133"/>
    </row>
    <row r="1435" spans="1:5" x14ac:dyDescent="0.2">
      <c r="A1435" s="18"/>
      <c r="B1435" s="17"/>
      <c r="E1435" s="133"/>
    </row>
    <row r="1436" spans="1:5" x14ac:dyDescent="0.2">
      <c r="A1436" s="18"/>
      <c r="B1436" s="17"/>
      <c r="E1436" s="133"/>
    </row>
    <row r="1437" spans="1:5" x14ac:dyDescent="0.2">
      <c r="A1437" s="18"/>
      <c r="B1437" s="17"/>
      <c r="E1437" s="133"/>
    </row>
    <row r="1438" spans="1:5" x14ac:dyDescent="0.2">
      <c r="A1438" s="18"/>
      <c r="B1438" s="17"/>
      <c r="E1438" s="133"/>
    </row>
    <row r="1439" spans="1:5" x14ac:dyDescent="0.2">
      <c r="A1439" s="18"/>
      <c r="B1439" s="17"/>
      <c r="E1439" s="133"/>
    </row>
    <row r="1440" spans="1:5" x14ac:dyDescent="0.2">
      <c r="A1440" s="18"/>
      <c r="B1440" s="17"/>
      <c r="E1440" s="133"/>
    </row>
    <row r="1441" spans="1:5" x14ac:dyDescent="0.2">
      <c r="A1441" s="18"/>
      <c r="B1441" s="17"/>
      <c r="E1441" s="133"/>
    </row>
    <row r="1442" spans="1:5" x14ac:dyDescent="0.2">
      <c r="A1442" s="18"/>
      <c r="B1442" s="17"/>
      <c r="E1442" s="133"/>
    </row>
    <row r="1443" spans="1:5" x14ac:dyDescent="0.2">
      <c r="A1443" s="18"/>
      <c r="B1443" s="17"/>
      <c r="E1443" s="133"/>
    </row>
    <row r="1444" spans="1:5" x14ac:dyDescent="0.2">
      <c r="A1444" s="18"/>
      <c r="B1444" s="17"/>
      <c r="E1444" s="133"/>
    </row>
    <row r="1445" spans="1:5" x14ac:dyDescent="0.2">
      <c r="A1445" s="18"/>
      <c r="B1445" s="17"/>
      <c r="E1445" s="133"/>
    </row>
    <row r="1446" spans="1:5" x14ac:dyDescent="0.2">
      <c r="A1446" s="18"/>
      <c r="B1446" s="17"/>
      <c r="E1446" s="133"/>
    </row>
    <row r="1447" spans="1:5" x14ac:dyDescent="0.2">
      <c r="A1447" s="18"/>
      <c r="B1447" s="17"/>
      <c r="E1447" s="133"/>
    </row>
    <row r="1448" spans="1:5" x14ac:dyDescent="0.2">
      <c r="A1448" s="18"/>
      <c r="B1448" s="17"/>
      <c r="E1448" s="133"/>
    </row>
    <row r="1449" spans="1:5" x14ac:dyDescent="0.2">
      <c r="A1449" s="18"/>
      <c r="B1449" s="17"/>
      <c r="E1449" s="133"/>
    </row>
    <row r="1450" spans="1:5" x14ac:dyDescent="0.2">
      <c r="A1450" s="18"/>
      <c r="B1450" s="17"/>
      <c r="E1450" s="133"/>
    </row>
    <row r="1451" spans="1:5" x14ac:dyDescent="0.2">
      <c r="A1451" s="18"/>
      <c r="B1451" s="17"/>
      <c r="E1451" s="133"/>
    </row>
    <row r="1452" spans="1:5" x14ac:dyDescent="0.2">
      <c r="A1452" s="18"/>
      <c r="B1452" s="17"/>
      <c r="E1452" s="133"/>
    </row>
    <row r="1453" spans="1:5" x14ac:dyDescent="0.2">
      <c r="A1453" s="18"/>
      <c r="B1453" s="17"/>
      <c r="E1453" s="133"/>
    </row>
    <row r="1454" spans="1:5" x14ac:dyDescent="0.2">
      <c r="A1454" s="18"/>
      <c r="B1454" s="17"/>
      <c r="E1454" s="133"/>
    </row>
    <row r="1455" spans="1:5" x14ac:dyDescent="0.2">
      <c r="A1455" s="18"/>
      <c r="B1455" s="17"/>
      <c r="E1455" s="133"/>
    </row>
    <row r="1456" spans="1:5" x14ac:dyDescent="0.2">
      <c r="A1456" s="18"/>
      <c r="B1456" s="17"/>
      <c r="E1456" s="133"/>
    </row>
    <row r="1457" spans="1:5" x14ac:dyDescent="0.2">
      <c r="A1457" s="18"/>
      <c r="B1457" s="17"/>
      <c r="E1457" s="133"/>
    </row>
    <row r="1458" spans="1:5" x14ac:dyDescent="0.2">
      <c r="A1458" s="18"/>
      <c r="B1458" s="17"/>
      <c r="E1458" s="133"/>
    </row>
    <row r="1459" spans="1:5" x14ac:dyDescent="0.2">
      <c r="A1459" s="18"/>
      <c r="B1459" s="17"/>
      <c r="E1459" s="133"/>
    </row>
    <row r="1460" spans="1:5" x14ac:dyDescent="0.2">
      <c r="A1460" s="18"/>
      <c r="B1460" s="17"/>
      <c r="E1460" s="133"/>
    </row>
    <row r="1461" spans="1:5" x14ac:dyDescent="0.2">
      <c r="A1461" s="18"/>
      <c r="B1461" s="17"/>
      <c r="E1461" s="133"/>
    </row>
    <row r="1462" spans="1:5" x14ac:dyDescent="0.2">
      <c r="A1462" s="18"/>
      <c r="B1462" s="17"/>
      <c r="E1462" s="133"/>
    </row>
    <row r="1463" spans="1:5" x14ac:dyDescent="0.2">
      <c r="A1463" s="18"/>
      <c r="B1463" s="17"/>
      <c r="E1463" s="133"/>
    </row>
    <row r="1464" spans="1:5" x14ac:dyDescent="0.2">
      <c r="A1464" s="18"/>
      <c r="B1464" s="17"/>
      <c r="E1464" s="133"/>
    </row>
    <row r="1465" spans="1:5" x14ac:dyDescent="0.2">
      <c r="A1465" s="18"/>
      <c r="B1465" s="17"/>
      <c r="E1465" s="133"/>
    </row>
    <row r="1466" spans="1:5" x14ac:dyDescent="0.2">
      <c r="A1466" s="18"/>
      <c r="B1466" s="17"/>
      <c r="E1466" s="133"/>
    </row>
    <row r="1467" spans="1:5" x14ac:dyDescent="0.2">
      <c r="A1467" s="18"/>
      <c r="B1467" s="17"/>
      <c r="E1467" s="133"/>
    </row>
    <row r="1468" spans="1:5" x14ac:dyDescent="0.2">
      <c r="A1468" s="18"/>
      <c r="B1468" s="17"/>
      <c r="E1468" s="133"/>
    </row>
    <row r="1469" spans="1:5" x14ac:dyDescent="0.2">
      <c r="A1469" s="18"/>
      <c r="B1469" s="17"/>
      <c r="E1469" s="133"/>
    </row>
    <row r="1470" spans="1:5" x14ac:dyDescent="0.2">
      <c r="A1470" s="18"/>
      <c r="B1470" s="17"/>
      <c r="E1470" s="133"/>
    </row>
    <row r="1471" spans="1:5" x14ac:dyDescent="0.2">
      <c r="A1471" s="18"/>
      <c r="B1471" s="17"/>
      <c r="E1471" s="133"/>
    </row>
    <row r="1472" spans="1:5" x14ac:dyDescent="0.2">
      <c r="A1472" s="18"/>
      <c r="B1472" s="17"/>
      <c r="E1472" s="133"/>
    </row>
    <row r="1473" spans="1:5" x14ac:dyDescent="0.2">
      <c r="A1473" s="18"/>
      <c r="B1473" s="17"/>
      <c r="E1473" s="133"/>
    </row>
    <row r="1474" spans="1:5" x14ac:dyDescent="0.2">
      <c r="A1474" s="18"/>
      <c r="B1474" s="17"/>
      <c r="E1474" s="133"/>
    </row>
    <row r="1475" spans="1:5" x14ac:dyDescent="0.2">
      <c r="A1475" s="18"/>
      <c r="B1475" s="17"/>
      <c r="E1475" s="133"/>
    </row>
    <row r="1476" spans="1:5" x14ac:dyDescent="0.2">
      <c r="A1476" s="18"/>
      <c r="B1476" s="17"/>
      <c r="E1476" s="133"/>
    </row>
    <row r="1477" spans="1:5" x14ac:dyDescent="0.2">
      <c r="A1477" s="18"/>
      <c r="B1477" s="17"/>
      <c r="E1477" s="133"/>
    </row>
    <row r="1478" spans="1:5" x14ac:dyDescent="0.2">
      <c r="A1478" s="18"/>
      <c r="B1478" s="17"/>
      <c r="E1478" s="133"/>
    </row>
    <row r="1479" spans="1:5" x14ac:dyDescent="0.2">
      <c r="A1479" s="18"/>
      <c r="B1479" s="17"/>
      <c r="E1479" s="133"/>
    </row>
    <row r="1480" spans="1:5" x14ac:dyDescent="0.2">
      <c r="A1480" s="18"/>
      <c r="B1480" s="17"/>
      <c r="E1480" s="133"/>
    </row>
    <row r="1481" spans="1:5" x14ac:dyDescent="0.2">
      <c r="A1481" s="18"/>
      <c r="B1481" s="17"/>
      <c r="E1481" s="133"/>
    </row>
    <row r="1482" spans="1:5" x14ac:dyDescent="0.2">
      <c r="A1482" s="18"/>
      <c r="B1482" s="17"/>
      <c r="E1482" s="133"/>
    </row>
    <row r="1483" spans="1:5" x14ac:dyDescent="0.2">
      <c r="A1483" s="18"/>
      <c r="B1483" s="17"/>
      <c r="E1483" s="133"/>
    </row>
    <row r="1484" spans="1:5" x14ac:dyDescent="0.2">
      <c r="A1484" s="18"/>
      <c r="B1484" s="17"/>
      <c r="E1484" s="133"/>
    </row>
    <row r="1485" spans="1:5" x14ac:dyDescent="0.2">
      <c r="A1485" s="18"/>
      <c r="B1485" s="17"/>
      <c r="E1485" s="133"/>
    </row>
    <row r="1486" spans="1:5" x14ac:dyDescent="0.2">
      <c r="A1486" s="18"/>
      <c r="B1486" s="17"/>
      <c r="E1486" s="133"/>
    </row>
    <row r="1487" spans="1:5" x14ac:dyDescent="0.2">
      <c r="A1487" s="18"/>
      <c r="B1487" s="17"/>
      <c r="E1487" s="133"/>
    </row>
    <row r="1488" spans="1:5" x14ac:dyDescent="0.2">
      <c r="A1488" s="18"/>
      <c r="B1488" s="17"/>
      <c r="E1488" s="133"/>
    </row>
    <row r="1489" spans="1:5" x14ac:dyDescent="0.2">
      <c r="A1489" s="18"/>
      <c r="B1489" s="17"/>
      <c r="E1489" s="133"/>
    </row>
    <row r="1490" spans="1:5" x14ac:dyDescent="0.2">
      <c r="A1490" s="18"/>
      <c r="B1490" s="17"/>
      <c r="E1490" s="133"/>
    </row>
    <row r="1491" spans="1:5" x14ac:dyDescent="0.2">
      <c r="A1491" s="18"/>
      <c r="B1491" s="17"/>
      <c r="E1491" s="133"/>
    </row>
    <row r="1492" spans="1:5" x14ac:dyDescent="0.2">
      <c r="A1492" s="18"/>
      <c r="B1492" s="17"/>
      <c r="E1492" s="133"/>
    </row>
    <row r="1493" spans="1:5" x14ac:dyDescent="0.2">
      <c r="A1493" s="18"/>
      <c r="B1493" s="17"/>
      <c r="E1493" s="133"/>
    </row>
    <row r="1494" spans="1:5" x14ac:dyDescent="0.2">
      <c r="A1494" s="18"/>
      <c r="B1494" s="17"/>
      <c r="E1494" s="133"/>
    </row>
    <row r="1495" spans="1:5" x14ac:dyDescent="0.2">
      <c r="A1495" s="18"/>
      <c r="B1495" s="17"/>
      <c r="E1495" s="133"/>
    </row>
    <row r="1496" spans="1:5" x14ac:dyDescent="0.2">
      <c r="A1496" s="18"/>
      <c r="B1496" s="17"/>
      <c r="E1496" s="133"/>
    </row>
    <row r="1497" spans="1:5" x14ac:dyDescent="0.2">
      <c r="A1497" s="18"/>
      <c r="B1497" s="17"/>
      <c r="E1497" s="133"/>
    </row>
    <row r="1498" spans="1:5" x14ac:dyDescent="0.2">
      <c r="A1498" s="18"/>
      <c r="B1498" s="17"/>
      <c r="E1498" s="133"/>
    </row>
    <row r="1499" spans="1:5" x14ac:dyDescent="0.2">
      <c r="A1499" s="18"/>
      <c r="B1499" s="17"/>
      <c r="E1499" s="133"/>
    </row>
    <row r="1500" spans="1:5" x14ac:dyDescent="0.2">
      <c r="A1500" s="18"/>
      <c r="B1500" s="17"/>
      <c r="E1500" s="133"/>
    </row>
    <row r="1501" spans="1:5" x14ac:dyDescent="0.2">
      <c r="A1501" s="18"/>
      <c r="B1501" s="17"/>
      <c r="E1501" s="133"/>
    </row>
    <row r="1502" spans="1:5" x14ac:dyDescent="0.2">
      <c r="A1502" s="18"/>
      <c r="B1502" s="17"/>
      <c r="E1502" s="133"/>
    </row>
    <row r="1503" spans="1:5" x14ac:dyDescent="0.2">
      <c r="A1503" s="18"/>
      <c r="B1503" s="17"/>
      <c r="E1503" s="133"/>
    </row>
    <row r="1504" spans="1:5" x14ac:dyDescent="0.2">
      <c r="A1504" s="18"/>
      <c r="B1504" s="17"/>
      <c r="E1504" s="133"/>
    </row>
    <row r="1505" spans="1:5" x14ac:dyDescent="0.2">
      <c r="A1505" s="18"/>
      <c r="B1505" s="17"/>
      <c r="E1505" s="133"/>
    </row>
    <row r="1506" spans="1:5" x14ac:dyDescent="0.2">
      <c r="A1506" s="18"/>
      <c r="B1506" s="17"/>
      <c r="E1506" s="133"/>
    </row>
    <row r="1507" spans="1:5" x14ac:dyDescent="0.2">
      <c r="A1507" s="18"/>
      <c r="B1507" s="17"/>
      <c r="E1507" s="133"/>
    </row>
    <row r="1508" spans="1:5" x14ac:dyDescent="0.2">
      <c r="A1508" s="18"/>
      <c r="B1508" s="17"/>
      <c r="E1508" s="133"/>
    </row>
    <row r="1509" spans="1:5" x14ac:dyDescent="0.2">
      <c r="A1509" s="18"/>
      <c r="B1509" s="17"/>
      <c r="E1509" s="133"/>
    </row>
    <row r="1510" spans="1:5" x14ac:dyDescent="0.2">
      <c r="A1510" s="18"/>
      <c r="B1510" s="17"/>
      <c r="E1510" s="133"/>
    </row>
    <row r="1511" spans="1:5" x14ac:dyDescent="0.2">
      <c r="A1511" s="18"/>
      <c r="B1511" s="17"/>
      <c r="E1511" s="133"/>
    </row>
    <row r="1512" spans="1:5" x14ac:dyDescent="0.2">
      <c r="A1512" s="18"/>
      <c r="B1512" s="17"/>
      <c r="E1512" s="133"/>
    </row>
    <row r="1513" spans="1:5" x14ac:dyDescent="0.2">
      <c r="A1513" s="18"/>
      <c r="B1513" s="17"/>
      <c r="E1513" s="133"/>
    </row>
    <row r="1514" spans="1:5" x14ac:dyDescent="0.2">
      <c r="A1514" s="18"/>
      <c r="B1514" s="17"/>
      <c r="E1514" s="133"/>
    </row>
    <row r="1515" spans="1:5" x14ac:dyDescent="0.2">
      <c r="A1515" s="18"/>
      <c r="B1515" s="17"/>
      <c r="E1515" s="133"/>
    </row>
    <row r="1516" spans="1:5" x14ac:dyDescent="0.2">
      <c r="A1516" s="18"/>
      <c r="B1516" s="17"/>
      <c r="E1516" s="133"/>
    </row>
    <row r="1517" spans="1:5" x14ac:dyDescent="0.2">
      <c r="A1517" s="18"/>
      <c r="B1517" s="17"/>
      <c r="E1517" s="133"/>
    </row>
    <row r="1518" spans="1:5" x14ac:dyDescent="0.2">
      <c r="A1518" s="18"/>
      <c r="B1518" s="17"/>
      <c r="E1518" s="133"/>
    </row>
    <row r="1519" spans="1:5" x14ac:dyDescent="0.2">
      <c r="A1519" s="18"/>
      <c r="B1519" s="17"/>
      <c r="E1519" s="133"/>
    </row>
    <row r="1520" spans="1:5" x14ac:dyDescent="0.2">
      <c r="A1520" s="18"/>
      <c r="B1520" s="17"/>
      <c r="E1520" s="133"/>
    </row>
    <row r="1521" spans="1:5" x14ac:dyDescent="0.2">
      <c r="A1521" s="18"/>
      <c r="B1521" s="17"/>
      <c r="E1521" s="133"/>
    </row>
    <row r="1522" spans="1:5" x14ac:dyDescent="0.2">
      <c r="A1522" s="18"/>
      <c r="B1522" s="17"/>
      <c r="E1522" s="133"/>
    </row>
    <row r="1523" spans="1:5" x14ac:dyDescent="0.2">
      <c r="A1523" s="18"/>
      <c r="B1523" s="17"/>
      <c r="E1523" s="133"/>
    </row>
    <row r="1524" spans="1:5" x14ac:dyDescent="0.2">
      <c r="A1524" s="18"/>
      <c r="B1524" s="17"/>
      <c r="E1524" s="133"/>
    </row>
    <row r="1525" spans="1:5" x14ac:dyDescent="0.2">
      <c r="A1525" s="18"/>
      <c r="B1525" s="17"/>
      <c r="E1525" s="133"/>
    </row>
    <row r="1526" spans="1:5" x14ac:dyDescent="0.2">
      <c r="A1526" s="18"/>
      <c r="B1526" s="17"/>
      <c r="E1526" s="133"/>
    </row>
    <row r="1527" spans="1:5" x14ac:dyDescent="0.2">
      <c r="A1527" s="18"/>
      <c r="B1527" s="17"/>
      <c r="E1527" s="133"/>
    </row>
    <row r="1528" spans="1:5" x14ac:dyDescent="0.2">
      <c r="A1528" s="18"/>
      <c r="B1528" s="17"/>
      <c r="E1528" s="133"/>
    </row>
    <row r="1529" spans="1:5" x14ac:dyDescent="0.2">
      <c r="A1529" s="18"/>
      <c r="B1529" s="17"/>
      <c r="E1529" s="133"/>
    </row>
    <row r="1530" spans="1:5" x14ac:dyDescent="0.2">
      <c r="A1530" s="18"/>
      <c r="B1530" s="17"/>
      <c r="E1530" s="133"/>
    </row>
    <row r="1531" spans="1:5" x14ac:dyDescent="0.2">
      <c r="A1531" s="18"/>
      <c r="B1531" s="17"/>
      <c r="E1531" s="133"/>
    </row>
    <row r="1532" spans="1:5" x14ac:dyDescent="0.2">
      <c r="A1532" s="18"/>
      <c r="B1532" s="17"/>
      <c r="E1532" s="133"/>
    </row>
    <row r="1533" spans="1:5" x14ac:dyDescent="0.2">
      <c r="A1533" s="18"/>
      <c r="B1533" s="17"/>
      <c r="E1533" s="133"/>
    </row>
    <row r="1534" spans="1:5" x14ac:dyDescent="0.2">
      <c r="A1534" s="18"/>
      <c r="B1534" s="17"/>
      <c r="E1534" s="133"/>
    </row>
    <row r="1535" spans="1:5" x14ac:dyDescent="0.2">
      <c r="A1535" s="18"/>
      <c r="B1535" s="17"/>
      <c r="E1535" s="133"/>
    </row>
    <row r="1536" spans="1:5" x14ac:dyDescent="0.2">
      <c r="A1536" s="18"/>
      <c r="B1536" s="17"/>
      <c r="E1536" s="133"/>
    </row>
    <row r="1537" spans="1:5" x14ac:dyDescent="0.2">
      <c r="A1537" s="18"/>
      <c r="B1537" s="17"/>
      <c r="E1537" s="133"/>
    </row>
    <row r="1538" spans="1:5" x14ac:dyDescent="0.2">
      <c r="A1538" s="18"/>
      <c r="B1538" s="17"/>
      <c r="E1538" s="133"/>
    </row>
    <row r="1539" spans="1:5" x14ac:dyDescent="0.2">
      <c r="A1539" s="18"/>
      <c r="B1539" s="17"/>
      <c r="E1539" s="133"/>
    </row>
    <row r="1540" spans="1:5" x14ac:dyDescent="0.2">
      <c r="A1540" s="18"/>
      <c r="B1540" s="17"/>
      <c r="E1540" s="133"/>
    </row>
    <row r="1541" spans="1:5" x14ac:dyDescent="0.2">
      <c r="A1541" s="18"/>
      <c r="B1541" s="17"/>
      <c r="E1541" s="133"/>
    </row>
    <row r="1542" spans="1:5" x14ac:dyDescent="0.2">
      <c r="A1542" s="18"/>
      <c r="B1542" s="17"/>
      <c r="E1542" s="133"/>
    </row>
    <row r="1543" spans="1:5" x14ac:dyDescent="0.2">
      <c r="A1543" s="18"/>
      <c r="B1543" s="17"/>
      <c r="E1543" s="133"/>
    </row>
    <row r="1544" spans="1:5" x14ac:dyDescent="0.2">
      <c r="A1544" s="18"/>
      <c r="B1544" s="17"/>
      <c r="E1544" s="133"/>
    </row>
    <row r="1545" spans="1:5" x14ac:dyDescent="0.2">
      <c r="A1545" s="18"/>
      <c r="B1545" s="17"/>
      <c r="E1545" s="133"/>
    </row>
    <row r="1546" spans="1:5" x14ac:dyDescent="0.2">
      <c r="A1546" s="18"/>
      <c r="B1546" s="17"/>
      <c r="E1546" s="133"/>
    </row>
    <row r="1547" spans="1:5" x14ac:dyDescent="0.2">
      <c r="A1547" s="18"/>
      <c r="B1547" s="17"/>
      <c r="E1547" s="133"/>
    </row>
    <row r="1548" spans="1:5" x14ac:dyDescent="0.2">
      <c r="A1548" s="18"/>
      <c r="B1548" s="17"/>
      <c r="E1548" s="133"/>
    </row>
    <row r="1549" spans="1:5" x14ac:dyDescent="0.2">
      <c r="A1549" s="18"/>
      <c r="B1549" s="17"/>
      <c r="E1549" s="133"/>
    </row>
    <row r="1550" spans="1:5" x14ac:dyDescent="0.2">
      <c r="A1550" s="18"/>
      <c r="B1550" s="17"/>
      <c r="E1550" s="133"/>
    </row>
    <row r="1551" spans="1:5" x14ac:dyDescent="0.2">
      <c r="A1551" s="18"/>
      <c r="B1551" s="17"/>
      <c r="E1551" s="133"/>
    </row>
    <row r="1552" spans="1:5" x14ac:dyDescent="0.2">
      <c r="A1552" s="18"/>
      <c r="B1552" s="17"/>
      <c r="E1552" s="133"/>
    </row>
    <row r="1553" spans="1:5" x14ac:dyDescent="0.2">
      <c r="A1553" s="18"/>
      <c r="B1553" s="17"/>
      <c r="E1553" s="133"/>
    </row>
    <row r="1554" spans="1:5" x14ac:dyDescent="0.2">
      <c r="A1554" s="18"/>
      <c r="B1554" s="17"/>
      <c r="E1554" s="133"/>
    </row>
    <row r="1555" spans="1:5" x14ac:dyDescent="0.2">
      <c r="A1555" s="18"/>
      <c r="B1555" s="17"/>
      <c r="E1555" s="133"/>
    </row>
    <row r="1556" spans="1:5" x14ac:dyDescent="0.2">
      <c r="A1556" s="18"/>
      <c r="B1556" s="17"/>
      <c r="E1556" s="133"/>
    </row>
    <row r="1557" spans="1:5" x14ac:dyDescent="0.2">
      <c r="A1557" s="18"/>
      <c r="B1557" s="17"/>
      <c r="E1557" s="133"/>
    </row>
    <row r="1558" spans="1:5" x14ac:dyDescent="0.2">
      <c r="A1558" s="18"/>
      <c r="B1558" s="17"/>
      <c r="E1558" s="133"/>
    </row>
    <row r="1559" spans="1:5" x14ac:dyDescent="0.2">
      <c r="A1559" s="18"/>
      <c r="B1559" s="17"/>
      <c r="E1559" s="133"/>
    </row>
    <row r="1560" spans="1:5" x14ac:dyDescent="0.2">
      <c r="A1560" s="18"/>
      <c r="B1560" s="17"/>
      <c r="E1560" s="133"/>
    </row>
    <row r="1561" spans="1:5" x14ac:dyDescent="0.2">
      <c r="A1561" s="18"/>
      <c r="B1561" s="17"/>
      <c r="E1561" s="133"/>
    </row>
    <row r="1562" spans="1:5" x14ac:dyDescent="0.2">
      <c r="A1562" s="18"/>
      <c r="B1562" s="17"/>
      <c r="E1562" s="133"/>
    </row>
    <row r="1563" spans="1:5" x14ac:dyDescent="0.2">
      <c r="A1563" s="18"/>
      <c r="B1563" s="17"/>
      <c r="E1563" s="133"/>
    </row>
    <row r="1564" spans="1:5" x14ac:dyDescent="0.2">
      <c r="A1564" s="18"/>
      <c r="B1564" s="17"/>
      <c r="E1564" s="133"/>
    </row>
    <row r="1565" spans="1:5" x14ac:dyDescent="0.2">
      <c r="A1565" s="18"/>
      <c r="B1565" s="17"/>
      <c r="E1565" s="133"/>
    </row>
    <row r="1566" spans="1:5" x14ac:dyDescent="0.2">
      <c r="A1566" s="18"/>
      <c r="B1566" s="17"/>
      <c r="E1566" s="133"/>
    </row>
    <row r="1567" spans="1:5" x14ac:dyDescent="0.2">
      <c r="A1567" s="18"/>
      <c r="B1567" s="17"/>
      <c r="E1567" s="133"/>
    </row>
    <row r="1568" spans="1:5" x14ac:dyDescent="0.2">
      <c r="A1568" s="18"/>
      <c r="B1568" s="17"/>
      <c r="E1568" s="133"/>
    </row>
    <row r="1569" spans="1:5" x14ac:dyDescent="0.2">
      <c r="A1569" s="18"/>
      <c r="B1569" s="17"/>
      <c r="E1569" s="133"/>
    </row>
    <row r="1570" spans="1:5" x14ac:dyDescent="0.2">
      <c r="A1570" s="18"/>
      <c r="B1570" s="17"/>
      <c r="E1570" s="133"/>
    </row>
    <row r="1571" spans="1:5" x14ac:dyDescent="0.2">
      <c r="A1571" s="18"/>
      <c r="B1571" s="17"/>
      <c r="E1571" s="133"/>
    </row>
    <row r="1572" spans="1:5" x14ac:dyDescent="0.2">
      <c r="A1572" s="18"/>
      <c r="B1572" s="17"/>
      <c r="E1572" s="133"/>
    </row>
    <row r="1573" spans="1:5" x14ac:dyDescent="0.2">
      <c r="A1573" s="18"/>
      <c r="B1573" s="17"/>
      <c r="E1573" s="133"/>
    </row>
    <row r="1574" spans="1:5" x14ac:dyDescent="0.2">
      <c r="A1574" s="18"/>
      <c r="B1574" s="17"/>
      <c r="E1574" s="133"/>
    </row>
    <row r="1575" spans="1:5" x14ac:dyDescent="0.2">
      <c r="A1575" s="18"/>
      <c r="B1575" s="17"/>
      <c r="E1575" s="133"/>
    </row>
    <row r="1576" spans="1:5" x14ac:dyDescent="0.2">
      <c r="A1576" s="18"/>
      <c r="B1576" s="17"/>
      <c r="E1576" s="133"/>
    </row>
    <row r="1577" spans="1:5" x14ac:dyDescent="0.2">
      <c r="A1577" s="18"/>
      <c r="B1577" s="17"/>
      <c r="E1577" s="133"/>
    </row>
    <row r="1578" spans="1:5" x14ac:dyDescent="0.2">
      <c r="A1578" s="18"/>
      <c r="B1578" s="17"/>
      <c r="E1578" s="133"/>
    </row>
    <row r="1579" spans="1:5" x14ac:dyDescent="0.2">
      <c r="A1579" s="18"/>
      <c r="B1579" s="17"/>
      <c r="E1579" s="133"/>
    </row>
    <row r="1580" spans="1:5" x14ac:dyDescent="0.2">
      <c r="A1580" s="18"/>
      <c r="B1580" s="17"/>
      <c r="E1580" s="133"/>
    </row>
    <row r="1581" spans="1:5" x14ac:dyDescent="0.2">
      <c r="A1581" s="18"/>
      <c r="B1581" s="17"/>
      <c r="E1581" s="133"/>
    </row>
    <row r="1582" spans="1:5" x14ac:dyDescent="0.2">
      <c r="A1582" s="18"/>
      <c r="B1582" s="17"/>
      <c r="E1582" s="133"/>
    </row>
    <row r="1583" spans="1:5" x14ac:dyDescent="0.2">
      <c r="A1583" s="18"/>
      <c r="B1583" s="17"/>
      <c r="E1583" s="133"/>
    </row>
    <row r="1584" spans="1:5" x14ac:dyDescent="0.2">
      <c r="A1584" s="18"/>
      <c r="B1584" s="17"/>
      <c r="E1584" s="133"/>
    </row>
    <row r="1585" spans="1:5" x14ac:dyDescent="0.2">
      <c r="A1585" s="18"/>
      <c r="B1585" s="17"/>
      <c r="E1585" s="133"/>
    </row>
    <row r="1586" spans="1:5" x14ac:dyDescent="0.2">
      <c r="A1586" s="18"/>
      <c r="B1586" s="17"/>
      <c r="E1586" s="133"/>
    </row>
    <row r="1587" spans="1:5" x14ac:dyDescent="0.2">
      <c r="A1587" s="18"/>
      <c r="B1587" s="17"/>
      <c r="E1587" s="133"/>
    </row>
    <row r="1588" spans="1:5" x14ac:dyDescent="0.2">
      <c r="A1588" s="18"/>
      <c r="B1588" s="17"/>
      <c r="E1588" s="133"/>
    </row>
    <row r="1589" spans="1:5" x14ac:dyDescent="0.2">
      <c r="A1589" s="18"/>
      <c r="B1589" s="17"/>
      <c r="E1589" s="133"/>
    </row>
    <row r="1590" spans="1:5" x14ac:dyDescent="0.2">
      <c r="A1590" s="18"/>
      <c r="B1590" s="17"/>
      <c r="E1590" s="133"/>
    </row>
    <row r="1591" spans="1:5" x14ac:dyDescent="0.2">
      <c r="A1591" s="18"/>
      <c r="B1591" s="17"/>
      <c r="E1591" s="133"/>
    </row>
    <row r="1592" spans="1:5" x14ac:dyDescent="0.2">
      <c r="A1592" s="18"/>
      <c r="B1592" s="17"/>
      <c r="E1592" s="133"/>
    </row>
    <row r="1593" spans="1:5" x14ac:dyDescent="0.2">
      <c r="A1593" s="18"/>
      <c r="B1593" s="17"/>
      <c r="E1593" s="133"/>
    </row>
    <row r="1594" spans="1:5" x14ac:dyDescent="0.2">
      <c r="A1594" s="18"/>
      <c r="B1594" s="17"/>
      <c r="E1594" s="133"/>
    </row>
    <row r="1595" spans="1:5" x14ac:dyDescent="0.2">
      <c r="A1595" s="18"/>
      <c r="B1595" s="17"/>
      <c r="E1595" s="133"/>
    </row>
    <row r="1596" spans="1:5" x14ac:dyDescent="0.2">
      <c r="A1596" s="18"/>
      <c r="B1596" s="17"/>
      <c r="E1596" s="133"/>
    </row>
    <row r="1597" spans="1:5" x14ac:dyDescent="0.2">
      <c r="A1597" s="18"/>
      <c r="B1597" s="17"/>
      <c r="E1597" s="133"/>
    </row>
    <row r="1598" spans="1:5" x14ac:dyDescent="0.2">
      <c r="A1598" s="18"/>
      <c r="B1598" s="17"/>
      <c r="E1598" s="133"/>
    </row>
    <row r="1599" spans="1:5" x14ac:dyDescent="0.2">
      <c r="A1599" s="18"/>
      <c r="B1599" s="17"/>
      <c r="E1599" s="133"/>
    </row>
    <row r="1600" spans="1:5" x14ac:dyDescent="0.2">
      <c r="A1600" s="18"/>
      <c r="B1600" s="17"/>
      <c r="E1600" s="133"/>
    </row>
    <row r="1601" spans="1:5" x14ac:dyDescent="0.2">
      <c r="A1601" s="18"/>
      <c r="B1601" s="17"/>
      <c r="E1601" s="133"/>
    </row>
    <row r="1602" spans="1:5" x14ac:dyDescent="0.2">
      <c r="A1602" s="18"/>
      <c r="B1602" s="17"/>
      <c r="E1602" s="133"/>
    </row>
    <row r="1603" spans="1:5" x14ac:dyDescent="0.2">
      <c r="A1603" s="18"/>
      <c r="B1603" s="17"/>
      <c r="E1603" s="133"/>
    </row>
    <row r="1604" spans="1:5" x14ac:dyDescent="0.2">
      <c r="A1604" s="18"/>
      <c r="B1604" s="17"/>
      <c r="E1604" s="133"/>
    </row>
    <row r="1605" spans="1:5" x14ac:dyDescent="0.2">
      <c r="A1605" s="18"/>
      <c r="B1605" s="17"/>
      <c r="E1605" s="133"/>
    </row>
    <row r="1606" spans="1:5" x14ac:dyDescent="0.2">
      <c r="A1606" s="18"/>
      <c r="B1606" s="17"/>
      <c r="E1606" s="133"/>
    </row>
    <row r="1607" spans="1:5" x14ac:dyDescent="0.2">
      <c r="A1607" s="18"/>
      <c r="B1607" s="17"/>
      <c r="E1607" s="133"/>
    </row>
    <row r="1608" spans="1:5" x14ac:dyDescent="0.2">
      <c r="A1608" s="18"/>
      <c r="B1608" s="17"/>
      <c r="E1608" s="133"/>
    </row>
    <row r="1609" spans="1:5" x14ac:dyDescent="0.2">
      <c r="A1609" s="18"/>
      <c r="B1609" s="17"/>
      <c r="E1609" s="133"/>
    </row>
    <row r="1610" spans="1:5" x14ac:dyDescent="0.2">
      <c r="A1610" s="18"/>
      <c r="B1610" s="17"/>
      <c r="E1610" s="133"/>
    </row>
    <row r="1611" spans="1:5" x14ac:dyDescent="0.2">
      <c r="A1611" s="18"/>
      <c r="B1611" s="17"/>
      <c r="E1611" s="133"/>
    </row>
    <row r="1612" spans="1:5" x14ac:dyDescent="0.2">
      <c r="A1612" s="18"/>
      <c r="B1612" s="17"/>
      <c r="E1612" s="133"/>
    </row>
    <row r="1613" spans="1:5" x14ac:dyDescent="0.2">
      <c r="A1613" s="18"/>
      <c r="B1613" s="17"/>
      <c r="E1613" s="133"/>
    </row>
    <row r="1614" spans="1:5" x14ac:dyDescent="0.2">
      <c r="A1614" s="18"/>
      <c r="B1614" s="17"/>
      <c r="E1614" s="133"/>
    </row>
    <row r="1615" spans="1:5" x14ac:dyDescent="0.2">
      <c r="A1615" s="18"/>
      <c r="B1615" s="17"/>
      <c r="E1615" s="133"/>
    </row>
    <row r="1616" spans="1:5" x14ac:dyDescent="0.2">
      <c r="A1616" s="18"/>
      <c r="B1616" s="17"/>
      <c r="E1616" s="133"/>
    </row>
    <row r="1617" spans="1:5" x14ac:dyDescent="0.2">
      <c r="A1617" s="18"/>
      <c r="B1617" s="17"/>
      <c r="E1617" s="133"/>
    </row>
    <row r="1618" spans="1:5" x14ac:dyDescent="0.2">
      <c r="A1618" s="18"/>
      <c r="B1618" s="17"/>
      <c r="E1618" s="133"/>
    </row>
    <row r="1619" spans="1:5" x14ac:dyDescent="0.2">
      <c r="A1619" s="18"/>
      <c r="B1619" s="17"/>
      <c r="E1619" s="133"/>
    </row>
    <row r="1620" spans="1:5" x14ac:dyDescent="0.2">
      <c r="A1620" s="18"/>
      <c r="B1620" s="17"/>
      <c r="E1620" s="133"/>
    </row>
    <row r="1621" spans="1:5" x14ac:dyDescent="0.2">
      <c r="A1621" s="18"/>
      <c r="B1621" s="17"/>
      <c r="E1621" s="133"/>
    </row>
    <row r="1622" spans="1:5" x14ac:dyDescent="0.2">
      <c r="A1622" s="18"/>
      <c r="B1622" s="17"/>
      <c r="E1622" s="133"/>
    </row>
    <row r="1623" spans="1:5" x14ac:dyDescent="0.2">
      <c r="A1623" s="18"/>
      <c r="B1623" s="17"/>
      <c r="E1623" s="133"/>
    </row>
    <row r="1624" spans="1:5" x14ac:dyDescent="0.2">
      <c r="A1624" s="18"/>
      <c r="B1624" s="17"/>
      <c r="E1624" s="133"/>
    </row>
    <row r="1625" spans="1:5" x14ac:dyDescent="0.2">
      <c r="A1625" s="18"/>
      <c r="B1625" s="17"/>
      <c r="E1625" s="133"/>
    </row>
    <row r="1626" spans="1:5" x14ac:dyDescent="0.2">
      <c r="A1626" s="18"/>
      <c r="B1626" s="17"/>
      <c r="E1626" s="133"/>
    </row>
    <row r="1627" spans="1:5" x14ac:dyDescent="0.2">
      <c r="A1627" s="18"/>
      <c r="B1627" s="17"/>
      <c r="E1627" s="133"/>
    </row>
    <row r="1628" spans="1:5" x14ac:dyDescent="0.2">
      <c r="A1628" s="18"/>
      <c r="B1628" s="17"/>
      <c r="E1628" s="133"/>
    </row>
    <row r="1629" spans="1:5" x14ac:dyDescent="0.2">
      <c r="A1629" s="18"/>
      <c r="B1629" s="17"/>
      <c r="E1629" s="133"/>
    </row>
    <row r="1630" spans="1:5" x14ac:dyDescent="0.2">
      <c r="A1630" s="18"/>
      <c r="B1630" s="17"/>
      <c r="E1630" s="133"/>
    </row>
    <row r="1631" spans="1:5" x14ac:dyDescent="0.2">
      <c r="A1631" s="18"/>
      <c r="B1631" s="17"/>
      <c r="E1631" s="133"/>
    </row>
    <row r="1632" spans="1:5" x14ac:dyDescent="0.2">
      <c r="A1632" s="18"/>
      <c r="B1632" s="17"/>
      <c r="E1632" s="133"/>
    </row>
    <row r="1633" spans="1:5" x14ac:dyDescent="0.2">
      <c r="A1633" s="18"/>
      <c r="B1633" s="17"/>
      <c r="E1633" s="133"/>
    </row>
    <row r="1634" spans="1:5" x14ac:dyDescent="0.2">
      <c r="A1634" s="18"/>
      <c r="B1634" s="17"/>
      <c r="E1634" s="133"/>
    </row>
    <row r="1635" spans="1:5" x14ac:dyDescent="0.2">
      <c r="A1635" s="18"/>
      <c r="B1635" s="17"/>
      <c r="E1635" s="133"/>
    </row>
    <row r="1636" spans="1:5" x14ac:dyDescent="0.2">
      <c r="A1636" s="18"/>
      <c r="B1636" s="17"/>
      <c r="E1636" s="133"/>
    </row>
    <row r="1637" spans="1:5" x14ac:dyDescent="0.2">
      <c r="A1637" s="18"/>
      <c r="B1637" s="17"/>
      <c r="E1637" s="133"/>
    </row>
    <row r="1638" spans="1:5" x14ac:dyDescent="0.2">
      <c r="A1638" s="18"/>
      <c r="B1638" s="17"/>
      <c r="E1638" s="133"/>
    </row>
    <row r="1639" spans="1:5" x14ac:dyDescent="0.2">
      <c r="A1639" s="18"/>
      <c r="B1639" s="17"/>
      <c r="E1639" s="133"/>
    </row>
    <row r="1640" spans="1:5" x14ac:dyDescent="0.2">
      <c r="A1640" s="18"/>
      <c r="B1640" s="17"/>
      <c r="E1640" s="133"/>
    </row>
    <row r="1641" spans="1:5" x14ac:dyDescent="0.2">
      <c r="A1641" s="18"/>
      <c r="B1641" s="17"/>
      <c r="E1641" s="133"/>
    </row>
    <row r="1642" spans="1:5" x14ac:dyDescent="0.2">
      <c r="A1642" s="18"/>
      <c r="B1642" s="17"/>
      <c r="E1642" s="133"/>
    </row>
    <row r="1643" spans="1:5" x14ac:dyDescent="0.2">
      <c r="A1643" s="18"/>
      <c r="B1643" s="17"/>
      <c r="E1643" s="133"/>
    </row>
    <row r="1644" spans="1:5" x14ac:dyDescent="0.2">
      <c r="A1644" s="18"/>
      <c r="B1644" s="17"/>
      <c r="E1644" s="133"/>
    </row>
    <row r="1645" spans="1:5" x14ac:dyDescent="0.2">
      <c r="A1645" s="18"/>
      <c r="B1645" s="17"/>
      <c r="E1645" s="133"/>
    </row>
    <row r="1646" spans="1:5" x14ac:dyDescent="0.2">
      <c r="A1646" s="18"/>
      <c r="B1646" s="17"/>
      <c r="E1646" s="133"/>
    </row>
    <row r="1647" spans="1:5" x14ac:dyDescent="0.2">
      <c r="A1647" s="18"/>
      <c r="B1647" s="17"/>
      <c r="E1647" s="133"/>
    </row>
    <row r="1648" spans="1:5" x14ac:dyDescent="0.2">
      <c r="A1648" s="18"/>
      <c r="B1648" s="17"/>
      <c r="E1648" s="133"/>
    </row>
    <row r="1649" spans="1:5" x14ac:dyDescent="0.2">
      <c r="A1649" s="18"/>
      <c r="B1649" s="17"/>
      <c r="E1649" s="133"/>
    </row>
    <row r="1650" spans="1:5" x14ac:dyDescent="0.2">
      <c r="A1650" s="18"/>
      <c r="B1650" s="17"/>
      <c r="E1650" s="133"/>
    </row>
    <row r="1651" spans="1:5" x14ac:dyDescent="0.2">
      <c r="A1651" s="18"/>
      <c r="B1651" s="17"/>
      <c r="E1651" s="133"/>
    </row>
    <row r="1652" spans="1:5" x14ac:dyDescent="0.2">
      <c r="A1652" s="18"/>
      <c r="B1652" s="17"/>
      <c r="E1652" s="133"/>
    </row>
    <row r="1653" spans="1:5" x14ac:dyDescent="0.2">
      <c r="A1653" s="18"/>
      <c r="B1653" s="17"/>
      <c r="E1653" s="133"/>
    </row>
    <row r="1654" spans="1:5" x14ac:dyDescent="0.2">
      <c r="A1654" s="18"/>
      <c r="B1654" s="17"/>
      <c r="E1654" s="133"/>
    </row>
    <row r="1655" spans="1:5" x14ac:dyDescent="0.2">
      <c r="A1655" s="18"/>
      <c r="B1655" s="17"/>
      <c r="E1655" s="133"/>
    </row>
    <row r="1656" spans="1:5" x14ac:dyDescent="0.2">
      <c r="A1656" s="18"/>
      <c r="B1656" s="17"/>
      <c r="E1656" s="133"/>
    </row>
    <row r="1657" spans="1:5" x14ac:dyDescent="0.2">
      <c r="A1657" s="18"/>
      <c r="B1657" s="17"/>
      <c r="E1657" s="133"/>
    </row>
    <row r="1658" spans="1:5" x14ac:dyDescent="0.2">
      <c r="A1658" s="18"/>
      <c r="B1658" s="17"/>
      <c r="E1658" s="133"/>
    </row>
    <row r="1659" spans="1:5" x14ac:dyDescent="0.2">
      <c r="A1659" s="18"/>
      <c r="B1659" s="17"/>
      <c r="E1659" s="133"/>
    </row>
    <row r="1660" spans="1:5" x14ac:dyDescent="0.2">
      <c r="A1660" s="18"/>
      <c r="B1660" s="17"/>
      <c r="E1660" s="133"/>
    </row>
    <row r="1661" spans="1:5" x14ac:dyDescent="0.2">
      <c r="A1661" s="18"/>
      <c r="B1661" s="17"/>
      <c r="E1661" s="133"/>
    </row>
    <row r="1662" spans="1:5" x14ac:dyDescent="0.2">
      <c r="A1662" s="18"/>
      <c r="B1662" s="17"/>
      <c r="E1662" s="133"/>
    </row>
    <row r="1663" spans="1:5" x14ac:dyDescent="0.2">
      <c r="A1663" s="18"/>
      <c r="B1663" s="17"/>
      <c r="E1663" s="133"/>
    </row>
    <row r="1664" spans="1:5" x14ac:dyDescent="0.2">
      <c r="A1664" s="18"/>
      <c r="B1664" s="17"/>
      <c r="E1664" s="133"/>
    </row>
    <row r="1665" spans="1:5" x14ac:dyDescent="0.2">
      <c r="A1665" s="18"/>
      <c r="B1665" s="17"/>
      <c r="E1665" s="133"/>
    </row>
    <row r="1666" spans="1:5" x14ac:dyDescent="0.2">
      <c r="A1666" s="18"/>
      <c r="B1666" s="17"/>
      <c r="E1666" s="133"/>
    </row>
    <row r="1667" spans="1:5" x14ac:dyDescent="0.2">
      <c r="A1667" s="18"/>
      <c r="B1667" s="17"/>
      <c r="E1667" s="133"/>
    </row>
    <row r="1668" spans="1:5" x14ac:dyDescent="0.2">
      <c r="A1668" s="18"/>
      <c r="B1668" s="17"/>
      <c r="E1668" s="133"/>
    </row>
    <row r="1669" spans="1:5" x14ac:dyDescent="0.2">
      <c r="A1669" s="18"/>
      <c r="B1669" s="17"/>
      <c r="E1669" s="133"/>
    </row>
    <row r="1670" spans="1:5" x14ac:dyDescent="0.2">
      <c r="A1670" s="18"/>
      <c r="B1670" s="17"/>
      <c r="E1670" s="133"/>
    </row>
    <row r="1671" spans="1:5" x14ac:dyDescent="0.2">
      <c r="A1671" s="18"/>
      <c r="B1671" s="17"/>
      <c r="E1671" s="133"/>
    </row>
    <row r="1672" spans="1:5" x14ac:dyDescent="0.2">
      <c r="A1672" s="18"/>
      <c r="B1672" s="17"/>
      <c r="E1672" s="133"/>
    </row>
    <row r="1673" spans="1:5" x14ac:dyDescent="0.2">
      <c r="A1673" s="18"/>
      <c r="B1673" s="17"/>
      <c r="E1673" s="133"/>
    </row>
    <row r="1674" spans="1:5" x14ac:dyDescent="0.2">
      <c r="A1674" s="18"/>
      <c r="B1674" s="17"/>
      <c r="E1674" s="133"/>
    </row>
    <row r="1675" spans="1:5" x14ac:dyDescent="0.2">
      <c r="A1675" s="18"/>
      <c r="B1675" s="17"/>
      <c r="E1675" s="133"/>
    </row>
    <row r="1676" spans="1:5" x14ac:dyDescent="0.2">
      <c r="A1676" s="18"/>
      <c r="B1676" s="17"/>
      <c r="E1676" s="133"/>
    </row>
    <row r="1677" spans="1:5" x14ac:dyDescent="0.2">
      <c r="A1677" s="18"/>
      <c r="B1677" s="17"/>
      <c r="E1677" s="133"/>
    </row>
    <row r="1678" spans="1:5" x14ac:dyDescent="0.2">
      <c r="A1678" s="18"/>
      <c r="B1678" s="17"/>
      <c r="E1678" s="133"/>
    </row>
    <row r="1679" spans="1:5" x14ac:dyDescent="0.2">
      <c r="A1679" s="18"/>
      <c r="B1679" s="17"/>
      <c r="E1679" s="133"/>
    </row>
    <row r="1680" spans="1:5" x14ac:dyDescent="0.2">
      <c r="A1680" s="18"/>
      <c r="B1680" s="17"/>
      <c r="E1680" s="133"/>
    </row>
    <row r="1681" spans="1:5" x14ac:dyDescent="0.2">
      <c r="A1681" s="18"/>
      <c r="B1681" s="17"/>
      <c r="E1681" s="133"/>
    </row>
    <row r="1682" spans="1:5" x14ac:dyDescent="0.2">
      <c r="A1682" s="18"/>
      <c r="B1682" s="17"/>
      <c r="E1682" s="133"/>
    </row>
    <row r="1683" spans="1:5" x14ac:dyDescent="0.2">
      <c r="A1683" s="18"/>
      <c r="B1683" s="17"/>
      <c r="E1683" s="133"/>
    </row>
    <row r="1684" spans="1:5" x14ac:dyDescent="0.2">
      <c r="A1684" s="18"/>
      <c r="B1684" s="17"/>
      <c r="E1684" s="133"/>
    </row>
    <row r="1685" spans="1:5" x14ac:dyDescent="0.2">
      <c r="A1685" s="18"/>
      <c r="B1685" s="17"/>
      <c r="E1685" s="133"/>
    </row>
    <row r="1686" spans="1:5" x14ac:dyDescent="0.2">
      <c r="A1686" s="18"/>
      <c r="B1686" s="17"/>
      <c r="E1686" s="133"/>
    </row>
    <row r="1687" spans="1:5" x14ac:dyDescent="0.2">
      <c r="A1687" s="18"/>
      <c r="B1687" s="17"/>
      <c r="E1687" s="133"/>
    </row>
    <row r="1688" spans="1:5" x14ac:dyDescent="0.2">
      <c r="A1688" s="18"/>
      <c r="B1688" s="17"/>
      <c r="E1688" s="133"/>
    </row>
    <row r="1689" spans="1:5" x14ac:dyDescent="0.2">
      <c r="A1689" s="18"/>
      <c r="B1689" s="17"/>
      <c r="E1689" s="133"/>
    </row>
    <row r="1690" spans="1:5" x14ac:dyDescent="0.2">
      <c r="A1690" s="18"/>
      <c r="B1690" s="17"/>
      <c r="E1690" s="133"/>
    </row>
    <row r="1691" spans="1:5" x14ac:dyDescent="0.2">
      <c r="A1691" s="18"/>
      <c r="B1691" s="17"/>
      <c r="E1691" s="133"/>
    </row>
    <row r="1692" spans="1:5" x14ac:dyDescent="0.2">
      <c r="A1692" s="18"/>
      <c r="B1692" s="17"/>
      <c r="E1692" s="133"/>
    </row>
    <row r="1693" spans="1:5" x14ac:dyDescent="0.2">
      <c r="A1693" s="18"/>
      <c r="B1693" s="17"/>
      <c r="E1693" s="133"/>
    </row>
    <row r="1694" spans="1:5" x14ac:dyDescent="0.2">
      <c r="A1694" s="18"/>
      <c r="B1694" s="17"/>
      <c r="E1694" s="133"/>
    </row>
    <row r="1695" spans="1:5" x14ac:dyDescent="0.2">
      <c r="A1695" s="18"/>
      <c r="B1695" s="17"/>
      <c r="E1695" s="133"/>
    </row>
    <row r="1696" spans="1:5" x14ac:dyDescent="0.2">
      <c r="A1696" s="18"/>
      <c r="B1696" s="17"/>
      <c r="E1696" s="133"/>
    </row>
    <row r="1697" spans="1:5" x14ac:dyDescent="0.2">
      <c r="A1697" s="18"/>
      <c r="B1697" s="17"/>
      <c r="E1697" s="133"/>
    </row>
    <row r="1698" spans="1:5" x14ac:dyDescent="0.2">
      <c r="A1698" s="18"/>
      <c r="B1698" s="17"/>
      <c r="E1698" s="133"/>
    </row>
    <row r="1699" spans="1:5" x14ac:dyDescent="0.2">
      <c r="A1699" s="18"/>
      <c r="B1699" s="17"/>
      <c r="E1699" s="133"/>
    </row>
    <row r="1700" spans="1:5" x14ac:dyDescent="0.2">
      <c r="A1700" s="18"/>
      <c r="B1700" s="17"/>
      <c r="E1700" s="133"/>
    </row>
    <row r="1701" spans="1:5" x14ac:dyDescent="0.2">
      <c r="A1701" s="18"/>
      <c r="B1701" s="17"/>
      <c r="E1701" s="133"/>
    </row>
    <row r="1702" spans="1:5" x14ac:dyDescent="0.2">
      <c r="A1702" s="18"/>
      <c r="B1702" s="17"/>
      <c r="E1702" s="133"/>
    </row>
    <row r="1703" spans="1:5" x14ac:dyDescent="0.2">
      <c r="A1703" s="18"/>
      <c r="B1703" s="17"/>
      <c r="E1703" s="133"/>
    </row>
    <row r="1704" spans="1:5" x14ac:dyDescent="0.2">
      <c r="A1704" s="18"/>
      <c r="B1704" s="17"/>
      <c r="E1704" s="133"/>
    </row>
    <row r="1705" spans="1:5" x14ac:dyDescent="0.2">
      <c r="A1705" s="18"/>
      <c r="B1705" s="17"/>
      <c r="E1705" s="133"/>
    </row>
    <row r="1706" spans="1:5" x14ac:dyDescent="0.2">
      <c r="A1706" s="18"/>
      <c r="B1706" s="17"/>
      <c r="E1706" s="133"/>
    </row>
    <row r="1707" spans="1:5" x14ac:dyDescent="0.2">
      <c r="A1707" s="18"/>
      <c r="B1707" s="17"/>
      <c r="E1707" s="133"/>
    </row>
    <row r="1708" spans="1:5" x14ac:dyDescent="0.2">
      <c r="A1708" s="18"/>
      <c r="B1708" s="17"/>
      <c r="E1708" s="133"/>
    </row>
    <row r="1709" spans="1:5" x14ac:dyDescent="0.2">
      <c r="A1709" s="18"/>
      <c r="B1709" s="17"/>
      <c r="E1709" s="133"/>
    </row>
    <row r="1710" spans="1:5" x14ac:dyDescent="0.2">
      <c r="A1710" s="18"/>
      <c r="B1710" s="17"/>
      <c r="E1710" s="133"/>
    </row>
    <row r="1711" spans="1:5" x14ac:dyDescent="0.2">
      <c r="A1711" s="18"/>
      <c r="B1711" s="17"/>
      <c r="E1711" s="133"/>
    </row>
    <row r="1712" spans="1:5" x14ac:dyDescent="0.2">
      <c r="A1712" s="18"/>
      <c r="B1712" s="17"/>
      <c r="E1712" s="133"/>
    </row>
    <row r="1713" spans="1:5" x14ac:dyDescent="0.2">
      <c r="A1713" s="18"/>
      <c r="B1713" s="17"/>
      <c r="E1713" s="133"/>
    </row>
    <row r="1714" spans="1:5" x14ac:dyDescent="0.2">
      <c r="A1714" s="18"/>
      <c r="B1714" s="17"/>
      <c r="E1714" s="133"/>
    </row>
    <row r="1715" spans="1:5" x14ac:dyDescent="0.2">
      <c r="A1715" s="18"/>
      <c r="B1715" s="17"/>
      <c r="E1715" s="133"/>
    </row>
    <row r="1716" spans="1:5" x14ac:dyDescent="0.2">
      <c r="A1716" s="18"/>
      <c r="B1716" s="17"/>
      <c r="E1716" s="133"/>
    </row>
    <row r="1717" spans="1:5" x14ac:dyDescent="0.2">
      <c r="A1717" s="18"/>
      <c r="B1717" s="17"/>
      <c r="E1717" s="133"/>
    </row>
    <row r="1718" spans="1:5" x14ac:dyDescent="0.2">
      <c r="A1718" s="18"/>
      <c r="B1718" s="17"/>
      <c r="E1718" s="133"/>
    </row>
    <row r="1719" spans="1:5" x14ac:dyDescent="0.2">
      <c r="A1719" s="18"/>
      <c r="B1719" s="17"/>
      <c r="E1719" s="133"/>
    </row>
    <row r="1720" spans="1:5" x14ac:dyDescent="0.2">
      <c r="A1720" s="18"/>
      <c r="B1720" s="17"/>
      <c r="E1720" s="133"/>
    </row>
    <row r="1721" spans="1:5" x14ac:dyDescent="0.2">
      <c r="A1721" s="18"/>
      <c r="B1721" s="17"/>
      <c r="E1721" s="133"/>
    </row>
    <row r="1722" spans="1:5" x14ac:dyDescent="0.2">
      <c r="A1722" s="18"/>
      <c r="B1722" s="17"/>
      <c r="E1722" s="133"/>
    </row>
    <row r="1723" spans="1:5" x14ac:dyDescent="0.2">
      <c r="A1723" s="18"/>
      <c r="B1723" s="17"/>
      <c r="E1723" s="133"/>
    </row>
    <row r="1724" spans="1:5" x14ac:dyDescent="0.2">
      <c r="A1724" s="18"/>
      <c r="B1724" s="17"/>
      <c r="E1724" s="133"/>
    </row>
    <row r="1725" spans="1:5" x14ac:dyDescent="0.2">
      <c r="A1725" s="18"/>
      <c r="B1725" s="17"/>
      <c r="E1725" s="133"/>
    </row>
    <row r="1726" spans="1:5" x14ac:dyDescent="0.2">
      <c r="A1726" s="18"/>
      <c r="B1726" s="17"/>
      <c r="E1726" s="133"/>
    </row>
    <row r="1727" spans="1:5" x14ac:dyDescent="0.2">
      <c r="A1727" s="18"/>
      <c r="B1727" s="17"/>
      <c r="E1727" s="133"/>
    </row>
    <row r="1728" spans="1:5" x14ac:dyDescent="0.2">
      <c r="A1728" s="18"/>
      <c r="B1728" s="17"/>
      <c r="E1728" s="133"/>
    </row>
    <row r="1729" spans="1:5" x14ac:dyDescent="0.2">
      <c r="A1729" s="18"/>
      <c r="B1729" s="17"/>
      <c r="E1729" s="133"/>
    </row>
    <row r="1730" spans="1:5" x14ac:dyDescent="0.2">
      <c r="A1730" s="18"/>
      <c r="B1730" s="17"/>
      <c r="E1730" s="133"/>
    </row>
    <row r="1731" spans="1:5" x14ac:dyDescent="0.2">
      <c r="A1731" s="18"/>
      <c r="B1731" s="17"/>
      <c r="E1731" s="133"/>
    </row>
    <row r="1732" spans="1:5" x14ac:dyDescent="0.2">
      <c r="A1732" s="18"/>
      <c r="B1732" s="17"/>
      <c r="E1732" s="133"/>
    </row>
    <row r="1733" spans="1:5" x14ac:dyDescent="0.2">
      <c r="A1733" s="18"/>
      <c r="B1733" s="17"/>
      <c r="E1733" s="133"/>
    </row>
    <row r="1734" spans="1:5" x14ac:dyDescent="0.2">
      <c r="A1734" s="18"/>
      <c r="B1734" s="17"/>
      <c r="E1734" s="133"/>
    </row>
    <row r="1735" spans="1:5" x14ac:dyDescent="0.2">
      <c r="A1735" s="18"/>
      <c r="B1735" s="17"/>
      <c r="E1735" s="133"/>
    </row>
    <row r="1736" spans="1:5" x14ac:dyDescent="0.2">
      <c r="A1736" s="18"/>
      <c r="B1736" s="17"/>
      <c r="E1736" s="133"/>
    </row>
    <row r="1737" spans="1:5" x14ac:dyDescent="0.2">
      <c r="A1737" s="18"/>
      <c r="B1737" s="17"/>
      <c r="E1737" s="133"/>
    </row>
    <row r="1738" spans="1:5" x14ac:dyDescent="0.2">
      <c r="A1738" s="18"/>
      <c r="B1738" s="17"/>
      <c r="E1738" s="133"/>
    </row>
    <row r="1739" spans="1:5" x14ac:dyDescent="0.2">
      <c r="A1739" s="18"/>
      <c r="B1739" s="17"/>
      <c r="E1739" s="133"/>
    </row>
    <row r="1740" spans="1:5" x14ac:dyDescent="0.2">
      <c r="A1740" s="18"/>
      <c r="B1740" s="17"/>
      <c r="E1740" s="133"/>
    </row>
    <row r="1741" spans="1:5" x14ac:dyDescent="0.2">
      <c r="A1741" s="18"/>
      <c r="B1741" s="17"/>
      <c r="E1741" s="133"/>
    </row>
    <row r="1742" spans="1:5" x14ac:dyDescent="0.2">
      <c r="A1742" s="18"/>
      <c r="B1742" s="17"/>
      <c r="E1742" s="133"/>
    </row>
    <row r="1743" spans="1:5" x14ac:dyDescent="0.2">
      <c r="A1743" s="18"/>
      <c r="B1743" s="17"/>
      <c r="E1743" s="133"/>
    </row>
    <row r="1744" spans="1:5" x14ac:dyDescent="0.2">
      <c r="A1744" s="18"/>
      <c r="B1744" s="17"/>
      <c r="E1744" s="133"/>
    </row>
    <row r="1745" spans="1:5" x14ac:dyDescent="0.2">
      <c r="A1745" s="18"/>
      <c r="B1745" s="17"/>
      <c r="E1745" s="133"/>
    </row>
    <row r="1746" spans="1:5" x14ac:dyDescent="0.2">
      <c r="A1746" s="18"/>
      <c r="B1746" s="17"/>
      <c r="E1746" s="133"/>
    </row>
    <row r="1747" spans="1:5" x14ac:dyDescent="0.2">
      <c r="A1747" s="18"/>
      <c r="B1747" s="17"/>
      <c r="E1747" s="133"/>
    </row>
    <row r="1748" spans="1:5" x14ac:dyDescent="0.2">
      <c r="A1748" s="18"/>
      <c r="B1748" s="17"/>
      <c r="E1748" s="133"/>
    </row>
    <row r="1749" spans="1:5" x14ac:dyDescent="0.2">
      <c r="A1749" s="18"/>
      <c r="B1749" s="17"/>
      <c r="E1749" s="133"/>
    </row>
    <row r="1750" spans="1:5" x14ac:dyDescent="0.2">
      <c r="A1750" s="18"/>
      <c r="B1750" s="17"/>
      <c r="E1750" s="133"/>
    </row>
    <row r="1751" spans="1:5" x14ac:dyDescent="0.2">
      <c r="A1751" s="18"/>
      <c r="B1751" s="17"/>
      <c r="E1751" s="133"/>
    </row>
    <row r="1752" spans="1:5" x14ac:dyDescent="0.2">
      <c r="A1752" s="18"/>
      <c r="B1752" s="17"/>
      <c r="E1752" s="133"/>
    </row>
    <row r="1753" spans="1:5" x14ac:dyDescent="0.2">
      <c r="A1753" s="18"/>
      <c r="B1753" s="17"/>
      <c r="E1753" s="133"/>
    </row>
    <row r="1754" spans="1:5" x14ac:dyDescent="0.2">
      <c r="A1754" s="18"/>
      <c r="B1754" s="17"/>
      <c r="E1754" s="133"/>
    </row>
    <row r="1755" spans="1:5" x14ac:dyDescent="0.2">
      <c r="A1755" s="18"/>
      <c r="B1755" s="17"/>
      <c r="E1755" s="133"/>
    </row>
    <row r="1756" spans="1:5" x14ac:dyDescent="0.2">
      <c r="A1756" s="18"/>
      <c r="B1756" s="17"/>
      <c r="E1756" s="133"/>
    </row>
    <row r="1757" spans="1:5" x14ac:dyDescent="0.2">
      <c r="A1757" s="18"/>
      <c r="B1757" s="17"/>
      <c r="E1757" s="133"/>
    </row>
    <row r="1758" spans="1:5" x14ac:dyDescent="0.2">
      <c r="A1758" s="18"/>
      <c r="B1758" s="17"/>
      <c r="E1758" s="133"/>
    </row>
    <row r="1759" spans="1:5" x14ac:dyDescent="0.2">
      <c r="A1759" s="18"/>
      <c r="B1759" s="17"/>
      <c r="E1759" s="133"/>
    </row>
    <row r="1760" spans="1:5" x14ac:dyDescent="0.2">
      <c r="A1760" s="18"/>
      <c r="B1760" s="17"/>
      <c r="E1760" s="133"/>
    </row>
    <row r="1761" spans="1:5" x14ac:dyDescent="0.2">
      <c r="A1761" s="18"/>
      <c r="B1761" s="17"/>
      <c r="E1761" s="133"/>
    </row>
    <row r="1762" spans="1:5" x14ac:dyDescent="0.2">
      <c r="A1762" s="18"/>
      <c r="B1762" s="17"/>
      <c r="E1762" s="133"/>
    </row>
    <row r="1763" spans="1:5" x14ac:dyDescent="0.2">
      <c r="A1763" s="18"/>
      <c r="B1763" s="17"/>
      <c r="E1763" s="133"/>
    </row>
    <row r="1764" spans="1:5" x14ac:dyDescent="0.2">
      <c r="A1764" s="18"/>
      <c r="B1764" s="17"/>
      <c r="E1764" s="133"/>
    </row>
    <row r="1765" spans="1:5" x14ac:dyDescent="0.2">
      <c r="A1765" s="18"/>
      <c r="B1765" s="17"/>
      <c r="E1765" s="133"/>
    </row>
    <row r="1766" spans="1:5" x14ac:dyDescent="0.2">
      <c r="A1766" s="18"/>
      <c r="B1766" s="17"/>
      <c r="E1766" s="133"/>
    </row>
    <row r="1767" spans="1:5" x14ac:dyDescent="0.2">
      <c r="A1767" s="18"/>
      <c r="B1767" s="17"/>
      <c r="E1767" s="133"/>
    </row>
    <row r="1768" spans="1:5" x14ac:dyDescent="0.2">
      <c r="A1768" s="18"/>
      <c r="B1768" s="17"/>
      <c r="E1768" s="133"/>
    </row>
    <row r="1769" spans="1:5" x14ac:dyDescent="0.2">
      <c r="A1769" s="18"/>
      <c r="B1769" s="17"/>
      <c r="E1769" s="133"/>
    </row>
    <row r="1770" spans="1:5" x14ac:dyDescent="0.2">
      <c r="A1770" s="18"/>
      <c r="B1770" s="17"/>
      <c r="E1770" s="133"/>
    </row>
    <row r="1771" spans="1:5" x14ac:dyDescent="0.2">
      <c r="A1771" s="18"/>
      <c r="B1771" s="17"/>
      <c r="E1771" s="133"/>
    </row>
    <row r="1772" spans="1:5" x14ac:dyDescent="0.2">
      <c r="A1772" s="18"/>
      <c r="B1772" s="17"/>
      <c r="E1772" s="133"/>
    </row>
    <row r="1773" spans="1:5" x14ac:dyDescent="0.2">
      <c r="A1773" s="18"/>
      <c r="B1773" s="17"/>
      <c r="E1773" s="133"/>
    </row>
    <row r="1774" spans="1:5" x14ac:dyDescent="0.2">
      <c r="A1774" s="18"/>
      <c r="B1774" s="17"/>
      <c r="E1774" s="133"/>
    </row>
    <row r="1775" spans="1:5" x14ac:dyDescent="0.2">
      <c r="A1775" s="18"/>
      <c r="B1775" s="17"/>
      <c r="E1775" s="133"/>
    </row>
    <row r="1776" spans="1:5" x14ac:dyDescent="0.2">
      <c r="A1776" s="18"/>
      <c r="B1776" s="17"/>
      <c r="E1776" s="133"/>
    </row>
    <row r="1777" spans="1:5" x14ac:dyDescent="0.2">
      <c r="A1777" s="18"/>
      <c r="B1777" s="17"/>
      <c r="E1777" s="133"/>
    </row>
    <row r="1778" spans="1:5" x14ac:dyDescent="0.2">
      <c r="A1778" s="18"/>
      <c r="B1778" s="17"/>
      <c r="E1778" s="133"/>
    </row>
    <row r="1779" spans="1:5" x14ac:dyDescent="0.2">
      <c r="A1779" s="18"/>
      <c r="B1779" s="17"/>
      <c r="E1779" s="133"/>
    </row>
    <row r="1780" spans="1:5" x14ac:dyDescent="0.2">
      <c r="A1780" s="18"/>
      <c r="B1780" s="17"/>
      <c r="E1780" s="133"/>
    </row>
    <row r="1781" spans="1:5" x14ac:dyDescent="0.2">
      <c r="A1781" s="18"/>
      <c r="B1781" s="17"/>
      <c r="E1781" s="133"/>
    </row>
    <row r="1782" spans="1:5" x14ac:dyDescent="0.2">
      <c r="A1782" s="18"/>
      <c r="B1782" s="17"/>
      <c r="E1782" s="133"/>
    </row>
    <row r="1783" spans="1:5" x14ac:dyDescent="0.2">
      <c r="A1783" s="18"/>
      <c r="B1783" s="17"/>
      <c r="E1783" s="133"/>
    </row>
    <row r="1784" spans="1:5" x14ac:dyDescent="0.2">
      <c r="A1784" s="18"/>
      <c r="B1784" s="17"/>
      <c r="E1784" s="133"/>
    </row>
    <row r="1785" spans="1:5" x14ac:dyDescent="0.2">
      <c r="A1785" s="18"/>
      <c r="B1785" s="17"/>
      <c r="E1785" s="133"/>
    </row>
    <row r="1786" spans="1:5" x14ac:dyDescent="0.2">
      <c r="A1786" s="18"/>
      <c r="B1786" s="17"/>
      <c r="E1786" s="133"/>
    </row>
    <row r="1787" spans="1:5" x14ac:dyDescent="0.2">
      <c r="A1787" s="18"/>
      <c r="B1787" s="17"/>
      <c r="E1787" s="133"/>
    </row>
    <row r="1788" spans="1:5" x14ac:dyDescent="0.2">
      <c r="A1788" s="18"/>
      <c r="B1788" s="17"/>
      <c r="E1788" s="133"/>
    </row>
    <row r="1789" spans="1:5" x14ac:dyDescent="0.2">
      <c r="A1789" s="18"/>
      <c r="B1789" s="17"/>
      <c r="E1789" s="133"/>
    </row>
    <row r="1790" spans="1:5" x14ac:dyDescent="0.2">
      <c r="A1790" s="18"/>
      <c r="B1790" s="17"/>
      <c r="E1790" s="133"/>
    </row>
    <row r="1791" spans="1:5" x14ac:dyDescent="0.2">
      <c r="A1791" s="18"/>
      <c r="B1791" s="17"/>
      <c r="E1791" s="133"/>
    </row>
    <row r="1792" spans="1:5" x14ac:dyDescent="0.2">
      <c r="A1792" s="18"/>
      <c r="B1792" s="17"/>
      <c r="E1792" s="133"/>
    </row>
    <row r="1793" spans="1:5" x14ac:dyDescent="0.2">
      <c r="A1793" s="18"/>
      <c r="B1793" s="17"/>
      <c r="E1793" s="133"/>
    </row>
    <row r="1794" spans="1:5" x14ac:dyDescent="0.2">
      <c r="A1794" s="18"/>
      <c r="B1794" s="17"/>
      <c r="E1794" s="133"/>
    </row>
    <row r="1795" spans="1:5" x14ac:dyDescent="0.2">
      <c r="A1795" s="18"/>
      <c r="B1795" s="17"/>
      <c r="E1795" s="133"/>
    </row>
    <row r="1796" spans="1:5" x14ac:dyDescent="0.2">
      <c r="A1796" s="18"/>
      <c r="B1796" s="17"/>
      <c r="E1796" s="133"/>
    </row>
    <row r="1797" spans="1:5" x14ac:dyDescent="0.2">
      <c r="A1797" s="18"/>
      <c r="B1797" s="17"/>
      <c r="E1797" s="133"/>
    </row>
    <row r="1798" spans="1:5" x14ac:dyDescent="0.2">
      <c r="A1798" s="18"/>
      <c r="B1798" s="17"/>
      <c r="E1798" s="133"/>
    </row>
    <row r="1799" spans="1:5" x14ac:dyDescent="0.2">
      <c r="A1799" s="18"/>
      <c r="B1799" s="17"/>
      <c r="E1799" s="133"/>
    </row>
    <row r="1800" spans="1:5" x14ac:dyDescent="0.2">
      <c r="A1800" s="18"/>
      <c r="B1800" s="17"/>
      <c r="E1800" s="133"/>
    </row>
    <row r="1801" spans="1:5" x14ac:dyDescent="0.2">
      <c r="A1801" s="18"/>
      <c r="B1801" s="17"/>
      <c r="E1801" s="133"/>
    </row>
    <row r="1802" spans="1:5" x14ac:dyDescent="0.2">
      <c r="A1802" s="18"/>
      <c r="B1802" s="17"/>
      <c r="E1802" s="133"/>
    </row>
    <row r="1803" spans="1:5" x14ac:dyDescent="0.2">
      <c r="A1803" s="18"/>
      <c r="B1803" s="17"/>
      <c r="E1803" s="133"/>
    </row>
    <row r="1804" spans="1:5" x14ac:dyDescent="0.2">
      <c r="A1804" s="18"/>
      <c r="B1804" s="17"/>
      <c r="E1804" s="133"/>
    </row>
    <row r="1805" spans="1:5" x14ac:dyDescent="0.2">
      <c r="A1805" s="18"/>
      <c r="B1805" s="17"/>
      <c r="E1805" s="133"/>
    </row>
    <row r="1806" spans="1:5" x14ac:dyDescent="0.2">
      <c r="A1806" s="18"/>
      <c r="B1806" s="17"/>
      <c r="E1806" s="133"/>
    </row>
    <row r="1807" spans="1:5" x14ac:dyDescent="0.2">
      <c r="A1807" s="18"/>
      <c r="B1807" s="17"/>
      <c r="E1807" s="133"/>
    </row>
    <row r="1808" spans="1:5" x14ac:dyDescent="0.2">
      <c r="A1808" s="18"/>
      <c r="B1808" s="17"/>
      <c r="E1808" s="133"/>
    </row>
    <row r="1809" spans="1:5" x14ac:dyDescent="0.2">
      <c r="A1809" s="18"/>
      <c r="B1809" s="17"/>
      <c r="E1809" s="133"/>
    </row>
    <row r="1810" spans="1:5" x14ac:dyDescent="0.2">
      <c r="A1810" s="18"/>
      <c r="B1810" s="17"/>
      <c r="E1810" s="133"/>
    </row>
    <row r="1811" spans="1:5" x14ac:dyDescent="0.2">
      <c r="A1811" s="18"/>
      <c r="B1811" s="17"/>
      <c r="E1811" s="133"/>
    </row>
    <row r="1812" spans="1:5" x14ac:dyDescent="0.2">
      <c r="A1812" s="18"/>
      <c r="B1812" s="17"/>
      <c r="E1812" s="133"/>
    </row>
    <row r="1813" spans="1:5" x14ac:dyDescent="0.2">
      <c r="A1813" s="18"/>
      <c r="B1813" s="17"/>
      <c r="E1813" s="133"/>
    </row>
    <row r="1814" spans="1:5" x14ac:dyDescent="0.2">
      <c r="A1814" s="18"/>
      <c r="B1814" s="17"/>
      <c r="E1814" s="133"/>
    </row>
    <row r="1815" spans="1:5" x14ac:dyDescent="0.2">
      <c r="A1815" s="18"/>
      <c r="B1815" s="17"/>
      <c r="E1815" s="133"/>
    </row>
    <row r="1816" spans="1:5" x14ac:dyDescent="0.2">
      <c r="A1816" s="18"/>
      <c r="B1816" s="17"/>
      <c r="E1816" s="133"/>
    </row>
    <row r="1817" spans="1:5" x14ac:dyDescent="0.2">
      <c r="A1817" s="18"/>
      <c r="B1817" s="17"/>
      <c r="E1817" s="133"/>
    </row>
    <row r="1818" spans="1:5" x14ac:dyDescent="0.2">
      <c r="A1818" s="18"/>
      <c r="B1818" s="17"/>
      <c r="E1818" s="133"/>
    </row>
    <row r="1819" spans="1:5" x14ac:dyDescent="0.2">
      <c r="A1819" s="18"/>
      <c r="B1819" s="17"/>
      <c r="E1819" s="133"/>
    </row>
    <row r="1820" spans="1:5" x14ac:dyDescent="0.2">
      <c r="A1820" s="18"/>
      <c r="B1820" s="17"/>
      <c r="E1820" s="133"/>
    </row>
    <row r="1821" spans="1:5" x14ac:dyDescent="0.2">
      <c r="A1821" s="18"/>
      <c r="B1821" s="17"/>
      <c r="E1821" s="133"/>
    </row>
    <row r="1822" spans="1:5" x14ac:dyDescent="0.2">
      <c r="A1822" s="18"/>
      <c r="B1822" s="17"/>
      <c r="E1822" s="133"/>
    </row>
    <row r="1823" spans="1:5" x14ac:dyDescent="0.2">
      <c r="A1823" s="18"/>
      <c r="B1823" s="17"/>
      <c r="E1823" s="133"/>
    </row>
    <row r="1824" spans="1:5" x14ac:dyDescent="0.2">
      <c r="A1824" s="18"/>
      <c r="B1824" s="17"/>
      <c r="E1824" s="133"/>
    </row>
  </sheetData>
  <autoFilter ref="A2:WQ498" xr:uid="{74C73588-F931-4501-ABB7-176DABC652E2}"/>
  <dataConsolidate link="1"/>
  <mergeCells count="558">
    <mergeCell ref="A1:A2"/>
    <mergeCell ref="B1:B2"/>
    <mergeCell ref="C1:C2"/>
    <mergeCell ref="D1:D2"/>
    <mergeCell ref="E1:E2"/>
    <mergeCell ref="F1:H1"/>
    <mergeCell ref="W1:AA1"/>
    <mergeCell ref="AB1:AB2"/>
    <mergeCell ref="B5:B6"/>
    <mergeCell ref="C5:C6"/>
    <mergeCell ref="D5:D6"/>
    <mergeCell ref="B7:B8"/>
    <mergeCell ref="C7:C8"/>
    <mergeCell ref="D7:D8"/>
    <mergeCell ref="Q1:Q2"/>
    <mergeCell ref="R1:R2"/>
    <mergeCell ref="S1:S2"/>
    <mergeCell ref="T1:T2"/>
    <mergeCell ref="U1:U2"/>
    <mergeCell ref="V1:V2"/>
    <mergeCell ref="I1:I2"/>
    <mergeCell ref="J1:J2"/>
    <mergeCell ref="K1:K2"/>
    <mergeCell ref="L1:L2"/>
    <mergeCell ref="M1:M2"/>
    <mergeCell ref="N1:P1"/>
    <mergeCell ref="B17:B18"/>
    <mergeCell ref="D17:D18"/>
    <mergeCell ref="B20:B21"/>
    <mergeCell ref="D20:D21"/>
    <mergeCell ref="B22:B23"/>
    <mergeCell ref="D22:D23"/>
    <mergeCell ref="B9:B10"/>
    <mergeCell ref="D9:D10"/>
    <mergeCell ref="B11:B14"/>
    <mergeCell ref="D11:D14"/>
    <mergeCell ref="B15:B16"/>
    <mergeCell ref="D15:D16"/>
    <mergeCell ref="B30:B31"/>
    <mergeCell ref="D30:D31"/>
    <mergeCell ref="B32:B33"/>
    <mergeCell ref="D32:D33"/>
    <mergeCell ref="B34:B35"/>
    <mergeCell ref="D34:D35"/>
    <mergeCell ref="B24:B25"/>
    <mergeCell ref="D24:D25"/>
    <mergeCell ref="B26:B27"/>
    <mergeCell ref="D26:D27"/>
    <mergeCell ref="B28:B29"/>
    <mergeCell ref="D28:D29"/>
    <mergeCell ref="B42:B43"/>
    <mergeCell ref="D42:D43"/>
    <mergeCell ref="B44:B45"/>
    <mergeCell ref="D44:D45"/>
    <mergeCell ref="B46:B47"/>
    <mergeCell ref="D46:D47"/>
    <mergeCell ref="B36:B37"/>
    <mergeCell ref="D36:D37"/>
    <mergeCell ref="B38:B39"/>
    <mergeCell ref="D38:D39"/>
    <mergeCell ref="B40:B41"/>
    <mergeCell ref="C40:C41"/>
    <mergeCell ref="D40:D41"/>
    <mergeCell ref="B52:B55"/>
    <mergeCell ref="C52:C55"/>
    <mergeCell ref="D52:D55"/>
    <mergeCell ref="B56:B57"/>
    <mergeCell ref="C56:C57"/>
    <mergeCell ref="D56:D57"/>
    <mergeCell ref="B48:B49"/>
    <mergeCell ref="C48:C49"/>
    <mergeCell ref="D48:D49"/>
    <mergeCell ref="B50:B51"/>
    <mergeCell ref="C50:C51"/>
    <mergeCell ref="D50:D51"/>
    <mergeCell ref="B64:B65"/>
    <mergeCell ref="D64:D65"/>
    <mergeCell ref="B66:B67"/>
    <mergeCell ref="D66:D67"/>
    <mergeCell ref="B68:B69"/>
    <mergeCell ref="D68:D69"/>
    <mergeCell ref="B58:B59"/>
    <mergeCell ref="C58:C59"/>
    <mergeCell ref="D58:D59"/>
    <mergeCell ref="B60:B61"/>
    <mergeCell ref="D60:D61"/>
    <mergeCell ref="B62:B63"/>
    <mergeCell ref="D62:D63"/>
    <mergeCell ref="B76:B77"/>
    <mergeCell ref="D76:D77"/>
    <mergeCell ref="B78:B79"/>
    <mergeCell ref="D78:D79"/>
    <mergeCell ref="B80:B81"/>
    <mergeCell ref="D80:D81"/>
    <mergeCell ref="B72:B73"/>
    <mergeCell ref="C72:C73"/>
    <mergeCell ref="D72:D73"/>
    <mergeCell ref="B74:B75"/>
    <mergeCell ref="C74:C75"/>
    <mergeCell ref="D74:D75"/>
    <mergeCell ref="B89:B90"/>
    <mergeCell ref="D89:D90"/>
    <mergeCell ref="B92:B94"/>
    <mergeCell ref="C92:C94"/>
    <mergeCell ref="D92:D94"/>
    <mergeCell ref="B95:B97"/>
    <mergeCell ref="C95:C97"/>
    <mergeCell ref="D95:D97"/>
    <mergeCell ref="B82:B83"/>
    <mergeCell ref="C82:C83"/>
    <mergeCell ref="D82:D83"/>
    <mergeCell ref="B85:B86"/>
    <mergeCell ref="D85:D86"/>
    <mergeCell ref="B87:B88"/>
    <mergeCell ref="D87:D88"/>
    <mergeCell ref="B104:B105"/>
    <mergeCell ref="C104:C105"/>
    <mergeCell ref="D104:D105"/>
    <mergeCell ref="B106:B107"/>
    <mergeCell ref="C106:C107"/>
    <mergeCell ref="D106:D107"/>
    <mergeCell ref="B98:B100"/>
    <mergeCell ref="C98:C100"/>
    <mergeCell ref="D98:D100"/>
    <mergeCell ref="B101:B103"/>
    <mergeCell ref="C101:C103"/>
    <mergeCell ref="D101:D103"/>
    <mergeCell ref="B112:B113"/>
    <mergeCell ref="C112:C113"/>
    <mergeCell ref="D112:D113"/>
    <mergeCell ref="B114:B115"/>
    <mergeCell ref="C114:C115"/>
    <mergeCell ref="D114:D115"/>
    <mergeCell ref="B108:B109"/>
    <mergeCell ref="C108:C109"/>
    <mergeCell ref="D108:D109"/>
    <mergeCell ref="B110:B111"/>
    <mergeCell ref="C110:C111"/>
    <mergeCell ref="D110:D111"/>
    <mergeCell ref="B120:B121"/>
    <mergeCell ref="C120:C121"/>
    <mergeCell ref="D120:D121"/>
    <mergeCell ref="B122:B124"/>
    <mergeCell ref="C122:C124"/>
    <mergeCell ref="D122:D124"/>
    <mergeCell ref="B116:B117"/>
    <mergeCell ref="C116:C117"/>
    <mergeCell ref="D116:D117"/>
    <mergeCell ref="B118:B119"/>
    <mergeCell ref="C118:C119"/>
    <mergeCell ref="D118:D119"/>
    <mergeCell ref="B130:B131"/>
    <mergeCell ref="D130:D131"/>
    <mergeCell ref="B132:B133"/>
    <mergeCell ref="C132:C133"/>
    <mergeCell ref="D132:D133"/>
    <mergeCell ref="B134:B135"/>
    <mergeCell ref="C134:C135"/>
    <mergeCell ref="D134:D135"/>
    <mergeCell ref="B125:B127"/>
    <mergeCell ref="C125:C127"/>
    <mergeCell ref="D125:D127"/>
    <mergeCell ref="B128:B129"/>
    <mergeCell ref="C128:C129"/>
    <mergeCell ref="D128:D129"/>
    <mergeCell ref="B140:B141"/>
    <mergeCell ref="C140:C141"/>
    <mergeCell ref="D140:D141"/>
    <mergeCell ref="B142:B143"/>
    <mergeCell ref="C142:C143"/>
    <mergeCell ref="D142:D143"/>
    <mergeCell ref="B136:B137"/>
    <mergeCell ref="C136:C137"/>
    <mergeCell ref="D136:D137"/>
    <mergeCell ref="B138:B139"/>
    <mergeCell ref="C138:C139"/>
    <mergeCell ref="D138:D139"/>
    <mergeCell ref="B150:B151"/>
    <mergeCell ref="C150:C151"/>
    <mergeCell ref="D150:D151"/>
    <mergeCell ref="B152:B153"/>
    <mergeCell ref="C152:C153"/>
    <mergeCell ref="D152:D153"/>
    <mergeCell ref="B144:B145"/>
    <mergeCell ref="C144:C145"/>
    <mergeCell ref="D144:D145"/>
    <mergeCell ref="B146:B147"/>
    <mergeCell ref="D146:D147"/>
    <mergeCell ref="B148:B149"/>
    <mergeCell ref="D148:D149"/>
    <mergeCell ref="B158:B159"/>
    <mergeCell ref="C158:C159"/>
    <mergeCell ref="D158:D159"/>
    <mergeCell ref="B160:B162"/>
    <mergeCell ref="C160:C162"/>
    <mergeCell ref="D160:D162"/>
    <mergeCell ref="B154:B155"/>
    <mergeCell ref="C154:C155"/>
    <mergeCell ref="D154:D155"/>
    <mergeCell ref="B156:B157"/>
    <mergeCell ref="C156:C157"/>
    <mergeCell ref="D156:D157"/>
    <mergeCell ref="B169:B171"/>
    <mergeCell ref="C169:C171"/>
    <mergeCell ref="D169:D171"/>
    <mergeCell ref="B172:B173"/>
    <mergeCell ref="C172:C173"/>
    <mergeCell ref="D172:D173"/>
    <mergeCell ref="B163:B165"/>
    <mergeCell ref="C163:C165"/>
    <mergeCell ref="D163:D165"/>
    <mergeCell ref="B166:B168"/>
    <mergeCell ref="C166:C168"/>
    <mergeCell ref="D166:D168"/>
    <mergeCell ref="B178:B179"/>
    <mergeCell ref="C178:C179"/>
    <mergeCell ref="D178:D179"/>
    <mergeCell ref="B180:B181"/>
    <mergeCell ref="C180:C181"/>
    <mergeCell ref="D180:D181"/>
    <mergeCell ref="B174:B175"/>
    <mergeCell ref="C174:C175"/>
    <mergeCell ref="D174:D175"/>
    <mergeCell ref="B176:B177"/>
    <mergeCell ref="C176:C177"/>
    <mergeCell ref="D176:D177"/>
    <mergeCell ref="B186:B187"/>
    <mergeCell ref="D186:D187"/>
    <mergeCell ref="B188:B189"/>
    <mergeCell ref="D188:D189"/>
    <mergeCell ref="B190:B192"/>
    <mergeCell ref="C190:C192"/>
    <mergeCell ref="D190:D192"/>
    <mergeCell ref="B182:B183"/>
    <mergeCell ref="C182:C183"/>
    <mergeCell ref="D182:D183"/>
    <mergeCell ref="B184:B185"/>
    <mergeCell ref="C184:C185"/>
    <mergeCell ref="D184:D185"/>
    <mergeCell ref="B198:B199"/>
    <mergeCell ref="D198:D199"/>
    <mergeCell ref="B200:B201"/>
    <mergeCell ref="D200:D201"/>
    <mergeCell ref="B202:B203"/>
    <mergeCell ref="D202:D203"/>
    <mergeCell ref="B193:B195"/>
    <mergeCell ref="C193:C195"/>
    <mergeCell ref="D193:D195"/>
    <mergeCell ref="B196:B197"/>
    <mergeCell ref="C196:C197"/>
    <mergeCell ref="D196:D197"/>
    <mergeCell ref="B210:B212"/>
    <mergeCell ref="C210:C212"/>
    <mergeCell ref="D210:D212"/>
    <mergeCell ref="B213:B215"/>
    <mergeCell ref="C213:C215"/>
    <mergeCell ref="D213:D215"/>
    <mergeCell ref="B204:B205"/>
    <mergeCell ref="D204:D205"/>
    <mergeCell ref="B206:B207"/>
    <mergeCell ref="D206:D207"/>
    <mergeCell ref="B208:B209"/>
    <mergeCell ref="C208:C209"/>
    <mergeCell ref="D208:D209"/>
    <mergeCell ref="B222:B223"/>
    <mergeCell ref="C222:C223"/>
    <mergeCell ref="D222:D223"/>
    <mergeCell ref="B224:B226"/>
    <mergeCell ref="C224:C226"/>
    <mergeCell ref="D224:D226"/>
    <mergeCell ref="B216:B218"/>
    <mergeCell ref="C216:C218"/>
    <mergeCell ref="D216:D218"/>
    <mergeCell ref="B219:B221"/>
    <mergeCell ref="C219:C221"/>
    <mergeCell ref="D219:D221"/>
    <mergeCell ref="B232:B233"/>
    <mergeCell ref="C232:C234"/>
    <mergeCell ref="D232:D233"/>
    <mergeCell ref="B235:B236"/>
    <mergeCell ref="C235:C236"/>
    <mergeCell ref="D235:D236"/>
    <mergeCell ref="B227:B229"/>
    <mergeCell ref="C227:C229"/>
    <mergeCell ref="D227:D229"/>
    <mergeCell ref="B230:B231"/>
    <mergeCell ref="C230:C231"/>
    <mergeCell ref="D230:D231"/>
    <mergeCell ref="B244:B246"/>
    <mergeCell ref="C244:C246"/>
    <mergeCell ref="D244:D246"/>
    <mergeCell ref="B247:B248"/>
    <mergeCell ref="D247:D248"/>
    <mergeCell ref="B249:B250"/>
    <mergeCell ref="C249:C250"/>
    <mergeCell ref="D249:D250"/>
    <mergeCell ref="B238:B240"/>
    <mergeCell ref="C238:C240"/>
    <mergeCell ref="D238:D240"/>
    <mergeCell ref="B241:B243"/>
    <mergeCell ref="C241:C243"/>
    <mergeCell ref="D241:D243"/>
    <mergeCell ref="B255:B256"/>
    <mergeCell ref="C255:C256"/>
    <mergeCell ref="D255:D256"/>
    <mergeCell ref="B257:B258"/>
    <mergeCell ref="C257:C258"/>
    <mergeCell ref="D257:D258"/>
    <mergeCell ref="B251:B252"/>
    <mergeCell ref="C251:C252"/>
    <mergeCell ref="D251:D252"/>
    <mergeCell ref="B253:B254"/>
    <mergeCell ref="C253:C254"/>
    <mergeCell ref="D253:D254"/>
    <mergeCell ref="B265:B267"/>
    <mergeCell ref="C265:C267"/>
    <mergeCell ref="D265:D267"/>
    <mergeCell ref="B268:B270"/>
    <mergeCell ref="C268:C270"/>
    <mergeCell ref="D268:D270"/>
    <mergeCell ref="B259:B260"/>
    <mergeCell ref="D259:D260"/>
    <mergeCell ref="B261:B262"/>
    <mergeCell ref="D261:D262"/>
    <mergeCell ref="B263:B264"/>
    <mergeCell ref="D263:D264"/>
    <mergeCell ref="B277:B278"/>
    <mergeCell ref="D277:D278"/>
    <mergeCell ref="B279:B280"/>
    <mergeCell ref="D279:D280"/>
    <mergeCell ref="B281:B282"/>
    <mergeCell ref="D281:D282"/>
    <mergeCell ref="B271:B272"/>
    <mergeCell ref="D271:D272"/>
    <mergeCell ref="B273:B274"/>
    <mergeCell ref="D273:D274"/>
    <mergeCell ref="B275:B276"/>
    <mergeCell ref="D275:D276"/>
    <mergeCell ref="B288:B289"/>
    <mergeCell ref="C288:C289"/>
    <mergeCell ref="D288:D289"/>
    <mergeCell ref="B290:B291"/>
    <mergeCell ref="C290:C291"/>
    <mergeCell ref="D290:D291"/>
    <mergeCell ref="B283:B285"/>
    <mergeCell ref="C283:C285"/>
    <mergeCell ref="D283:D285"/>
    <mergeCell ref="B286:B287"/>
    <mergeCell ref="C286:C287"/>
    <mergeCell ref="D286:D287"/>
    <mergeCell ref="B298:B299"/>
    <mergeCell ref="D298:D299"/>
    <mergeCell ref="B300:B301"/>
    <mergeCell ref="D300:D301"/>
    <mergeCell ref="B302:B303"/>
    <mergeCell ref="D302:D303"/>
    <mergeCell ref="B292:B293"/>
    <mergeCell ref="D292:D293"/>
    <mergeCell ref="B294:B295"/>
    <mergeCell ref="D294:D295"/>
    <mergeCell ref="B296:B297"/>
    <mergeCell ref="D296:D297"/>
    <mergeCell ref="D310:D311"/>
    <mergeCell ref="B312:B314"/>
    <mergeCell ref="C312:C314"/>
    <mergeCell ref="D312:D314"/>
    <mergeCell ref="B315:B317"/>
    <mergeCell ref="C315:C317"/>
    <mergeCell ref="D315:D317"/>
    <mergeCell ref="B304:B305"/>
    <mergeCell ref="D304:D305"/>
    <mergeCell ref="B306:B307"/>
    <mergeCell ref="D306:D307"/>
    <mergeCell ref="B308:B309"/>
    <mergeCell ref="D308:D309"/>
    <mergeCell ref="B325:B326"/>
    <mergeCell ref="D325:D326"/>
    <mergeCell ref="B327:B328"/>
    <mergeCell ref="D327:D328"/>
    <mergeCell ref="B329:B330"/>
    <mergeCell ref="D329:D330"/>
    <mergeCell ref="B318:B320"/>
    <mergeCell ref="C318:C320"/>
    <mergeCell ref="D318:D320"/>
    <mergeCell ref="B321:B322"/>
    <mergeCell ref="D321:D322"/>
    <mergeCell ref="B323:B324"/>
    <mergeCell ref="D323:D324"/>
    <mergeCell ref="B337:B338"/>
    <mergeCell ref="D337:D338"/>
    <mergeCell ref="B339:B341"/>
    <mergeCell ref="C339:C341"/>
    <mergeCell ref="D339:D341"/>
    <mergeCell ref="B342:B344"/>
    <mergeCell ref="C342:C344"/>
    <mergeCell ref="D342:D344"/>
    <mergeCell ref="B331:B332"/>
    <mergeCell ref="D331:D332"/>
    <mergeCell ref="B333:B334"/>
    <mergeCell ref="D333:D334"/>
    <mergeCell ref="B335:B336"/>
    <mergeCell ref="D335:D336"/>
    <mergeCell ref="B349:B350"/>
    <mergeCell ref="C349:C350"/>
    <mergeCell ref="D349:D350"/>
    <mergeCell ref="B351:B352"/>
    <mergeCell ref="D351:D352"/>
    <mergeCell ref="B353:B354"/>
    <mergeCell ref="D353:D354"/>
    <mergeCell ref="B345:B346"/>
    <mergeCell ref="C345:C346"/>
    <mergeCell ref="D345:D346"/>
    <mergeCell ref="B347:B348"/>
    <mergeCell ref="C347:C348"/>
    <mergeCell ref="D347:D348"/>
    <mergeCell ref="B361:B362"/>
    <mergeCell ref="D361:D362"/>
    <mergeCell ref="B363:B365"/>
    <mergeCell ref="C363:C365"/>
    <mergeCell ref="D363:D365"/>
    <mergeCell ref="B366:B368"/>
    <mergeCell ref="C366:C368"/>
    <mergeCell ref="D366:D368"/>
    <mergeCell ref="B355:B356"/>
    <mergeCell ref="D355:D356"/>
    <mergeCell ref="B357:B358"/>
    <mergeCell ref="D357:D358"/>
    <mergeCell ref="B359:B360"/>
    <mergeCell ref="D359:D360"/>
    <mergeCell ref="B375:B376"/>
    <mergeCell ref="D375:D376"/>
    <mergeCell ref="B377:B379"/>
    <mergeCell ref="D377:D379"/>
    <mergeCell ref="B380:B382"/>
    <mergeCell ref="D380:D382"/>
    <mergeCell ref="B369:B371"/>
    <mergeCell ref="C369:C371"/>
    <mergeCell ref="D369:D371"/>
    <mergeCell ref="B372:B374"/>
    <mergeCell ref="C372:C374"/>
    <mergeCell ref="D372:D374"/>
    <mergeCell ref="B389:B390"/>
    <mergeCell ref="C389:C390"/>
    <mergeCell ref="D389:D390"/>
    <mergeCell ref="B391:B392"/>
    <mergeCell ref="C391:C392"/>
    <mergeCell ref="D391:D392"/>
    <mergeCell ref="B383:B384"/>
    <mergeCell ref="D383:D384"/>
    <mergeCell ref="B385:B386"/>
    <mergeCell ref="C385:C386"/>
    <mergeCell ref="D385:D386"/>
    <mergeCell ref="B387:B388"/>
    <mergeCell ref="C387:C388"/>
    <mergeCell ref="D387:D388"/>
    <mergeCell ref="B402:B403"/>
    <mergeCell ref="D402:D403"/>
    <mergeCell ref="B404:B405"/>
    <mergeCell ref="C404:C405"/>
    <mergeCell ref="D404:D405"/>
    <mergeCell ref="B407:B408"/>
    <mergeCell ref="D407:D408"/>
    <mergeCell ref="B393:B394"/>
    <mergeCell ref="D393:D394"/>
    <mergeCell ref="B398:B399"/>
    <mergeCell ref="D398:D399"/>
    <mergeCell ref="B400:B401"/>
    <mergeCell ref="D400:D401"/>
    <mergeCell ref="B419:B420"/>
    <mergeCell ref="D419:D420"/>
    <mergeCell ref="B421:B422"/>
    <mergeCell ref="D421:D422"/>
    <mergeCell ref="B423:B426"/>
    <mergeCell ref="D423:D426"/>
    <mergeCell ref="B409:B412"/>
    <mergeCell ref="D409:D412"/>
    <mergeCell ref="B413:B416"/>
    <mergeCell ref="D413:D416"/>
    <mergeCell ref="B417:B418"/>
    <mergeCell ref="D417:D418"/>
    <mergeCell ref="B431:B432"/>
    <mergeCell ref="D431:D432"/>
    <mergeCell ref="B435:B436"/>
    <mergeCell ref="D435:D436"/>
    <mergeCell ref="B437:B438"/>
    <mergeCell ref="C437:C438"/>
    <mergeCell ref="D437:D438"/>
    <mergeCell ref="B427:B428"/>
    <mergeCell ref="C427:C428"/>
    <mergeCell ref="D427:D428"/>
    <mergeCell ref="B429:B430"/>
    <mergeCell ref="C429:C430"/>
    <mergeCell ref="D429:D430"/>
    <mergeCell ref="B447:B448"/>
    <mergeCell ref="D447:D448"/>
    <mergeCell ref="B450:B451"/>
    <mergeCell ref="D450:D451"/>
    <mergeCell ref="B453:B454"/>
    <mergeCell ref="D453:D454"/>
    <mergeCell ref="B439:B440"/>
    <mergeCell ref="D439:D440"/>
    <mergeCell ref="B443:B444"/>
    <mergeCell ref="D443:D444"/>
    <mergeCell ref="B445:B446"/>
    <mergeCell ref="D445:D446"/>
    <mergeCell ref="B462:B463"/>
    <mergeCell ref="C462:C463"/>
    <mergeCell ref="D462:D463"/>
    <mergeCell ref="B464:B465"/>
    <mergeCell ref="D464:D465"/>
    <mergeCell ref="B466:B467"/>
    <mergeCell ref="D466:D467"/>
    <mergeCell ref="B455:B456"/>
    <mergeCell ref="D455:D456"/>
    <mergeCell ref="B457:B458"/>
    <mergeCell ref="D457:D458"/>
    <mergeCell ref="B460:B461"/>
    <mergeCell ref="C460:C461"/>
    <mergeCell ref="D460:D461"/>
    <mergeCell ref="B474:B475"/>
    <mergeCell ref="C474:C475"/>
    <mergeCell ref="D474:D475"/>
    <mergeCell ref="B476:B477"/>
    <mergeCell ref="C476:C477"/>
    <mergeCell ref="D476:D477"/>
    <mergeCell ref="B468:B469"/>
    <mergeCell ref="D468:D469"/>
    <mergeCell ref="B470:B471"/>
    <mergeCell ref="D470:D471"/>
    <mergeCell ref="B472:B473"/>
    <mergeCell ref="C472:C473"/>
    <mergeCell ref="D472:D473"/>
    <mergeCell ref="B484:B485"/>
    <mergeCell ref="D484:D485"/>
    <mergeCell ref="B486:B487"/>
    <mergeCell ref="C486:C487"/>
    <mergeCell ref="D486:D487"/>
    <mergeCell ref="B488:B489"/>
    <mergeCell ref="C488:C489"/>
    <mergeCell ref="D488:D489"/>
    <mergeCell ref="B478:B479"/>
    <mergeCell ref="C478:C479"/>
    <mergeCell ref="D478:D479"/>
    <mergeCell ref="B480:B481"/>
    <mergeCell ref="D480:D481"/>
    <mergeCell ref="B482:B483"/>
    <mergeCell ref="D482:D483"/>
    <mergeCell ref="B494:B495"/>
    <mergeCell ref="C494:C495"/>
    <mergeCell ref="D494:D495"/>
    <mergeCell ref="B496:B497"/>
    <mergeCell ref="D496:D497"/>
    <mergeCell ref="B490:B491"/>
    <mergeCell ref="C490:C491"/>
    <mergeCell ref="D490:D491"/>
    <mergeCell ref="B492:B493"/>
    <mergeCell ref="C492:C493"/>
    <mergeCell ref="D492:D493"/>
  </mergeCells>
  <conditionalFormatting sqref="M400:M403 M407:M409 M484:M485 M104:M108 M136:M145 M292:M297 M439:M447 M496:M498 M20:M30">
    <cfRule type="cellIs" dxfId="1167" priority="1203" stopIfTrue="1" operator="greaterThanOrEqual">
      <formula>15</formula>
    </cfRule>
    <cfRule type="cellIs" dxfId="1166" priority="1204" stopIfTrue="1" operator="between">
      <formula>7</formula>
      <formula>14</formula>
    </cfRule>
    <cfRule type="cellIs" dxfId="1165" priority="1205" stopIfTrue="1" operator="lessThan">
      <formula>7</formula>
    </cfRule>
  </conditionalFormatting>
  <conditionalFormatting sqref="Q407:Q409 Q484:Q485 Q230:Q236 Q127:Q195 Q265:Q284 Q286:Q311 Q412:Q426 Q439:Q447 Q397:Q403 Q496:Q498 Q20:Q47">
    <cfRule type="cellIs" dxfId="1164" priority="1199" stopIfTrue="1" operator="greaterThanOrEqual">
      <formula>70</formula>
    </cfRule>
    <cfRule type="cellIs" dxfId="1163" priority="1200" stopIfTrue="1" operator="between">
      <formula>60</formula>
      <formula>69.999999</formula>
    </cfRule>
    <cfRule type="cellIs" dxfId="1162" priority="1201" stopIfTrue="1" operator="between">
      <formula>50</formula>
      <formula>59.9999</formula>
    </cfRule>
    <cfRule type="cellIs" dxfId="1161" priority="1202" stopIfTrue="1" operator="lessThanOrEqual">
      <formula>50</formula>
    </cfRule>
  </conditionalFormatting>
  <conditionalFormatting sqref="M71 M80:M81 M86:M87 M90 M449:M451 M413:M426 M32:M47 M60:M69 M435:M436 M431:M433">
    <cfRule type="cellIs" dxfId="1160" priority="1196" stopIfTrue="1" operator="greaterThanOrEqual">
      <formula>15</formula>
    </cfRule>
    <cfRule type="cellIs" dxfId="1159" priority="1197" stopIfTrue="1" operator="between">
      <formula>7</formula>
      <formula>14</formula>
    </cfRule>
    <cfRule type="cellIs" dxfId="1158" priority="1198" stopIfTrue="1" operator="lessThan">
      <formula>7</formula>
    </cfRule>
  </conditionalFormatting>
  <conditionalFormatting sqref="Q449:Q451 Q435:Q436 Q431:Q433">
    <cfRule type="cellIs" dxfId="1157" priority="1192" stopIfTrue="1" operator="greaterThanOrEqual">
      <formula>70</formula>
    </cfRule>
    <cfRule type="cellIs" dxfId="1156" priority="1193" stopIfTrue="1" operator="between">
      <formula>60</formula>
      <formula>69.999999</formula>
    </cfRule>
    <cfRule type="cellIs" dxfId="1155" priority="1194" stopIfTrue="1" operator="between">
      <formula>50</formula>
      <formula>59.9999</formula>
    </cfRule>
    <cfRule type="cellIs" dxfId="1154" priority="1195" stopIfTrue="1" operator="lessThanOrEqual">
      <formula>50</formula>
    </cfRule>
  </conditionalFormatting>
  <conditionalFormatting sqref="Q71 Q78:Q81 Q90 Q481 Q86:Q88 Q60:Q69 Q464:Q471 Q453:Q458">
    <cfRule type="cellIs" dxfId="1153" priority="1188" stopIfTrue="1" operator="greaterThanOrEqual">
      <formula>70</formula>
    </cfRule>
    <cfRule type="cellIs" dxfId="1152" priority="1189" stopIfTrue="1" operator="between">
      <formula>60</formula>
      <formula>69.999999</formula>
    </cfRule>
    <cfRule type="cellIs" dxfId="1151" priority="1190" stopIfTrue="1" operator="between">
      <formula>50</formula>
      <formula>59.9999</formula>
    </cfRule>
    <cfRule type="cellIs" dxfId="1150" priority="1191" stopIfTrue="1" operator="lessThanOrEqual">
      <formula>50</formula>
    </cfRule>
  </conditionalFormatting>
  <conditionalFormatting sqref="M481 M453:M458 M463:M471">
    <cfRule type="cellIs" dxfId="1149" priority="1185" stopIfTrue="1" operator="greaterThanOrEqual">
      <formula>15</formula>
    </cfRule>
    <cfRule type="cellIs" dxfId="1148" priority="1186" stopIfTrue="1" operator="between">
      <formula>7</formula>
      <formula>14</formula>
    </cfRule>
    <cfRule type="cellIs" dxfId="1147" priority="1187" stopIfTrue="1" operator="lessThan">
      <formula>7</formula>
    </cfRule>
  </conditionalFormatting>
  <conditionalFormatting sqref="M76:M77">
    <cfRule type="cellIs" dxfId="1146" priority="1182" stopIfTrue="1" operator="greaterThanOrEqual">
      <formula>15</formula>
    </cfRule>
    <cfRule type="cellIs" dxfId="1145" priority="1183" stopIfTrue="1" operator="between">
      <formula>7</formula>
      <formula>14</formula>
    </cfRule>
    <cfRule type="cellIs" dxfId="1144" priority="1184" stopIfTrue="1" operator="lessThan">
      <formula>7</formula>
    </cfRule>
  </conditionalFormatting>
  <conditionalFormatting sqref="Q76:Q77">
    <cfRule type="cellIs" dxfId="1143" priority="1178" stopIfTrue="1" operator="greaterThanOrEqual">
      <formula>70</formula>
    </cfRule>
    <cfRule type="cellIs" dxfId="1142" priority="1179" stopIfTrue="1" operator="between">
      <formula>60</formula>
      <formula>69.999999</formula>
    </cfRule>
    <cfRule type="cellIs" dxfId="1141" priority="1180" stopIfTrue="1" operator="between">
      <formula>50</formula>
      <formula>59.9999</formula>
    </cfRule>
    <cfRule type="cellIs" dxfId="1140" priority="1181" stopIfTrue="1" operator="lessThanOrEqual">
      <formula>50</formula>
    </cfRule>
  </conditionalFormatting>
  <conditionalFormatting sqref="M79">
    <cfRule type="cellIs" dxfId="1139" priority="1175" stopIfTrue="1" operator="greaterThanOrEqual">
      <formula>15</formula>
    </cfRule>
    <cfRule type="cellIs" dxfId="1138" priority="1176" stopIfTrue="1" operator="between">
      <formula>7</formula>
      <formula>14</formula>
    </cfRule>
    <cfRule type="cellIs" dxfId="1137" priority="1177" stopIfTrue="1" operator="lessThan">
      <formula>7</formula>
    </cfRule>
  </conditionalFormatting>
  <conditionalFormatting sqref="M78">
    <cfRule type="cellIs" dxfId="1136" priority="1172" stopIfTrue="1" operator="greaterThanOrEqual">
      <formula>15</formula>
    </cfRule>
    <cfRule type="cellIs" dxfId="1135" priority="1173" stopIfTrue="1" operator="between">
      <formula>7</formula>
      <formula>14</formula>
    </cfRule>
    <cfRule type="cellIs" dxfId="1134" priority="1174" stopIfTrue="1" operator="lessThan">
      <formula>7</formula>
    </cfRule>
  </conditionalFormatting>
  <conditionalFormatting sqref="M85">
    <cfRule type="cellIs" dxfId="1133" priority="1169" stopIfTrue="1" operator="greaterThanOrEqual">
      <formula>15</formula>
    </cfRule>
    <cfRule type="cellIs" dxfId="1132" priority="1170" stopIfTrue="1" operator="between">
      <formula>7</formula>
      <formula>14</formula>
    </cfRule>
    <cfRule type="cellIs" dxfId="1131" priority="1171" stopIfTrue="1" operator="lessThan">
      <formula>7</formula>
    </cfRule>
  </conditionalFormatting>
  <conditionalFormatting sqref="Q85">
    <cfRule type="cellIs" dxfId="1130" priority="1165" stopIfTrue="1" operator="greaterThanOrEqual">
      <formula>70</formula>
    </cfRule>
    <cfRule type="cellIs" dxfId="1129" priority="1166" stopIfTrue="1" operator="between">
      <formula>60</formula>
      <formula>69.999999</formula>
    </cfRule>
    <cfRule type="cellIs" dxfId="1128" priority="1167" stopIfTrue="1" operator="between">
      <formula>50</formula>
      <formula>59.9999</formula>
    </cfRule>
    <cfRule type="cellIs" dxfId="1127" priority="1168" stopIfTrue="1" operator="lessThanOrEqual">
      <formula>50</formula>
    </cfRule>
  </conditionalFormatting>
  <conditionalFormatting sqref="M88">
    <cfRule type="cellIs" dxfId="1126" priority="1162" stopIfTrue="1" operator="greaterThanOrEqual">
      <formula>15</formula>
    </cfRule>
    <cfRule type="cellIs" dxfId="1125" priority="1163" stopIfTrue="1" operator="between">
      <formula>7</formula>
      <formula>14</formula>
    </cfRule>
    <cfRule type="cellIs" dxfId="1124" priority="1164" stopIfTrue="1" operator="lessThan">
      <formula>7</formula>
    </cfRule>
  </conditionalFormatting>
  <conditionalFormatting sqref="M89">
    <cfRule type="cellIs" dxfId="1123" priority="1159" stopIfTrue="1" operator="greaterThanOrEqual">
      <formula>15</formula>
    </cfRule>
    <cfRule type="cellIs" dxfId="1122" priority="1160" stopIfTrue="1" operator="between">
      <formula>7</formula>
      <formula>14</formula>
    </cfRule>
    <cfRule type="cellIs" dxfId="1121" priority="1161" stopIfTrue="1" operator="lessThan">
      <formula>7</formula>
    </cfRule>
  </conditionalFormatting>
  <conditionalFormatting sqref="Q89">
    <cfRule type="cellIs" dxfId="1120" priority="1155" stopIfTrue="1" operator="greaterThanOrEqual">
      <formula>70</formula>
    </cfRule>
    <cfRule type="cellIs" dxfId="1119" priority="1156" stopIfTrue="1" operator="between">
      <formula>60</formula>
      <formula>69.999999</formula>
    </cfRule>
    <cfRule type="cellIs" dxfId="1118" priority="1157" stopIfTrue="1" operator="between">
      <formula>50</formula>
      <formula>59.9999</formula>
    </cfRule>
    <cfRule type="cellIs" dxfId="1117" priority="1158" stopIfTrue="1" operator="lessThanOrEqual">
      <formula>50</formula>
    </cfRule>
  </conditionalFormatting>
  <conditionalFormatting sqref="Q411">
    <cfRule type="cellIs" dxfId="1116" priority="1151" stopIfTrue="1" operator="greaterThanOrEqual">
      <formula>70</formula>
    </cfRule>
    <cfRule type="cellIs" dxfId="1115" priority="1152" stopIfTrue="1" operator="between">
      <formula>60</formula>
      <formula>69.999999</formula>
    </cfRule>
    <cfRule type="cellIs" dxfId="1114" priority="1153" stopIfTrue="1" operator="between">
      <formula>50</formula>
      <formula>59.9999</formula>
    </cfRule>
    <cfRule type="cellIs" dxfId="1113" priority="1154" stopIfTrue="1" operator="lessThanOrEqual">
      <formula>50</formula>
    </cfRule>
  </conditionalFormatting>
  <conditionalFormatting sqref="M410:M412">
    <cfRule type="cellIs" dxfId="1112" priority="1148" stopIfTrue="1" operator="greaterThanOrEqual">
      <formula>15</formula>
    </cfRule>
    <cfRule type="cellIs" dxfId="1111" priority="1149" stopIfTrue="1" operator="between">
      <formula>7</formula>
      <formula>14</formula>
    </cfRule>
    <cfRule type="cellIs" dxfId="1110" priority="1150" stopIfTrue="1" operator="lessThan">
      <formula>7</formula>
    </cfRule>
  </conditionalFormatting>
  <conditionalFormatting sqref="Q410">
    <cfRule type="cellIs" dxfId="1109" priority="1144" stopIfTrue="1" operator="greaterThanOrEqual">
      <formula>70</formula>
    </cfRule>
    <cfRule type="cellIs" dxfId="1108" priority="1145" stopIfTrue="1" operator="between">
      <formula>60</formula>
      <formula>69.999999</formula>
    </cfRule>
    <cfRule type="cellIs" dxfId="1107" priority="1146" stopIfTrue="1" operator="between">
      <formula>50</formula>
      <formula>59.9999</formula>
    </cfRule>
    <cfRule type="cellIs" dxfId="1106" priority="1147" stopIfTrue="1" operator="lessThanOrEqual">
      <formula>50</formula>
    </cfRule>
  </conditionalFormatting>
  <conditionalFormatting sqref="Q448">
    <cfRule type="cellIs" dxfId="1105" priority="1140" stopIfTrue="1" operator="greaterThanOrEqual">
      <formula>70</formula>
    </cfRule>
    <cfRule type="cellIs" dxfId="1104" priority="1141" stopIfTrue="1" operator="between">
      <formula>60</formula>
      <formula>69.999999</formula>
    </cfRule>
    <cfRule type="cellIs" dxfId="1103" priority="1142" stopIfTrue="1" operator="between">
      <formula>50</formula>
      <formula>59.9999</formula>
    </cfRule>
    <cfRule type="cellIs" dxfId="1102" priority="1143" stopIfTrue="1" operator="lessThanOrEqual">
      <formula>50</formula>
    </cfRule>
  </conditionalFormatting>
  <conditionalFormatting sqref="Q480">
    <cfRule type="cellIs" dxfId="1101" priority="1136" stopIfTrue="1" operator="greaterThanOrEqual">
      <formula>70</formula>
    </cfRule>
    <cfRule type="cellIs" dxfId="1100" priority="1137" stopIfTrue="1" operator="between">
      <formula>60</formula>
      <formula>69.999999</formula>
    </cfRule>
    <cfRule type="cellIs" dxfId="1099" priority="1138" stopIfTrue="1" operator="between">
      <formula>50</formula>
      <formula>59.9999</formula>
    </cfRule>
    <cfRule type="cellIs" dxfId="1098" priority="1139" stopIfTrue="1" operator="lessThanOrEqual">
      <formula>50</formula>
    </cfRule>
  </conditionalFormatting>
  <conditionalFormatting sqref="M480">
    <cfRule type="cellIs" dxfId="1097" priority="1133" stopIfTrue="1" operator="greaterThanOrEqual">
      <formula>15</formula>
    </cfRule>
    <cfRule type="cellIs" dxfId="1096" priority="1134" stopIfTrue="1" operator="between">
      <formula>7</formula>
      <formula>14</formula>
    </cfRule>
    <cfRule type="cellIs" dxfId="1095" priority="1135" stopIfTrue="1" operator="lessThan">
      <formula>7</formula>
    </cfRule>
  </conditionalFormatting>
  <conditionalFormatting sqref="Q482:Q483">
    <cfRule type="cellIs" dxfId="1094" priority="1129" stopIfTrue="1" operator="greaterThanOrEqual">
      <formula>70</formula>
    </cfRule>
    <cfRule type="cellIs" dxfId="1093" priority="1130" stopIfTrue="1" operator="between">
      <formula>60</formula>
      <formula>69.999999</formula>
    </cfRule>
    <cfRule type="cellIs" dxfId="1092" priority="1131" stopIfTrue="1" operator="between">
      <formula>50</formula>
      <formula>59.9999</formula>
    </cfRule>
    <cfRule type="cellIs" dxfId="1091" priority="1132" stopIfTrue="1" operator="lessThanOrEqual">
      <formula>50</formula>
    </cfRule>
  </conditionalFormatting>
  <conditionalFormatting sqref="M482:M483">
    <cfRule type="cellIs" dxfId="1090" priority="1126" stopIfTrue="1" operator="greaterThanOrEqual">
      <formula>15</formula>
    </cfRule>
    <cfRule type="cellIs" dxfId="1089" priority="1127" stopIfTrue="1" operator="between">
      <formula>7</formula>
      <formula>14</formula>
    </cfRule>
    <cfRule type="cellIs" dxfId="1088" priority="1128" stopIfTrue="1" operator="lessThan">
      <formula>7</formula>
    </cfRule>
  </conditionalFormatting>
  <conditionalFormatting sqref="M5:M6">
    <cfRule type="cellIs" dxfId="1087" priority="1123" stopIfTrue="1" operator="greaterThanOrEqual">
      <formula>15</formula>
    </cfRule>
    <cfRule type="cellIs" dxfId="1086" priority="1124" stopIfTrue="1" operator="between">
      <formula>7</formula>
      <formula>14</formula>
    </cfRule>
    <cfRule type="cellIs" dxfId="1085" priority="1125" stopIfTrue="1" operator="lessThan">
      <formula>7</formula>
    </cfRule>
  </conditionalFormatting>
  <conditionalFormatting sqref="Q5:Q6">
    <cfRule type="cellIs" dxfId="1084" priority="1119" stopIfTrue="1" operator="greaterThanOrEqual">
      <formula>70</formula>
    </cfRule>
    <cfRule type="cellIs" dxfId="1083" priority="1120" stopIfTrue="1" operator="between">
      <formula>60</formula>
      <formula>69.999999</formula>
    </cfRule>
    <cfRule type="cellIs" dxfId="1082" priority="1121" stopIfTrue="1" operator="between">
      <formula>50</formula>
      <formula>59.9999</formula>
    </cfRule>
    <cfRule type="cellIs" dxfId="1081" priority="1122" stopIfTrue="1" operator="lessThanOrEqual">
      <formula>50</formula>
    </cfRule>
  </conditionalFormatting>
  <conditionalFormatting sqref="M7:M8">
    <cfRule type="cellIs" dxfId="1080" priority="1116" stopIfTrue="1" operator="greaterThanOrEqual">
      <formula>15</formula>
    </cfRule>
    <cfRule type="cellIs" dxfId="1079" priority="1117" stopIfTrue="1" operator="between">
      <formula>7</formula>
      <formula>14</formula>
    </cfRule>
    <cfRule type="cellIs" dxfId="1078" priority="1118" stopIfTrue="1" operator="lessThan">
      <formula>7</formula>
    </cfRule>
  </conditionalFormatting>
  <conditionalFormatting sqref="Q7:Q8">
    <cfRule type="cellIs" dxfId="1077" priority="1112" stopIfTrue="1" operator="greaterThanOrEqual">
      <formula>70</formula>
    </cfRule>
    <cfRule type="cellIs" dxfId="1076" priority="1113" stopIfTrue="1" operator="between">
      <formula>60</formula>
      <formula>69.999999</formula>
    </cfRule>
    <cfRule type="cellIs" dxfId="1075" priority="1114" stopIfTrue="1" operator="between">
      <formula>50</formula>
      <formula>59.9999</formula>
    </cfRule>
    <cfRule type="cellIs" dxfId="1074" priority="1115" stopIfTrue="1" operator="lessThanOrEqual">
      <formula>50</formula>
    </cfRule>
  </conditionalFormatting>
  <conditionalFormatting sqref="M9:M10">
    <cfRule type="cellIs" dxfId="1073" priority="1109" stopIfTrue="1" operator="greaterThanOrEqual">
      <formula>15</formula>
    </cfRule>
    <cfRule type="cellIs" dxfId="1072" priority="1110" stopIfTrue="1" operator="between">
      <formula>7</formula>
      <formula>14</formula>
    </cfRule>
    <cfRule type="cellIs" dxfId="1071" priority="1111" stopIfTrue="1" operator="lessThan">
      <formula>7</formula>
    </cfRule>
  </conditionalFormatting>
  <conditionalFormatting sqref="Q9:Q10">
    <cfRule type="cellIs" dxfId="1070" priority="1105" stopIfTrue="1" operator="greaterThanOrEqual">
      <formula>70</formula>
    </cfRule>
    <cfRule type="cellIs" dxfId="1069" priority="1106" stopIfTrue="1" operator="between">
      <formula>60</formula>
      <formula>69.999999</formula>
    </cfRule>
    <cfRule type="cellIs" dxfId="1068" priority="1107" stopIfTrue="1" operator="between">
      <formula>50</formula>
      <formula>59.9999</formula>
    </cfRule>
    <cfRule type="cellIs" dxfId="1067" priority="1108" stopIfTrue="1" operator="lessThanOrEqual">
      <formula>50</formula>
    </cfRule>
  </conditionalFormatting>
  <conditionalFormatting sqref="M15:M16">
    <cfRule type="cellIs" dxfId="1066" priority="1102" stopIfTrue="1" operator="greaterThanOrEqual">
      <formula>15</formula>
    </cfRule>
    <cfRule type="cellIs" dxfId="1065" priority="1103" stopIfTrue="1" operator="between">
      <formula>7</formula>
      <formula>14</formula>
    </cfRule>
    <cfRule type="cellIs" dxfId="1064" priority="1104" stopIfTrue="1" operator="lessThan">
      <formula>7</formula>
    </cfRule>
  </conditionalFormatting>
  <conditionalFormatting sqref="Q15:Q16">
    <cfRule type="cellIs" dxfId="1063" priority="1098" stopIfTrue="1" operator="greaterThanOrEqual">
      <formula>70</formula>
    </cfRule>
    <cfRule type="cellIs" dxfId="1062" priority="1099" stopIfTrue="1" operator="between">
      <formula>60</formula>
      <formula>69.999999</formula>
    </cfRule>
    <cfRule type="cellIs" dxfId="1061" priority="1100" stopIfTrue="1" operator="between">
      <formula>50</formula>
      <formula>59.9999</formula>
    </cfRule>
    <cfRule type="cellIs" dxfId="1060" priority="1101" stopIfTrue="1" operator="lessThanOrEqual">
      <formula>50</formula>
    </cfRule>
  </conditionalFormatting>
  <conditionalFormatting sqref="M17:M18">
    <cfRule type="cellIs" dxfId="1059" priority="1095" stopIfTrue="1" operator="greaterThanOrEqual">
      <formula>15</formula>
    </cfRule>
    <cfRule type="cellIs" dxfId="1058" priority="1096" stopIfTrue="1" operator="between">
      <formula>7</formula>
      <formula>14</formula>
    </cfRule>
    <cfRule type="cellIs" dxfId="1057" priority="1097" stopIfTrue="1" operator="lessThan">
      <formula>7</formula>
    </cfRule>
  </conditionalFormatting>
  <conditionalFormatting sqref="Q17:Q18">
    <cfRule type="cellIs" dxfId="1056" priority="1091" stopIfTrue="1" operator="greaterThanOrEqual">
      <formula>70</formula>
    </cfRule>
    <cfRule type="cellIs" dxfId="1055" priority="1092" stopIfTrue="1" operator="between">
      <formula>60</formula>
      <formula>69.999999</formula>
    </cfRule>
    <cfRule type="cellIs" dxfId="1054" priority="1093" stopIfTrue="1" operator="between">
      <formula>50</formula>
      <formula>59.9999</formula>
    </cfRule>
    <cfRule type="cellIs" dxfId="1053" priority="1094" stopIfTrue="1" operator="lessThanOrEqual">
      <formula>50</formula>
    </cfRule>
  </conditionalFormatting>
  <conditionalFormatting sqref="M11:M14">
    <cfRule type="cellIs" dxfId="1052" priority="1088" stopIfTrue="1" operator="greaterThanOrEqual">
      <formula>15</formula>
    </cfRule>
    <cfRule type="cellIs" dxfId="1051" priority="1089" stopIfTrue="1" operator="between">
      <formula>7</formula>
      <formula>14</formula>
    </cfRule>
    <cfRule type="cellIs" dxfId="1050" priority="1090" stopIfTrue="1" operator="lessThan">
      <formula>7</formula>
    </cfRule>
  </conditionalFormatting>
  <conditionalFormatting sqref="Q11:Q14">
    <cfRule type="cellIs" dxfId="1049" priority="1084" stopIfTrue="1" operator="greaterThanOrEqual">
      <formula>70</formula>
    </cfRule>
    <cfRule type="cellIs" dxfId="1048" priority="1085" stopIfTrue="1" operator="between">
      <formula>60</formula>
      <formula>69.999999</formula>
    </cfRule>
    <cfRule type="cellIs" dxfId="1047" priority="1086" stopIfTrue="1" operator="between">
      <formula>50</formula>
      <formula>59.9999</formula>
    </cfRule>
    <cfRule type="cellIs" dxfId="1046" priority="1087" stopIfTrue="1" operator="lessThanOrEqual">
      <formula>50</formula>
    </cfRule>
  </conditionalFormatting>
  <conditionalFormatting sqref="M399">
    <cfRule type="cellIs" dxfId="1045" priority="1081" stopIfTrue="1" operator="greaterThanOrEqual">
      <formula>15</formula>
    </cfRule>
    <cfRule type="cellIs" dxfId="1044" priority="1082" stopIfTrue="1" operator="between">
      <formula>7</formula>
      <formula>14</formula>
    </cfRule>
    <cfRule type="cellIs" dxfId="1043" priority="1083" stopIfTrue="1" operator="lessThan">
      <formula>7</formula>
    </cfRule>
  </conditionalFormatting>
  <conditionalFormatting sqref="B499:C1048576 B464:C471 B423:C426 B398:C403 B1:B2 B3:C5 B60:C71 B76:C81 B85:C90 B395:C396 C422 B407:C421 B431:C432 B435:C436 B439:C458 B480:C485 B496:C497 B7:C7 B6 B9:C40 B8 B42:C47 B41">
    <cfRule type="colorScale" priority="1080">
      <colorScale>
        <cfvo type="min"/>
        <cfvo type="percentile" val="50"/>
        <cfvo type="max"/>
        <color rgb="FFF8696B"/>
        <color rgb="FFFFEB84"/>
        <color rgb="FF63BE7B"/>
      </colorScale>
    </cfRule>
  </conditionalFormatting>
  <conditionalFormatting sqref="M448">
    <cfRule type="cellIs" dxfId="1042" priority="1077" stopIfTrue="1" operator="greaterThanOrEqual">
      <formula>15</formula>
    </cfRule>
    <cfRule type="cellIs" dxfId="1041" priority="1078" stopIfTrue="1" operator="between">
      <formula>7</formula>
      <formula>14</formula>
    </cfRule>
    <cfRule type="cellIs" dxfId="1040" priority="1079" stopIfTrue="1" operator="lessThan">
      <formula>7</formula>
    </cfRule>
  </conditionalFormatting>
  <conditionalFormatting sqref="M31">
    <cfRule type="cellIs" dxfId="1039" priority="1074" stopIfTrue="1" operator="greaterThanOrEqual">
      <formula>15</formula>
    </cfRule>
    <cfRule type="cellIs" dxfId="1038" priority="1075" stopIfTrue="1" operator="between">
      <formula>7</formula>
      <formula>14</formula>
    </cfRule>
    <cfRule type="cellIs" dxfId="1037" priority="1076" stopIfTrue="1" operator="lessThan">
      <formula>7</formula>
    </cfRule>
  </conditionalFormatting>
  <conditionalFormatting sqref="M48:M57 M59">
    <cfRule type="cellIs" dxfId="1036" priority="1071" stopIfTrue="1" operator="greaterThanOrEqual">
      <formula>15</formula>
    </cfRule>
    <cfRule type="cellIs" dxfId="1035" priority="1072" stopIfTrue="1" operator="between">
      <formula>7</formula>
      <formula>14</formula>
    </cfRule>
    <cfRule type="cellIs" dxfId="1034" priority="1073" stopIfTrue="1" operator="lessThan">
      <formula>7</formula>
    </cfRule>
  </conditionalFormatting>
  <conditionalFormatting sqref="Q48:Q59">
    <cfRule type="cellIs" dxfId="1033" priority="1067" stopIfTrue="1" operator="greaterThanOrEqual">
      <formula>70</formula>
    </cfRule>
    <cfRule type="cellIs" dxfId="1032" priority="1068" stopIfTrue="1" operator="between">
      <formula>60</formula>
      <formula>69.999999</formula>
    </cfRule>
    <cfRule type="cellIs" dxfId="1031" priority="1069" stopIfTrue="1" operator="between">
      <formula>50</formula>
      <formula>59.9999</formula>
    </cfRule>
    <cfRule type="cellIs" dxfId="1030" priority="1070" stopIfTrue="1" operator="lessThanOrEqual">
      <formula>50</formula>
    </cfRule>
  </conditionalFormatting>
  <conditionalFormatting sqref="M58">
    <cfRule type="cellIs" dxfId="1029" priority="1064" stopIfTrue="1" operator="greaterThanOrEqual">
      <formula>15</formula>
    </cfRule>
    <cfRule type="cellIs" dxfId="1028" priority="1065" stopIfTrue="1" operator="between">
      <formula>7</formula>
      <formula>14</formula>
    </cfRule>
    <cfRule type="cellIs" dxfId="1027" priority="1066" stopIfTrue="1" operator="lessThan">
      <formula>7</formula>
    </cfRule>
  </conditionalFormatting>
  <conditionalFormatting sqref="M72:M74">
    <cfRule type="cellIs" dxfId="1026" priority="1061" stopIfTrue="1" operator="greaterThanOrEqual">
      <formula>15</formula>
    </cfRule>
    <cfRule type="cellIs" dxfId="1025" priority="1062" stopIfTrue="1" operator="between">
      <formula>7</formula>
      <formula>14</formula>
    </cfRule>
    <cfRule type="cellIs" dxfId="1024" priority="1063" stopIfTrue="1" operator="lessThan">
      <formula>7</formula>
    </cfRule>
  </conditionalFormatting>
  <conditionalFormatting sqref="Q72:Q75">
    <cfRule type="cellIs" dxfId="1023" priority="1057" stopIfTrue="1" operator="greaterThanOrEqual">
      <formula>70</formula>
    </cfRule>
    <cfRule type="cellIs" dxfId="1022" priority="1058" stopIfTrue="1" operator="between">
      <formula>60</formula>
      <formula>69.999999</formula>
    </cfRule>
    <cfRule type="cellIs" dxfId="1021" priority="1059" stopIfTrue="1" operator="between">
      <formula>50</formula>
      <formula>59.9999</formula>
    </cfRule>
    <cfRule type="cellIs" dxfId="1020" priority="1060" stopIfTrue="1" operator="lessThanOrEqual">
      <formula>50</formula>
    </cfRule>
  </conditionalFormatting>
  <conditionalFormatting sqref="M75">
    <cfRule type="cellIs" dxfId="1019" priority="1054" stopIfTrue="1" operator="greaterThanOrEqual">
      <formula>15</formula>
    </cfRule>
    <cfRule type="cellIs" dxfId="1018" priority="1055" stopIfTrue="1" operator="between">
      <formula>7</formula>
      <formula>14</formula>
    </cfRule>
    <cfRule type="cellIs" dxfId="1017" priority="1056" stopIfTrue="1" operator="lessThan">
      <formula>7</formula>
    </cfRule>
  </conditionalFormatting>
  <conditionalFormatting sqref="M82">
    <cfRule type="cellIs" dxfId="1016" priority="1051" stopIfTrue="1" operator="greaterThanOrEqual">
      <formula>15</formula>
    </cfRule>
    <cfRule type="cellIs" dxfId="1015" priority="1052" stopIfTrue="1" operator="between">
      <formula>7</formula>
      <formula>14</formula>
    </cfRule>
    <cfRule type="cellIs" dxfId="1014" priority="1053" stopIfTrue="1" operator="lessThan">
      <formula>7</formula>
    </cfRule>
  </conditionalFormatting>
  <conditionalFormatting sqref="Q82">
    <cfRule type="cellIs" dxfId="1013" priority="1047" stopIfTrue="1" operator="greaterThanOrEqual">
      <formula>70</formula>
    </cfRule>
    <cfRule type="cellIs" dxfId="1012" priority="1048" stopIfTrue="1" operator="between">
      <formula>60</formula>
      <formula>69.999999</formula>
    </cfRule>
    <cfRule type="cellIs" dxfId="1011" priority="1049" stopIfTrue="1" operator="between">
      <formula>50</formula>
      <formula>59.9999</formula>
    </cfRule>
    <cfRule type="cellIs" dxfId="1010" priority="1050" stopIfTrue="1" operator="lessThanOrEqual">
      <formula>50</formula>
    </cfRule>
  </conditionalFormatting>
  <conditionalFormatting sqref="M83">
    <cfRule type="cellIs" dxfId="1009" priority="1044" stopIfTrue="1" operator="greaterThanOrEqual">
      <formula>15</formula>
    </cfRule>
    <cfRule type="cellIs" dxfId="1008" priority="1045" stopIfTrue="1" operator="between">
      <formula>7</formula>
      <formula>14</formula>
    </cfRule>
    <cfRule type="cellIs" dxfId="1007" priority="1046" stopIfTrue="1" operator="lessThan">
      <formula>7</formula>
    </cfRule>
  </conditionalFormatting>
  <conditionalFormatting sqref="Q83">
    <cfRule type="cellIs" dxfId="1006" priority="1040" stopIfTrue="1" operator="greaterThanOrEqual">
      <formula>70</formula>
    </cfRule>
    <cfRule type="cellIs" dxfId="1005" priority="1041" stopIfTrue="1" operator="between">
      <formula>60</formula>
      <formula>69.999999</formula>
    </cfRule>
    <cfRule type="cellIs" dxfId="1004" priority="1042" stopIfTrue="1" operator="between">
      <formula>50</formula>
      <formula>59.9999</formula>
    </cfRule>
    <cfRule type="cellIs" dxfId="1003" priority="1043" stopIfTrue="1" operator="lessThanOrEqual">
      <formula>50</formula>
    </cfRule>
  </conditionalFormatting>
  <conditionalFormatting sqref="M84">
    <cfRule type="cellIs" dxfId="1002" priority="1037" stopIfTrue="1" operator="greaterThanOrEqual">
      <formula>15</formula>
    </cfRule>
    <cfRule type="cellIs" dxfId="1001" priority="1038" stopIfTrue="1" operator="between">
      <formula>7</formula>
      <formula>14</formula>
    </cfRule>
    <cfRule type="cellIs" dxfId="1000" priority="1039" stopIfTrue="1" operator="lessThan">
      <formula>7</formula>
    </cfRule>
  </conditionalFormatting>
  <conditionalFormatting sqref="Q84">
    <cfRule type="cellIs" dxfId="999" priority="1033" stopIfTrue="1" operator="greaterThanOrEqual">
      <formula>70</formula>
    </cfRule>
    <cfRule type="cellIs" dxfId="998" priority="1034" stopIfTrue="1" operator="between">
      <formula>60</formula>
      <formula>69.999999</formula>
    </cfRule>
    <cfRule type="cellIs" dxfId="997" priority="1035" stopIfTrue="1" operator="between">
      <formula>50</formula>
      <formula>59.9999</formula>
    </cfRule>
    <cfRule type="cellIs" dxfId="996" priority="1036" stopIfTrue="1" operator="lessThanOrEqual">
      <formula>50</formula>
    </cfRule>
  </conditionalFormatting>
  <conditionalFormatting sqref="M398">
    <cfRule type="cellIs" dxfId="995" priority="1030" stopIfTrue="1" operator="greaterThanOrEqual">
      <formula>15</formula>
    </cfRule>
    <cfRule type="cellIs" dxfId="994" priority="1031" stopIfTrue="1" operator="between">
      <formula>7</formula>
      <formula>14</formula>
    </cfRule>
    <cfRule type="cellIs" dxfId="993" priority="1032" stopIfTrue="1" operator="lessThan">
      <formula>7</formula>
    </cfRule>
  </conditionalFormatting>
  <conditionalFormatting sqref="M397">
    <cfRule type="cellIs" dxfId="992" priority="1027" stopIfTrue="1" operator="greaterThanOrEqual">
      <formula>15</formula>
    </cfRule>
    <cfRule type="cellIs" dxfId="991" priority="1028" stopIfTrue="1" operator="between">
      <formula>7</formula>
      <formula>14</formula>
    </cfRule>
    <cfRule type="cellIs" dxfId="990" priority="1029" stopIfTrue="1" operator="lessThan">
      <formula>7</formula>
    </cfRule>
  </conditionalFormatting>
  <conditionalFormatting sqref="M404">
    <cfRule type="cellIs" dxfId="989" priority="1024" stopIfTrue="1" operator="greaterThanOrEqual">
      <formula>15</formula>
    </cfRule>
    <cfRule type="cellIs" dxfId="988" priority="1025" stopIfTrue="1" operator="between">
      <formula>7</formula>
      <formula>14</formula>
    </cfRule>
    <cfRule type="cellIs" dxfId="987" priority="1026" stopIfTrue="1" operator="lessThan">
      <formula>7</formula>
    </cfRule>
  </conditionalFormatting>
  <conditionalFormatting sqref="Q404">
    <cfRule type="cellIs" dxfId="986" priority="1020" stopIfTrue="1" operator="greaterThanOrEqual">
      <formula>70</formula>
    </cfRule>
    <cfRule type="cellIs" dxfId="985" priority="1021" stopIfTrue="1" operator="between">
      <formula>60</formula>
      <formula>69.999999</formula>
    </cfRule>
    <cfRule type="cellIs" dxfId="984" priority="1022" stopIfTrue="1" operator="between">
      <formula>50</formula>
      <formula>59.9999</formula>
    </cfRule>
    <cfRule type="cellIs" dxfId="983" priority="1023" stopIfTrue="1" operator="lessThanOrEqual">
      <formula>50</formula>
    </cfRule>
  </conditionalFormatting>
  <conditionalFormatting sqref="Q428">
    <cfRule type="cellIs" dxfId="982" priority="992" stopIfTrue="1" operator="greaterThanOrEqual">
      <formula>70</formula>
    </cfRule>
    <cfRule type="cellIs" dxfId="981" priority="993" stopIfTrue="1" operator="between">
      <formula>60</formula>
      <formula>69.999999</formula>
    </cfRule>
    <cfRule type="cellIs" dxfId="980" priority="994" stopIfTrue="1" operator="between">
      <formula>50</formula>
      <formula>59.9999</formula>
    </cfRule>
    <cfRule type="cellIs" dxfId="979" priority="995" stopIfTrue="1" operator="lessThanOrEqual">
      <formula>50</formula>
    </cfRule>
  </conditionalFormatting>
  <conditionalFormatting sqref="M427">
    <cfRule type="cellIs" dxfId="978" priority="1017" stopIfTrue="1" operator="greaterThanOrEqual">
      <formula>15</formula>
    </cfRule>
    <cfRule type="cellIs" dxfId="977" priority="1018" stopIfTrue="1" operator="between">
      <formula>7</formula>
      <formula>14</formula>
    </cfRule>
    <cfRule type="cellIs" dxfId="976" priority="1019" stopIfTrue="1" operator="lessThan">
      <formula>7</formula>
    </cfRule>
  </conditionalFormatting>
  <conditionalFormatting sqref="Q427">
    <cfRule type="cellIs" dxfId="975" priority="1013" stopIfTrue="1" operator="greaterThanOrEqual">
      <formula>70</formula>
    </cfRule>
    <cfRule type="cellIs" dxfId="974" priority="1014" stopIfTrue="1" operator="between">
      <formula>60</formula>
      <formula>69.999999</formula>
    </cfRule>
    <cfRule type="cellIs" dxfId="973" priority="1015" stopIfTrue="1" operator="between">
      <formula>50</formula>
      <formula>59.9999</formula>
    </cfRule>
    <cfRule type="cellIs" dxfId="972" priority="1016" stopIfTrue="1" operator="lessThanOrEqual">
      <formula>50</formula>
    </cfRule>
  </conditionalFormatting>
  <conditionalFormatting sqref="M429">
    <cfRule type="cellIs" dxfId="971" priority="1010" stopIfTrue="1" operator="greaterThanOrEqual">
      <formula>15</formula>
    </cfRule>
    <cfRule type="cellIs" dxfId="970" priority="1011" stopIfTrue="1" operator="between">
      <formula>7</formula>
      <formula>14</formula>
    </cfRule>
    <cfRule type="cellIs" dxfId="969" priority="1012" stopIfTrue="1" operator="lessThan">
      <formula>7</formula>
    </cfRule>
  </conditionalFormatting>
  <conditionalFormatting sqref="Q429">
    <cfRule type="cellIs" dxfId="968" priority="1006" stopIfTrue="1" operator="greaterThanOrEqual">
      <formula>70</formula>
    </cfRule>
    <cfRule type="cellIs" dxfId="967" priority="1007" stopIfTrue="1" operator="between">
      <formula>60</formula>
      <formula>69.999999</formula>
    </cfRule>
    <cfRule type="cellIs" dxfId="966" priority="1008" stopIfTrue="1" operator="between">
      <formula>50</formula>
      <formula>59.9999</formula>
    </cfRule>
    <cfRule type="cellIs" dxfId="965" priority="1009" stopIfTrue="1" operator="lessThanOrEqual">
      <formula>50</formula>
    </cfRule>
  </conditionalFormatting>
  <conditionalFormatting sqref="M430">
    <cfRule type="cellIs" dxfId="964" priority="1003" stopIfTrue="1" operator="greaterThanOrEqual">
      <formula>15</formula>
    </cfRule>
    <cfRule type="cellIs" dxfId="963" priority="1004" stopIfTrue="1" operator="between">
      <formula>7</formula>
      <formula>14</formula>
    </cfRule>
    <cfRule type="cellIs" dxfId="962" priority="1005" stopIfTrue="1" operator="lessThan">
      <formula>7</formula>
    </cfRule>
  </conditionalFormatting>
  <conditionalFormatting sqref="Q430">
    <cfRule type="cellIs" dxfId="961" priority="999" stopIfTrue="1" operator="greaterThanOrEqual">
      <formula>70</formula>
    </cfRule>
    <cfRule type="cellIs" dxfId="960" priority="1000" stopIfTrue="1" operator="between">
      <formula>60</formula>
      <formula>69.999999</formula>
    </cfRule>
    <cfRule type="cellIs" dxfId="959" priority="1001" stopIfTrue="1" operator="between">
      <formula>50</formula>
      <formula>59.9999</formula>
    </cfRule>
    <cfRule type="cellIs" dxfId="958" priority="1002" stopIfTrue="1" operator="lessThanOrEqual">
      <formula>50</formula>
    </cfRule>
  </conditionalFormatting>
  <conditionalFormatting sqref="M428">
    <cfRule type="cellIs" dxfId="957" priority="996" stopIfTrue="1" operator="greaterThanOrEqual">
      <formula>15</formula>
    </cfRule>
    <cfRule type="cellIs" dxfId="956" priority="997" stopIfTrue="1" operator="between">
      <formula>7</formula>
      <formula>14</formula>
    </cfRule>
    <cfRule type="cellIs" dxfId="955" priority="998" stopIfTrue="1" operator="lessThan">
      <formula>7</formula>
    </cfRule>
  </conditionalFormatting>
  <conditionalFormatting sqref="M434">
    <cfRule type="cellIs" dxfId="954" priority="989" stopIfTrue="1" operator="greaterThanOrEqual">
      <formula>15</formula>
    </cfRule>
    <cfRule type="cellIs" dxfId="953" priority="990" stopIfTrue="1" operator="between">
      <formula>7</formula>
      <formula>14</formula>
    </cfRule>
    <cfRule type="cellIs" dxfId="952" priority="991" stopIfTrue="1" operator="lessThan">
      <formula>7</formula>
    </cfRule>
  </conditionalFormatting>
  <conditionalFormatting sqref="Q434">
    <cfRule type="cellIs" dxfId="951" priority="985" stopIfTrue="1" operator="greaterThanOrEqual">
      <formula>70</formula>
    </cfRule>
    <cfRule type="cellIs" dxfId="950" priority="986" stopIfTrue="1" operator="between">
      <formula>60</formula>
      <formula>69.999999</formula>
    </cfRule>
    <cfRule type="cellIs" dxfId="949" priority="987" stopIfTrue="1" operator="between">
      <formula>50</formula>
      <formula>59.9999</formula>
    </cfRule>
    <cfRule type="cellIs" dxfId="948" priority="988" stopIfTrue="1" operator="lessThanOrEqual">
      <formula>50</formula>
    </cfRule>
  </conditionalFormatting>
  <conditionalFormatting sqref="Q460">
    <cfRule type="cellIs" dxfId="947" priority="981" stopIfTrue="1" operator="greaterThanOrEqual">
      <formula>70</formula>
    </cfRule>
    <cfRule type="cellIs" dxfId="946" priority="982" stopIfTrue="1" operator="between">
      <formula>60</formula>
      <formula>69.999999</formula>
    </cfRule>
    <cfRule type="cellIs" dxfId="945" priority="983" stopIfTrue="1" operator="between">
      <formula>50</formula>
      <formula>59.9999</formula>
    </cfRule>
    <cfRule type="cellIs" dxfId="944" priority="984" stopIfTrue="1" operator="lessThanOrEqual">
      <formula>50</formula>
    </cfRule>
  </conditionalFormatting>
  <conditionalFormatting sqref="M460">
    <cfRule type="cellIs" dxfId="943" priority="978" stopIfTrue="1" operator="greaterThanOrEqual">
      <formula>15</formula>
    </cfRule>
    <cfRule type="cellIs" dxfId="942" priority="979" stopIfTrue="1" operator="between">
      <formula>7</formula>
      <formula>14</formula>
    </cfRule>
    <cfRule type="cellIs" dxfId="941" priority="980" stopIfTrue="1" operator="lessThan">
      <formula>7</formula>
    </cfRule>
  </conditionalFormatting>
  <conditionalFormatting sqref="M461">
    <cfRule type="cellIs" dxfId="940" priority="971" stopIfTrue="1" operator="greaterThanOrEqual">
      <formula>15</formula>
    </cfRule>
    <cfRule type="cellIs" dxfId="939" priority="972" stopIfTrue="1" operator="between">
      <formula>7</formula>
      <formula>14</formula>
    </cfRule>
    <cfRule type="cellIs" dxfId="938" priority="973" stopIfTrue="1" operator="lessThan">
      <formula>7</formula>
    </cfRule>
  </conditionalFormatting>
  <conditionalFormatting sqref="Q461">
    <cfRule type="cellIs" dxfId="937" priority="974" stopIfTrue="1" operator="greaterThanOrEqual">
      <formula>70</formula>
    </cfRule>
    <cfRule type="cellIs" dxfId="936" priority="975" stopIfTrue="1" operator="between">
      <formula>60</formula>
      <formula>69.999999</formula>
    </cfRule>
    <cfRule type="cellIs" dxfId="935" priority="976" stopIfTrue="1" operator="between">
      <formula>50</formula>
      <formula>59.9999</formula>
    </cfRule>
    <cfRule type="cellIs" dxfId="934" priority="977" stopIfTrue="1" operator="lessThanOrEqual">
      <formula>50</formula>
    </cfRule>
  </conditionalFormatting>
  <conditionalFormatting sqref="M459">
    <cfRule type="cellIs" dxfId="933" priority="964" stopIfTrue="1" operator="greaterThanOrEqual">
      <formula>15</formula>
    </cfRule>
    <cfRule type="cellIs" dxfId="932" priority="965" stopIfTrue="1" operator="between">
      <formula>7</formula>
      <formula>14</formula>
    </cfRule>
    <cfRule type="cellIs" dxfId="931" priority="966" stopIfTrue="1" operator="lessThan">
      <formula>7</formula>
    </cfRule>
  </conditionalFormatting>
  <conditionalFormatting sqref="Q459">
    <cfRule type="cellIs" dxfId="930" priority="967" stopIfTrue="1" operator="greaterThanOrEqual">
      <formula>70</formula>
    </cfRule>
    <cfRule type="cellIs" dxfId="929" priority="968" stopIfTrue="1" operator="between">
      <formula>60</formula>
      <formula>69.999999</formula>
    </cfRule>
    <cfRule type="cellIs" dxfId="928" priority="969" stopIfTrue="1" operator="between">
      <formula>50</formula>
      <formula>59.9999</formula>
    </cfRule>
    <cfRule type="cellIs" dxfId="927" priority="970" stopIfTrue="1" operator="lessThanOrEqual">
      <formula>50</formula>
    </cfRule>
  </conditionalFormatting>
  <conditionalFormatting sqref="M462">
    <cfRule type="cellIs" dxfId="926" priority="957" stopIfTrue="1" operator="greaterThanOrEqual">
      <formula>15</formula>
    </cfRule>
    <cfRule type="cellIs" dxfId="925" priority="958" stopIfTrue="1" operator="between">
      <formula>7</formula>
      <formula>14</formula>
    </cfRule>
    <cfRule type="cellIs" dxfId="924" priority="959" stopIfTrue="1" operator="lessThan">
      <formula>7</formula>
    </cfRule>
  </conditionalFormatting>
  <conditionalFormatting sqref="Q462:Q463">
    <cfRule type="cellIs" dxfId="923" priority="960" stopIfTrue="1" operator="greaterThanOrEqual">
      <formula>70</formula>
    </cfRule>
    <cfRule type="cellIs" dxfId="922" priority="961" stopIfTrue="1" operator="between">
      <formula>60</formula>
      <formula>69.999999</formula>
    </cfRule>
    <cfRule type="cellIs" dxfId="921" priority="962" stopIfTrue="1" operator="between">
      <formula>50</formula>
      <formula>59.9999</formula>
    </cfRule>
    <cfRule type="cellIs" dxfId="920" priority="963" stopIfTrue="1" operator="lessThanOrEqual">
      <formula>50</formula>
    </cfRule>
  </conditionalFormatting>
  <conditionalFormatting sqref="Q473">
    <cfRule type="cellIs" dxfId="919" priority="929" stopIfTrue="1" operator="greaterThanOrEqual">
      <formula>70</formula>
    </cfRule>
    <cfRule type="cellIs" dxfId="918" priority="930" stopIfTrue="1" operator="between">
      <formula>60</formula>
      <formula>69.999999</formula>
    </cfRule>
    <cfRule type="cellIs" dxfId="917" priority="931" stopIfTrue="1" operator="between">
      <formula>50</formula>
      <formula>59.9999</formula>
    </cfRule>
    <cfRule type="cellIs" dxfId="916" priority="932" stopIfTrue="1" operator="lessThanOrEqual">
      <formula>50</formula>
    </cfRule>
  </conditionalFormatting>
  <conditionalFormatting sqref="Q477">
    <cfRule type="cellIs" dxfId="915" priority="901" stopIfTrue="1" operator="greaterThanOrEqual">
      <formula>70</formula>
    </cfRule>
    <cfRule type="cellIs" dxfId="914" priority="902" stopIfTrue="1" operator="between">
      <formula>60</formula>
      <formula>69.999999</formula>
    </cfRule>
    <cfRule type="cellIs" dxfId="913" priority="903" stopIfTrue="1" operator="between">
      <formula>50</formula>
      <formula>59.9999</formula>
    </cfRule>
    <cfRule type="cellIs" dxfId="912" priority="904" stopIfTrue="1" operator="lessThanOrEqual">
      <formula>50</formula>
    </cfRule>
  </conditionalFormatting>
  <conditionalFormatting sqref="M472">
    <cfRule type="cellIs" dxfId="911" priority="954" stopIfTrue="1" operator="greaterThanOrEqual">
      <formula>15</formula>
    </cfRule>
    <cfRule type="cellIs" dxfId="910" priority="955" stopIfTrue="1" operator="between">
      <formula>7</formula>
      <formula>14</formula>
    </cfRule>
    <cfRule type="cellIs" dxfId="909" priority="956" stopIfTrue="1" operator="lessThan">
      <formula>7</formula>
    </cfRule>
  </conditionalFormatting>
  <conditionalFormatting sqref="Q472">
    <cfRule type="cellIs" dxfId="908" priority="950" stopIfTrue="1" operator="greaterThanOrEqual">
      <formula>70</formula>
    </cfRule>
    <cfRule type="cellIs" dxfId="907" priority="951" stopIfTrue="1" operator="between">
      <formula>60</formula>
      <formula>69.999999</formula>
    </cfRule>
    <cfRule type="cellIs" dxfId="906" priority="952" stopIfTrue="1" operator="between">
      <formula>50</formula>
      <formula>59.9999</formula>
    </cfRule>
    <cfRule type="cellIs" dxfId="905" priority="953" stopIfTrue="1" operator="lessThanOrEqual">
      <formula>50</formula>
    </cfRule>
  </conditionalFormatting>
  <conditionalFormatting sqref="M474">
    <cfRule type="cellIs" dxfId="904" priority="947" stopIfTrue="1" operator="greaterThanOrEqual">
      <formula>15</formula>
    </cfRule>
    <cfRule type="cellIs" dxfId="903" priority="948" stopIfTrue="1" operator="between">
      <formula>7</formula>
      <formula>14</formula>
    </cfRule>
    <cfRule type="cellIs" dxfId="902" priority="949" stopIfTrue="1" operator="lessThan">
      <formula>7</formula>
    </cfRule>
  </conditionalFormatting>
  <conditionalFormatting sqref="Q474">
    <cfRule type="cellIs" dxfId="901" priority="943" stopIfTrue="1" operator="greaterThanOrEqual">
      <formula>70</formula>
    </cfRule>
    <cfRule type="cellIs" dxfId="900" priority="944" stopIfTrue="1" operator="between">
      <formula>60</formula>
      <formula>69.999999</formula>
    </cfRule>
    <cfRule type="cellIs" dxfId="899" priority="945" stopIfTrue="1" operator="between">
      <formula>50</formula>
      <formula>59.9999</formula>
    </cfRule>
    <cfRule type="cellIs" dxfId="898" priority="946" stopIfTrue="1" operator="lessThanOrEqual">
      <formula>50</formula>
    </cfRule>
  </conditionalFormatting>
  <conditionalFormatting sqref="M475">
    <cfRule type="cellIs" dxfId="897" priority="940" stopIfTrue="1" operator="greaterThanOrEqual">
      <formula>15</formula>
    </cfRule>
    <cfRule type="cellIs" dxfId="896" priority="941" stopIfTrue="1" operator="between">
      <formula>7</formula>
      <formula>14</formula>
    </cfRule>
    <cfRule type="cellIs" dxfId="895" priority="942" stopIfTrue="1" operator="lessThan">
      <formula>7</formula>
    </cfRule>
  </conditionalFormatting>
  <conditionalFormatting sqref="Q475">
    <cfRule type="cellIs" dxfId="894" priority="936" stopIfTrue="1" operator="greaterThanOrEqual">
      <formula>70</formula>
    </cfRule>
    <cfRule type="cellIs" dxfId="893" priority="937" stopIfTrue="1" operator="between">
      <formula>60</formula>
      <formula>69.999999</formula>
    </cfRule>
    <cfRule type="cellIs" dxfId="892" priority="938" stopIfTrue="1" operator="between">
      <formula>50</formula>
      <formula>59.9999</formula>
    </cfRule>
    <cfRule type="cellIs" dxfId="891" priority="939" stopIfTrue="1" operator="lessThanOrEqual">
      <formula>50</formula>
    </cfRule>
  </conditionalFormatting>
  <conditionalFormatting sqref="M473">
    <cfRule type="cellIs" dxfId="890" priority="933" stopIfTrue="1" operator="greaterThanOrEqual">
      <formula>15</formula>
    </cfRule>
    <cfRule type="cellIs" dxfId="889" priority="934" stopIfTrue="1" operator="between">
      <formula>7</formula>
      <formula>14</formula>
    </cfRule>
    <cfRule type="cellIs" dxfId="888" priority="935" stopIfTrue="1" operator="lessThan">
      <formula>7</formula>
    </cfRule>
  </conditionalFormatting>
  <conditionalFormatting sqref="M476">
    <cfRule type="cellIs" dxfId="887" priority="926" stopIfTrue="1" operator="greaterThanOrEqual">
      <formula>15</formula>
    </cfRule>
    <cfRule type="cellIs" dxfId="886" priority="927" stopIfTrue="1" operator="between">
      <formula>7</formula>
      <formula>14</formula>
    </cfRule>
    <cfRule type="cellIs" dxfId="885" priority="928" stopIfTrue="1" operator="lessThan">
      <formula>7</formula>
    </cfRule>
  </conditionalFormatting>
  <conditionalFormatting sqref="Q476">
    <cfRule type="cellIs" dxfId="884" priority="922" stopIfTrue="1" operator="greaterThanOrEqual">
      <formula>70</formula>
    </cfRule>
    <cfRule type="cellIs" dxfId="883" priority="923" stopIfTrue="1" operator="between">
      <formula>60</formula>
      <formula>69.999999</formula>
    </cfRule>
    <cfRule type="cellIs" dxfId="882" priority="924" stopIfTrue="1" operator="between">
      <formula>50</formula>
      <formula>59.9999</formula>
    </cfRule>
    <cfRule type="cellIs" dxfId="881" priority="925" stopIfTrue="1" operator="lessThanOrEqual">
      <formula>50</formula>
    </cfRule>
  </conditionalFormatting>
  <conditionalFormatting sqref="M478">
    <cfRule type="cellIs" dxfId="880" priority="919" stopIfTrue="1" operator="greaterThanOrEqual">
      <formula>15</formula>
    </cfRule>
    <cfRule type="cellIs" dxfId="879" priority="920" stopIfTrue="1" operator="between">
      <formula>7</formula>
      <formula>14</formula>
    </cfRule>
    <cfRule type="cellIs" dxfId="878" priority="921" stopIfTrue="1" operator="lessThan">
      <formula>7</formula>
    </cfRule>
  </conditionalFormatting>
  <conditionalFormatting sqref="Q478">
    <cfRule type="cellIs" dxfId="877" priority="915" stopIfTrue="1" operator="greaterThanOrEqual">
      <formula>70</formula>
    </cfRule>
    <cfRule type="cellIs" dxfId="876" priority="916" stopIfTrue="1" operator="between">
      <formula>60</formula>
      <formula>69.999999</formula>
    </cfRule>
    <cfRule type="cellIs" dxfId="875" priority="917" stopIfTrue="1" operator="between">
      <formula>50</formula>
      <formula>59.9999</formula>
    </cfRule>
    <cfRule type="cellIs" dxfId="874" priority="918" stopIfTrue="1" operator="lessThanOrEqual">
      <formula>50</formula>
    </cfRule>
  </conditionalFormatting>
  <conditionalFormatting sqref="M479">
    <cfRule type="cellIs" dxfId="873" priority="912" stopIfTrue="1" operator="greaterThanOrEqual">
      <formula>15</formula>
    </cfRule>
    <cfRule type="cellIs" dxfId="872" priority="913" stopIfTrue="1" operator="between">
      <formula>7</formula>
      <formula>14</formula>
    </cfRule>
    <cfRule type="cellIs" dxfId="871" priority="914" stopIfTrue="1" operator="lessThan">
      <formula>7</formula>
    </cfRule>
  </conditionalFormatting>
  <conditionalFormatting sqref="Q479">
    <cfRule type="cellIs" dxfId="870" priority="908" stopIfTrue="1" operator="greaterThanOrEqual">
      <formula>70</formula>
    </cfRule>
    <cfRule type="cellIs" dxfId="869" priority="909" stopIfTrue="1" operator="between">
      <formula>60</formula>
      <formula>69.999999</formula>
    </cfRule>
    <cfRule type="cellIs" dxfId="868" priority="910" stopIfTrue="1" operator="between">
      <formula>50</formula>
      <formula>59.9999</formula>
    </cfRule>
    <cfRule type="cellIs" dxfId="867" priority="911" stopIfTrue="1" operator="lessThanOrEqual">
      <formula>50</formula>
    </cfRule>
  </conditionalFormatting>
  <conditionalFormatting sqref="M477">
    <cfRule type="cellIs" dxfId="866" priority="905" stopIfTrue="1" operator="greaterThanOrEqual">
      <formula>15</formula>
    </cfRule>
    <cfRule type="cellIs" dxfId="865" priority="906" stopIfTrue="1" operator="between">
      <formula>7</formula>
      <formula>14</formula>
    </cfRule>
    <cfRule type="cellIs" dxfId="864" priority="907" stopIfTrue="1" operator="lessThan">
      <formula>7</formula>
    </cfRule>
  </conditionalFormatting>
  <conditionalFormatting sqref="Q488:Q489">
    <cfRule type="cellIs" dxfId="863" priority="897" stopIfTrue="1" operator="greaterThanOrEqual">
      <formula>70</formula>
    </cfRule>
    <cfRule type="cellIs" dxfId="862" priority="898" stopIfTrue="1" operator="between">
      <formula>60</formula>
      <formula>69.999999</formula>
    </cfRule>
    <cfRule type="cellIs" dxfId="861" priority="899" stopIfTrue="1" operator="between">
      <formula>50</formula>
      <formula>59.9999</formula>
    </cfRule>
    <cfRule type="cellIs" dxfId="860" priority="900" stopIfTrue="1" operator="lessThanOrEqual">
      <formula>50</formula>
    </cfRule>
  </conditionalFormatting>
  <conditionalFormatting sqref="M488">
    <cfRule type="cellIs" dxfId="859" priority="894" stopIfTrue="1" operator="greaterThanOrEqual">
      <formula>15</formula>
    </cfRule>
    <cfRule type="cellIs" dxfId="858" priority="895" stopIfTrue="1" operator="between">
      <formula>7</formula>
      <formula>14</formula>
    </cfRule>
    <cfRule type="cellIs" dxfId="857" priority="896" stopIfTrue="1" operator="lessThan">
      <formula>7</formula>
    </cfRule>
  </conditionalFormatting>
  <conditionalFormatting sqref="M487">
    <cfRule type="cellIs" dxfId="856" priority="880" stopIfTrue="1" operator="greaterThanOrEqual">
      <formula>15</formula>
    </cfRule>
    <cfRule type="cellIs" dxfId="855" priority="881" stopIfTrue="1" operator="between">
      <formula>7</formula>
      <formula>14</formula>
    </cfRule>
    <cfRule type="cellIs" dxfId="854" priority="882" stopIfTrue="1" operator="lessThan">
      <formula>7</formula>
    </cfRule>
  </conditionalFormatting>
  <conditionalFormatting sqref="Q486">
    <cfRule type="cellIs" dxfId="853" priority="890" stopIfTrue="1" operator="greaterThanOrEqual">
      <formula>70</formula>
    </cfRule>
    <cfRule type="cellIs" dxfId="852" priority="891" stopIfTrue="1" operator="between">
      <formula>60</formula>
      <formula>69.999999</formula>
    </cfRule>
    <cfRule type="cellIs" dxfId="851" priority="892" stopIfTrue="1" operator="between">
      <formula>50</formula>
      <formula>59.9999</formula>
    </cfRule>
    <cfRule type="cellIs" dxfId="850" priority="893" stopIfTrue="1" operator="lessThanOrEqual">
      <formula>50</formula>
    </cfRule>
  </conditionalFormatting>
  <conditionalFormatting sqref="M486">
    <cfRule type="cellIs" dxfId="849" priority="887" stopIfTrue="1" operator="greaterThanOrEqual">
      <formula>15</formula>
    </cfRule>
    <cfRule type="cellIs" dxfId="848" priority="888" stopIfTrue="1" operator="between">
      <formula>7</formula>
      <formula>14</formula>
    </cfRule>
    <cfRule type="cellIs" dxfId="847" priority="889" stopIfTrue="1" operator="lessThan">
      <formula>7</formula>
    </cfRule>
  </conditionalFormatting>
  <conditionalFormatting sqref="Q487">
    <cfRule type="cellIs" dxfId="846" priority="883" stopIfTrue="1" operator="greaterThanOrEqual">
      <formula>70</formula>
    </cfRule>
    <cfRule type="cellIs" dxfId="845" priority="884" stopIfTrue="1" operator="between">
      <formula>60</formula>
      <formula>69.999999</formula>
    </cfRule>
    <cfRule type="cellIs" dxfId="844" priority="885" stopIfTrue="1" operator="between">
      <formula>50</formula>
      <formula>59.9999</formula>
    </cfRule>
    <cfRule type="cellIs" dxfId="843" priority="886" stopIfTrue="1" operator="lessThanOrEqual">
      <formula>50</formula>
    </cfRule>
  </conditionalFormatting>
  <conditionalFormatting sqref="M491">
    <cfRule type="cellIs" dxfId="842" priority="870" stopIfTrue="1" operator="greaterThanOrEqual">
      <formula>15</formula>
    </cfRule>
    <cfRule type="cellIs" dxfId="841" priority="871" stopIfTrue="1" operator="between">
      <formula>7</formula>
      <formula>14</formula>
    </cfRule>
    <cfRule type="cellIs" dxfId="840" priority="872" stopIfTrue="1" operator="lessThan">
      <formula>7</formula>
    </cfRule>
  </conditionalFormatting>
  <conditionalFormatting sqref="Q491">
    <cfRule type="cellIs" dxfId="839" priority="866" stopIfTrue="1" operator="greaterThanOrEqual">
      <formula>70</formula>
    </cfRule>
    <cfRule type="cellIs" dxfId="838" priority="867" stopIfTrue="1" operator="between">
      <formula>60</formula>
      <formula>69.999999</formula>
    </cfRule>
    <cfRule type="cellIs" dxfId="837" priority="868" stopIfTrue="1" operator="between">
      <formula>50</formula>
      <formula>59.9999</formula>
    </cfRule>
    <cfRule type="cellIs" dxfId="836" priority="869" stopIfTrue="1" operator="lessThanOrEqual">
      <formula>50</formula>
    </cfRule>
  </conditionalFormatting>
  <conditionalFormatting sqref="M490">
    <cfRule type="cellIs" dxfId="835" priority="877" stopIfTrue="1" operator="greaterThanOrEqual">
      <formula>15</formula>
    </cfRule>
    <cfRule type="cellIs" dxfId="834" priority="878" stopIfTrue="1" operator="between">
      <formula>7</formula>
      <formula>14</formula>
    </cfRule>
    <cfRule type="cellIs" dxfId="833" priority="879" stopIfTrue="1" operator="lessThan">
      <formula>7</formula>
    </cfRule>
  </conditionalFormatting>
  <conditionalFormatting sqref="Q490">
    <cfRule type="cellIs" dxfId="832" priority="873" stopIfTrue="1" operator="greaterThanOrEqual">
      <formula>70</formula>
    </cfRule>
    <cfRule type="cellIs" dxfId="831" priority="874" stopIfTrue="1" operator="between">
      <formula>60</formula>
      <formula>69.999999</formula>
    </cfRule>
    <cfRule type="cellIs" dxfId="830" priority="875" stopIfTrue="1" operator="between">
      <formula>50</formula>
      <formula>59.9999</formula>
    </cfRule>
    <cfRule type="cellIs" dxfId="829" priority="876" stopIfTrue="1" operator="lessThanOrEqual">
      <formula>50</formula>
    </cfRule>
  </conditionalFormatting>
  <conditionalFormatting sqref="M493">
    <cfRule type="cellIs" dxfId="828" priority="852" stopIfTrue="1" operator="greaterThanOrEqual">
      <formula>15</formula>
    </cfRule>
    <cfRule type="cellIs" dxfId="827" priority="853" stopIfTrue="1" operator="between">
      <formula>7</formula>
      <formula>14</formula>
    </cfRule>
    <cfRule type="cellIs" dxfId="826" priority="854" stopIfTrue="1" operator="lessThan">
      <formula>7</formula>
    </cfRule>
  </conditionalFormatting>
  <conditionalFormatting sqref="Q492">
    <cfRule type="cellIs" dxfId="825" priority="862" stopIfTrue="1" operator="greaterThanOrEqual">
      <formula>70</formula>
    </cfRule>
    <cfRule type="cellIs" dxfId="824" priority="863" stopIfTrue="1" operator="between">
      <formula>60</formula>
      <formula>69.999999</formula>
    </cfRule>
    <cfRule type="cellIs" dxfId="823" priority="864" stopIfTrue="1" operator="between">
      <formula>50</formula>
      <formula>59.9999</formula>
    </cfRule>
    <cfRule type="cellIs" dxfId="822" priority="865" stopIfTrue="1" operator="lessThanOrEqual">
      <formula>50</formula>
    </cfRule>
  </conditionalFormatting>
  <conditionalFormatting sqref="M492">
    <cfRule type="cellIs" dxfId="821" priority="859" stopIfTrue="1" operator="greaterThanOrEqual">
      <formula>15</formula>
    </cfRule>
    <cfRule type="cellIs" dxfId="820" priority="860" stopIfTrue="1" operator="between">
      <formula>7</formula>
      <formula>14</formula>
    </cfRule>
    <cfRule type="cellIs" dxfId="819" priority="861" stopIfTrue="1" operator="lessThan">
      <formula>7</formula>
    </cfRule>
  </conditionalFormatting>
  <conditionalFormatting sqref="Q493">
    <cfRule type="cellIs" dxfId="818" priority="855" stopIfTrue="1" operator="greaterThanOrEqual">
      <formula>70</formula>
    </cfRule>
    <cfRule type="cellIs" dxfId="817" priority="856" stopIfTrue="1" operator="between">
      <formula>60</formula>
      <formula>69.999999</formula>
    </cfRule>
    <cfRule type="cellIs" dxfId="816" priority="857" stopIfTrue="1" operator="between">
      <formula>50</formula>
      <formula>59.9999</formula>
    </cfRule>
    <cfRule type="cellIs" dxfId="815" priority="858" stopIfTrue="1" operator="lessThanOrEqual">
      <formula>50</formula>
    </cfRule>
  </conditionalFormatting>
  <conditionalFormatting sqref="Q494">
    <cfRule type="cellIs" dxfId="814" priority="848" stopIfTrue="1" operator="greaterThanOrEqual">
      <formula>70</formula>
    </cfRule>
    <cfRule type="cellIs" dxfId="813" priority="849" stopIfTrue="1" operator="between">
      <formula>60</formula>
      <formula>69.999999</formula>
    </cfRule>
    <cfRule type="cellIs" dxfId="812" priority="850" stopIfTrue="1" operator="between">
      <formula>50</formula>
      <formula>59.9999</formula>
    </cfRule>
    <cfRule type="cellIs" dxfId="811" priority="851" stopIfTrue="1" operator="lessThanOrEqual">
      <formula>50</formula>
    </cfRule>
  </conditionalFormatting>
  <conditionalFormatting sqref="M494">
    <cfRule type="cellIs" dxfId="810" priority="845" stopIfTrue="1" operator="greaterThanOrEqual">
      <formula>15</formula>
    </cfRule>
    <cfRule type="cellIs" dxfId="809" priority="846" stopIfTrue="1" operator="between">
      <formula>7</formula>
      <formula>14</formula>
    </cfRule>
    <cfRule type="cellIs" dxfId="808" priority="847" stopIfTrue="1" operator="lessThan">
      <formula>7</formula>
    </cfRule>
  </conditionalFormatting>
  <conditionalFormatting sqref="Q495">
    <cfRule type="cellIs" dxfId="807" priority="841" stopIfTrue="1" operator="greaterThanOrEqual">
      <formula>70</formula>
    </cfRule>
    <cfRule type="cellIs" dxfId="806" priority="842" stopIfTrue="1" operator="between">
      <formula>60</formula>
      <formula>69.999999</formula>
    </cfRule>
    <cfRule type="cellIs" dxfId="805" priority="843" stopIfTrue="1" operator="between">
      <formula>50</formula>
      <formula>59.9999</formula>
    </cfRule>
    <cfRule type="cellIs" dxfId="804" priority="844" stopIfTrue="1" operator="lessThanOrEqual">
      <formula>50</formula>
    </cfRule>
  </conditionalFormatting>
  <conditionalFormatting sqref="Q405:Q406">
    <cfRule type="cellIs" dxfId="803" priority="837" stopIfTrue="1" operator="greaterThanOrEqual">
      <formula>70</formula>
    </cfRule>
    <cfRule type="cellIs" dxfId="802" priority="838" stopIfTrue="1" operator="between">
      <formula>60</formula>
      <formula>69.999999</formula>
    </cfRule>
    <cfRule type="cellIs" dxfId="801" priority="839" stopIfTrue="1" operator="between">
      <formula>50</formula>
      <formula>59.9999</formula>
    </cfRule>
    <cfRule type="cellIs" dxfId="800" priority="840" stopIfTrue="1" operator="lessThanOrEqual">
      <formula>50</formula>
    </cfRule>
  </conditionalFormatting>
  <conditionalFormatting sqref="M405:M406">
    <cfRule type="cellIs" dxfId="799" priority="834" stopIfTrue="1" operator="greaterThanOrEqual">
      <formula>15</formula>
    </cfRule>
    <cfRule type="cellIs" dxfId="798" priority="835" stopIfTrue="1" operator="between">
      <formula>7</formula>
      <formula>14</formula>
    </cfRule>
    <cfRule type="cellIs" dxfId="797" priority="836" stopIfTrue="1" operator="lessThan">
      <formula>7</formula>
    </cfRule>
  </conditionalFormatting>
  <conditionalFormatting sqref="M437:M438">
    <cfRule type="cellIs" dxfId="796" priority="831" stopIfTrue="1" operator="greaterThanOrEqual">
      <formula>15</formula>
    </cfRule>
    <cfRule type="cellIs" dxfId="795" priority="832" stopIfTrue="1" operator="between">
      <formula>7</formula>
      <formula>14</formula>
    </cfRule>
    <cfRule type="cellIs" dxfId="794" priority="833" stopIfTrue="1" operator="lessThan">
      <formula>7</formula>
    </cfRule>
  </conditionalFormatting>
  <conditionalFormatting sqref="Q437:Q438">
    <cfRule type="cellIs" dxfId="793" priority="827" stopIfTrue="1" operator="greaterThanOrEqual">
      <formula>70</formula>
    </cfRule>
    <cfRule type="cellIs" dxfId="792" priority="828" stopIfTrue="1" operator="between">
      <formula>60</formula>
      <formula>69.999999</formula>
    </cfRule>
    <cfRule type="cellIs" dxfId="791" priority="829" stopIfTrue="1" operator="between">
      <formula>50</formula>
      <formula>59.9999</formula>
    </cfRule>
    <cfRule type="cellIs" dxfId="790" priority="830" stopIfTrue="1" operator="lessThanOrEqual">
      <formula>50</formula>
    </cfRule>
  </conditionalFormatting>
  <conditionalFormatting sqref="M489">
    <cfRule type="cellIs" dxfId="789" priority="824" stopIfTrue="1" operator="greaterThanOrEqual">
      <formula>15</formula>
    </cfRule>
    <cfRule type="cellIs" dxfId="788" priority="825" stopIfTrue="1" operator="between">
      <formula>7</formula>
      <formula>14</formula>
    </cfRule>
    <cfRule type="cellIs" dxfId="787" priority="826" stopIfTrue="1" operator="lessThan">
      <formula>7</formula>
    </cfRule>
  </conditionalFormatting>
  <conditionalFormatting sqref="M495">
    <cfRule type="cellIs" dxfId="786" priority="821" stopIfTrue="1" operator="greaterThanOrEqual">
      <formula>15</formula>
    </cfRule>
    <cfRule type="cellIs" dxfId="785" priority="822" stopIfTrue="1" operator="between">
      <formula>7</formula>
      <formula>14</formula>
    </cfRule>
    <cfRule type="cellIs" dxfId="784" priority="823" stopIfTrue="1" operator="lessThan">
      <formula>7</formula>
    </cfRule>
  </conditionalFormatting>
  <conditionalFormatting sqref="M230:M231 M110:M114 M116:M120 M132:M135 M122:M125">
    <cfRule type="cellIs" dxfId="783" priority="818" stopIfTrue="1" operator="greaterThanOrEqual">
      <formula>15</formula>
    </cfRule>
    <cfRule type="cellIs" dxfId="782" priority="819" stopIfTrue="1" operator="between">
      <formula>7</formula>
      <formula>14</formula>
    </cfRule>
    <cfRule type="cellIs" dxfId="781" priority="820" stopIfTrue="1" operator="lessThan">
      <formula>7</formula>
    </cfRule>
  </conditionalFormatting>
  <conditionalFormatting sqref="Q227 Q201:Q224">
    <cfRule type="cellIs" dxfId="780" priority="814" stopIfTrue="1" operator="greaterThanOrEqual">
      <formula>70</formula>
    </cfRule>
    <cfRule type="cellIs" dxfId="779" priority="815" stopIfTrue="1" operator="between">
      <formula>60</formula>
      <formula>69.999999</formula>
    </cfRule>
    <cfRule type="cellIs" dxfId="778" priority="816" stopIfTrue="1" operator="between">
      <formula>50</formula>
      <formula>59.9999</formula>
    </cfRule>
    <cfRule type="cellIs" dxfId="777" priority="817" stopIfTrue="1" operator="lessThanOrEqual">
      <formula>50</formula>
    </cfRule>
  </conditionalFormatting>
  <conditionalFormatting sqref="M209 M227 M222:M224">
    <cfRule type="cellIs" dxfId="776" priority="811" stopIfTrue="1" operator="greaterThanOrEqual">
      <formula>15</formula>
    </cfRule>
    <cfRule type="cellIs" dxfId="775" priority="812" stopIfTrue="1" operator="between">
      <formula>7</formula>
      <formula>14</formula>
    </cfRule>
    <cfRule type="cellIs" dxfId="774" priority="813" stopIfTrue="1" operator="lessThan">
      <formula>7</formula>
    </cfRule>
  </conditionalFormatting>
  <conditionalFormatting sqref="Q198:Q199">
    <cfRule type="cellIs" dxfId="773" priority="807" stopIfTrue="1" operator="greaterThanOrEqual">
      <formula>70</formula>
    </cfRule>
    <cfRule type="cellIs" dxfId="772" priority="808" stopIfTrue="1" operator="between">
      <formula>60</formula>
      <formula>69.999999</formula>
    </cfRule>
    <cfRule type="cellIs" dxfId="771" priority="809" stopIfTrue="1" operator="between">
      <formula>50</formula>
      <formula>59.9999</formula>
    </cfRule>
    <cfRule type="cellIs" dxfId="770" priority="810" stopIfTrue="1" operator="lessThanOrEqual">
      <formula>50</formula>
    </cfRule>
  </conditionalFormatting>
  <conditionalFormatting sqref="M208">
    <cfRule type="cellIs" dxfId="769" priority="797" stopIfTrue="1" operator="greaterThanOrEqual">
      <formula>15</formula>
    </cfRule>
    <cfRule type="cellIs" dxfId="768" priority="798" stopIfTrue="1" operator="between">
      <formula>7</formula>
      <formula>14</formula>
    </cfRule>
    <cfRule type="cellIs" dxfId="767" priority="799" stopIfTrue="1" operator="lessThan">
      <formula>7</formula>
    </cfRule>
  </conditionalFormatting>
  <conditionalFormatting sqref="Q200">
    <cfRule type="cellIs" dxfId="766" priority="803" stopIfTrue="1" operator="greaterThanOrEqual">
      <formula>70</formula>
    </cfRule>
    <cfRule type="cellIs" dxfId="765" priority="804" stopIfTrue="1" operator="between">
      <formula>60</formula>
      <formula>69.999999</formula>
    </cfRule>
    <cfRule type="cellIs" dxfId="764" priority="805" stopIfTrue="1" operator="between">
      <formula>50</formula>
      <formula>59.9999</formula>
    </cfRule>
    <cfRule type="cellIs" dxfId="763" priority="806" stopIfTrue="1" operator="lessThanOrEqual">
      <formula>50</formula>
    </cfRule>
  </conditionalFormatting>
  <conditionalFormatting sqref="M206">
    <cfRule type="cellIs" dxfId="762" priority="800" stopIfTrue="1" operator="greaterThanOrEqual">
      <formula>15</formula>
    </cfRule>
    <cfRule type="cellIs" dxfId="761" priority="801" stopIfTrue="1" operator="between">
      <formula>7</formula>
      <formula>14</formula>
    </cfRule>
    <cfRule type="cellIs" dxfId="760" priority="802" stopIfTrue="1" operator="lessThan">
      <formula>7</formula>
    </cfRule>
  </conditionalFormatting>
  <conditionalFormatting sqref="M207">
    <cfRule type="cellIs" dxfId="759" priority="794" stopIfTrue="1" operator="greaterThanOrEqual">
      <formula>15</formula>
    </cfRule>
    <cfRule type="cellIs" dxfId="758" priority="795" stopIfTrue="1" operator="between">
      <formula>7</formula>
      <formula>14</formula>
    </cfRule>
    <cfRule type="cellIs" dxfId="757" priority="796" stopIfTrue="1" operator="lessThan">
      <formula>7</formula>
    </cfRule>
  </conditionalFormatting>
  <conditionalFormatting sqref="M227 M222:M224">
    <cfRule type="cellIs" dxfId="756" priority="791" stopIfTrue="1" operator="greaterThanOrEqual">
      <formula>15</formula>
    </cfRule>
    <cfRule type="cellIs" dxfId="755" priority="792" stopIfTrue="1" operator="between">
      <formula>7</formula>
      <formula>14</formula>
    </cfRule>
    <cfRule type="cellIs" dxfId="754" priority="793" stopIfTrue="1" operator="lessThan">
      <formula>7</formula>
    </cfRule>
  </conditionalFormatting>
  <conditionalFormatting sqref="M193:M194">
    <cfRule type="cellIs" dxfId="753" priority="788" stopIfTrue="1" operator="greaterThanOrEqual">
      <formula>15</formula>
    </cfRule>
    <cfRule type="cellIs" dxfId="752" priority="789" stopIfTrue="1" operator="between">
      <formula>7</formula>
      <formula>14</formula>
    </cfRule>
    <cfRule type="cellIs" dxfId="751" priority="790" stopIfTrue="1" operator="lessThan">
      <formula>7</formula>
    </cfRule>
  </conditionalFormatting>
  <conditionalFormatting sqref="M196:M197">
    <cfRule type="cellIs" dxfId="750" priority="785" stopIfTrue="1" operator="greaterThanOrEqual">
      <formula>15</formula>
    </cfRule>
    <cfRule type="cellIs" dxfId="749" priority="786" stopIfTrue="1" operator="between">
      <formula>7</formula>
      <formula>14</formula>
    </cfRule>
    <cfRule type="cellIs" dxfId="748" priority="787" stopIfTrue="1" operator="lessThan">
      <formula>7</formula>
    </cfRule>
  </conditionalFormatting>
  <conditionalFormatting sqref="Q196:Q197">
    <cfRule type="cellIs" dxfId="747" priority="781" stopIfTrue="1" operator="greaterThanOrEqual">
      <formula>70</formula>
    </cfRule>
    <cfRule type="cellIs" dxfId="746" priority="782" stopIfTrue="1" operator="between">
      <formula>60</formula>
      <formula>69.999999</formula>
    </cfRule>
    <cfRule type="cellIs" dxfId="745" priority="783" stopIfTrue="1" operator="between">
      <formula>50</formula>
      <formula>59.9999</formula>
    </cfRule>
    <cfRule type="cellIs" dxfId="744" priority="784" stopIfTrue="1" operator="lessThanOrEqual">
      <formula>50</formula>
    </cfRule>
  </conditionalFormatting>
  <conditionalFormatting sqref="O236">
    <cfRule type="cellIs" dxfId="743" priority="736" operator="equal">
      <formula>"CLB close command by firmware"</formula>
    </cfRule>
    <cfRule type="cellIs" dxfId="742" priority="737" operator="equal">
      <formula>"CLB will have no effect"</formula>
    </cfRule>
    <cfRule type="cellIs" dxfId="741" priority="738" operator="equal">
      <formula>"Heartbeat of iiSC board to CLB board will stop."</formula>
    </cfRule>
  </conditionalFormatting>
  <conditionalFormatting sqref="E234">
    <cfRule type="cellIs" dxfId="740" priority="778" operator="equal">
      <formula>"CLB close command by firmware"</formula>
    </cfRule>
    <cfRule type="cellIs" dxfId="739" priority="779" operator="equal">
      <formula>"CLB will have no effect"</formula>
    </cfRule>
    <cfRule type="cellIs" dxfId="738" priority="780" operator="equal">
      <formula>"Heartbeat of iiSC board to CLB board will stop."</formula>
    </cfRule>
  </conditionalFormatting>
  <conditionalFormatting sqref="I234:M234 O234:P234">
    <cfRule type="cellIs" dxfId="737" priority="775" operator="equal">
      <formula>"CLB close command by firmware"</formula>
    </cfRule>
    <cfRule type="cellIs" dxfId="736" priority="776" operator="equal">
      <formula>"CLB will have no effect"</formula>
    </cfRule>
    <cfRule type="cellIs" dxfId="735" priority="777" operator="equal">
      <formula>"Heartbeat of iiSC board to CLB board will stop."</formula>
    </cfRule>
  </conditionalFormatting>
  <conditionalFormatting sqref="H235:M235 M236 O235:P235">
    <cfRule type="cellIs" dxfId="734" priority="748" operator="equal">
      <formula>"CLB close command by firmware"</formula>
    </cfRule>
    <cfRule type="cellIs" dxfId="733" priority="749" operator="equal">
      <formula>"CLB will have no effect"</formula>
    </cfRule>
    <cfRule type="cellIs" dxfId="732" priority="750" operator="equal">
      <formula>"Heartbeat of iiSC board to CLB board will stop."</formula>
    </cfRule>
  </conditionalFormatting>
  <conditionalFormatting sqref="M234">
    <cfRule type="cellIs" dxfId="731" priority="772" stopIfTrue="1" operator="greaterThanOrEqual">
      <formula>15</formula>
    </cfRule>
    <cfRule type="cellIs" dxfId="730" priority="773" stopIfTrue="1" operator="between">
      <formula>7</formula>
      <formula>14</formula>
    </cfRule>
    <cfRule type="cellIs" dxfId="729" priority="774" stopIfTrue="1" operator="lessThan">
      <formula>7</formula>
    </cfRule>
  </conditionalFormatting>
  <conditionalFormatting sqref="D230:E230 E231">
    <cfRule type="cellIs" dxfId="728" priority="769" operator="equal">
      <formula>"CLB close command by firmware"</formula>
    </cfRule>
    <cfRule type="cellIs" dxfId="727" priority="770" operator="equal">
      <formula>"CLB will have no effect"</formula>
    </cfRule>
    <cfRule type="cellIs" dxfId="726" priority="771" operator="equal">
      <formula>"Heartbeat of iiSC board to CLB board will stop."</formula>
    </cfRule>
  </conditionalFormatting>
  <conditionalFormatting sqref="B230:C230">
    <cfRule type="cellIs" dxfId="725" priority="766" operator="equal">
      <formula>"CLB close command by firmware"</formula>
    </cfRule>
    <cfRule type="cellIs" dxfId="724" priority="767" operator="equal">
      <formula>"CLB will have no effect"</formula>
    </cfRule>
    <cfRule type="cellIs" dxfId="723" priority="768" operator="equal">
      <formula>"Heartbeat of iiSC board to CLB board will stop."</formula>
    </cfRule>
  </conditionalFormatting>
  <conditionalFormatting sqref="F230:G231">
    <cfRule type="cellIs" dxfId="722" priority="763" operator="equal">
      <formula>"CLB close command by firmware"</formula>
    </cfRule>
    <cfRule type="cellIs" dxfId="721" priority="764" operator="equal">
      <formula>"CLB will have no effect"</formula>
    </cfRule>
    <cfRule type="cellIs" dxfId="720" priority="765" operator="equal">
      <formula>"Heartbeat of iiSC board to CLB board will stop."</formula>
    </cfRule>
  </conditionalFormatting>
  <conditionalFormatting sqref="O230:P230 P231">
    <cfRule type="cellIs" dxfId="719" priority="760" operator="equal">
      <formula>"CLB close command by firmware"</formula>
    </cfRule>
    <cfRule type="cellIs" dxfId="718" priority="761" operator="equal">
      <formula>"CLB will have no effect"</formula>
    </cfRule>
    <cfRule type="cellIs" dxfId="717" priority="762" operator="equal">
      <formula>"Heartbeat of iiSC board to CLB board will stop."</formula>
    </cfRule>
  </conditionalFormatting>
  <conditionalFormatting sqref="H230:L231">
    <cfRule type="cellIs" dxfId="716" priority="757" operator="equal">
      <formula>"CLB close command by firmware"</formula>
    </cfRule>
    <cfRule type="cellIs" dxfId="715" priority="758" operator="equal">
      <formula>"CLB will have no effect"</formula>
    </cfRule>
    <cfRule type="cellIs" dxfId="714" priority="759" operator="equal">
      <formula>"Heartbeat of iiSC board to CLB board will stop."</formula>
    </cfRule>
  </conditionalFormatting>
  <conditionalFormatting sqref="O231">
    <cfRule type="cellIs" dxfId="713" priority="754" operator="equal">
      <formula>"CLB close command by firmware"</formula>
    </cfRule>
    <cfRule type="cellIs" dxfId="712" priority="755" operator="equal">
      <formula>"CLB will have no effect"</formula>
    </cfRule>
    <cfRule type="cellIs" dxfId="711" priority="756" operator="equal">
      <formula>"Heartbeat of iiSC board to CLB board will stop."</formula>
    </cfRule>
  </conditionalFormatting>
  <conditionalFormatting sqref="F235:G236">
    <cfRule type="cellIs" dxfId="710" priority="751" operator="equal">
      <formula>"CLB close command by firmware"</formula>
    </cfRule>
    <cfRule type="cellIs" dxfId="709" priority="752" operator="equal">
      <formula>"CLB will have no effect"</formula>
    </cfRule>
    <cfRule type="cellIs" dxfId="708" priority="753" operator="equal">
      <formula>"Heartbeat of iiSC board to CLB board will stop."</formula>
    </cfRule>
  </conditionalFormatting>
  <conditionalFormatting sqref="M235">
    <cfRule type="cellIs" dxfId="707" priority="745" stopIfTrue="1" operator="greaterThanOrEqual">
      <formula>15</formula>
    </cfRule>
    <cfRule type="cellIs" dxfId="706" priority="746" stopIfTrue="1" operator="between">
      <formula>7</formula>
      <formula>14</formula>
    </cfRule>
    <cfRule type="cellIs" dxfId="705" priority="747" stopIfTrue="1" operator="lessThan">
      <formula>7</formula>
    </cfRule>
  </conditionalFormatting>
  <conditionalFormatting sqref="M236">
    <cfRule type="cellIs" dxfId="704" priority="742" stopIfTrue="1" operator="greaterThanOrEqual">
      <formula>15</formula>
    </cfRule>
    <cfRule type="cellIs" dxfId="703" priority="743" stopIfTrue="1" operator="between">
      <formula>7</formula>
      <formula>14</formula>
    </cfRule>
    <cfRule type="cellIs" dxfId="702" priority="744" stopIfTrue="1" operator="lessThan">
      <formula>7</formula>
    </cfRule>
  </conditionalFormatting>
  <conditionalFormatting sqref="I236:L236">
    <cfRule type="cellIs" dxfId="701" priority="739" operator="equal">
      <formula>"CLB close command by firmware"</formula>
    </cfRule>
    <cfRule type="cellIs" dxfId="700" priority="740" operator="equal">
      <formula>"CLB will have no effect"</formula>
    </cfRule>
    <cfRule type="cellIs" dxfId="699" priority="741" operator="equal">
      <formula>"Heartbeat of iiSC board to CLB board will stop."</formula>
    </cfRule>
  </conditionalFormatting>
  <conditionalFormatting sqref="M146:M147">
    <cfRule type="cellIs" dxfId="698" priority="733" stopIfTrue="1" operator="greaterThanOrEqual">
      <formula>15</formula>
    </cfRule>
    <cfRule type="cellIs" dxfId="697" priority="734" stopIfTrue="1" operator="between">
      <formula>7</formula>
      <formula>14</formula>
    </cfRule>
    <cfRule type="cellIs" dxfId="696" priority="735" stopIfTrue="1" operator="lessThan">
      <formula>7</formula>
    </cfRule>
  </conditionalFormatting>
  <conditionalFormatting sqref="M186:M188">
    <cfRule type="cellIs" dxfId="695" priority="730" stopIfTrue="1" operator="greaterThanOrEqual">
      <formula>15</formula>
    </cfRule>
    <cfRule type="cellIs" dxfId="694" priority="731" stopIfTrue="1" operator="between">
      <formula>7</formula>
      <formula>14</formula>
    </cfRule>
    <cfRule type="cellIs" dxfId="693" priority="732" stopIfTrue="1" operator="lessThan">
      <formula>7</formula>
    </cfRule>
  </conditionalFormatting>
  <conditionalFormatting sqref="M195">
    <cfRule type="cellIs" dxfId="692" priority="727" stopIfTrue="1" operator="greaterThanOrEqual">
      <formula>15</formula>
    </cfRule>
    <cfRule type="cellIs" dxfId="691" priority="728" stopIfTrue="1" operator="between">
      <formula>7</formula>
      <formula>14</formula>
    </cfRule>
    <cfRule type="cellIs" dxfId="690" priority="729" stopIfTrue="1" operator="lessThan">
      <formula>7</formula>
    </cfRule>
  </conditionalFormatting>
  <conditionalFormatting sqref="Q228:Q229">
    <cfRule type="cellIs" dxfId="689" priority="723" stopIfTrue="1" operator="greaterThanOrEqual">
      <formula>70</formula>
    </cfRule>
    <cfRule type="cellIs" dxfId="688" priority="724" stopIfTrue="1" operator="between">
      <formula>60</formula>
      <formula>69.999999</formula>
    </cfRule>
    <cfRule type="cellIs" dxfId="687" priority="725" stopIfTrue="1" operator="between">
      <formula>50</formula>
      <formula>59.9999</formula>
    </cfRule>
    <cfRule type="cellIs" dxfId="686" priority="726" stopIfTrue="1" operator="lessThanOrEqual">
      <formula>50</formula>
    </cfRule>
  </conditionalFormatting>
  <conditionalFormatting sqref="Q92:Q126">
    <cfRule type="cellIs" dxfId="685" priority="719" stopIfTrue="1" operator="greaterThanOrEqual">
      <formula>70</formula>
    </cfRule>
    <cfRule type="cellIs" dxfId="684" priority="720" stopIfTrue="1" operator="between">
      <formula>60</formula>
      <formula>69.999999</formula>
    </cfRule>
    <cfRule type="cellIs" dxfId="683" priority="721" stopIfTrue="1" operator="between">
      <formula>50</formula>
      <formula>59.9999</formula>
    </cfRule>
    <cfRule type="cellIs" dxfId="682" priority="722" stopIfTrue="1" operator="lessThanOrEqual">
      <formula>50</formula>
    </cfRule>
  </conditionalFormatting>
  <conditionalFormatting sqref="M109">
    <cfRule type="cellIs" dxfId="681" priority="716" stopIfTrue="1" operator="greaterThanOrEqual">
      <formula>15</formula>
    </cfRule>
    <cfRule type="cellIs" dxfId="680" priority="717" stopIfTrue="1" operator="between">
      <formula>7</formula>
      <formula>14</formula>
    </cfRule>
    <cfRule type="cellIs" dxfId="679" priority="718" stopIfTrue="1" operator="lessThan">
      <formula>7</formula>
    </cfRule>
  </conditionalFormatting>
  <conditionalFormatting sqref="M115">
    <cfRule type="cellIs" dxfId="678" priority="713" stopIfTrue="1" operator="greaterThanOrEqual">
      <formula>15</formula>
    </cfRule>
    <cfRule type="cellIs" dxfId="677" priority="714" stopIfTrue="1" operator="between">
      <formula>7</formula>
      <formula>14</formula>
    </cfRule>
    <cfRule type="cellIs" dxfId="676" priority="715" stopIfTrue="1" operator="lessThan">
      <formula>7</formula>
    </cfRule>
  </conditionalFormatting>
  <conditionalFormatting sqref="M121">
    <cfRule type="cellIs" dxfId="675" priority="710" stopIfTrue="1" operator="greaterThanOrEqual">
      <formula>15</formula>
    </cfRule>
    <cfRule type="cellIs" dxfId="674" priority="711" stopIfTrue="1" operator="between">
      <formula>7</formula>
      <formula>14</formula>
    </cfRule>
    <cfRule type="cellIs" dxfId="673" priority="712" stopIfTrue="1" operator="lessThan">
      <formula>7</formula>
    </cfRule>
  </conditionalFormatting>
  <conditionalFormatting sqref="M129">
    <cfRule type="cellIs" dxfId="672" priority="707" stopIfTrue="1" operator="greaterThanOrEqual">
      <formula>15</formula>
    </cfRule>
    <cfRule type="cellIs" dxfId="671" priority="708" stopIfTrue="1" operator="between">
      <formula>7</formula>
      <formula>14</formula>
    </cfRule>
    <cfRule type="cellIs" dxfId="670" priority="709" stopIfTrue="1" operator="lessThan">
      <formula>7</formula>
    </cfRule>
  </conditionalFormatting>
  <conditionalFormatting sqref="M128">
    <cfRule type="cellIs" dxfId="669" priority="704" stopIfTrue="1" operator="greaterThanOrEqual">
      <formula>15</formula>
    </cfRule>
    <cfRule type="cellIs" dxfId="668" priority="705" stopIfTrue="1" operator="between">
      <formula>7</formula>
      <formula>14</formula>
    </cfRule>
    <cfRule type="cellIs" dxfId="667" priority="706" stopIfTrue="1" operator="lessThan">
      <formula>7</formula>
    </cfRule>
  </conditionalFormatting>
  <conditionalFormatting sqref="M130:M131">
    <cfRule type="cellIs" dxfId="666" priority="701" stopIfTrue="1" operator="greaterThanOrEqual">
      <formula>15</formula>
    </cfRule>
    <cfRule type="cellIs" dxfId="665" priority="702" stopIfTrue="1" operator="between">
      <formula>7</formula>
      <formula>14</formula>
    </cfRule>
    <cfRule type="cellIs" dxfId="664" priority="703" stopIfTrue="1" operator="lessThan">
      <formula>7</formula>
    </cfRule>
  </conditionalFormatting>
  <conditionalFormatting sqref="M138">
    <cfRule type="cellIs" dxfId="663" priority="698" stopIfTrue="1" operator="greaterThanOrEqual">
      <formula>15</formula>
    </cfRule>
    <cfRule type="cellIs" dxfId="662" priority="699" stopIfTrue="1" operator="between">
      <formula>7</formula>
      <formula>14</formula>
    </cfRule>
    <cfRule type="cellIs" dxfId="661" priority="700" stopIfTrue="1" operator="lessThan">
      <formula>7</formula>
    </cfRule>
  </conditionalFormatting>
  <conditionalFormatting sqref="M139">
    <cfRule type="cellIs" dxfId="660" priority="695" stopIfTrue="1" operator="greaterThanOrEqual">
      <formula>15</formula>
    </cfRule>
    <cfRule type="cellIs" dxfId="659" priority="696" stopIfTrue="1" operator="between">
      <formula>7</formula>
      <formula>14</formula>
    </cfRule>
    <cfRule type="cellIs" dxfId="658" priority="697" stopIfTrue="1" operator="lessThan">
      <formula>7</formula>
    </cfRule>
  </conditionalFormatting>
  <conditionalFormatting sqref="M136">
    <cfRule type="cellIs" dxfId="657" priority="692" stopIfTrue="1" operator="greaterThanOrEqual">
      <formula>15</formula>
    </cfRule>
    <cfRule type="cellIs" dxfId="656" priority="693" stopIfTrue="1" operator="between">
      <formula>7</formula>
      <formula>14</formula>
    </cfRule>
    <cfRule type="cellIs" dxfId="655" priority="694" stopIfTrue="1" operator="lessThan">
      <formula>7</formula>
    </cfRule>
  </conditionalFormatting>
  <conditionalFormatting sqref="M137">
    <cfRule type="cellIs" dxfId="654" priority="689" stopIfTrue="1" operator="greaterThanOrEqual">
      <formula>15</formula>
    </cfRule>
    <cfRule type="cellIs" dxfId="653" priority="690" stopIfTrue="1" operator="between">
      <formula>7</formula>
      <formula>14</formula>
    </cfRule>
    <cfRule type="cellIs" dxfId="652" priority="691" stopIfTrue="1" operator="lessThan">
      <formula>7</formula>
    </cfRule>
  </conditionalFormatting>
  <conditionalFormatting sqref="M140">
    <cfRule type="cellIs" dxfId="651" priority="686" stopIfTrue="1" operator="greaterThanOrEqual">
      <formula>15</formula>
    </cfRule>
    <cfRule type="cellIs" dxfId="650" priority="687" stopIfTrue="1" operator="between">
      <formula>7</formula>
      <formula>14</formula>
    </cfRule>
    <cfRule type="cellIs" dxfId="649" priority="688" stopIfTrue="1" operator="lessThan">
      <formula>7</formula>
    </cfRule>
  </conditionalFormatting>
  <conditionalFormatting sqref="M141">
    <cfRule type="cellIs" dxfId="648" priority="683" stopIfTrue="1" operator="greaterThanOrEqual">
      <formula>15</formula>
    </cfRule>
    <cfRule type="cellIs" dxfId="647" priority="684" stopIfTrue="1" operator="between">
      <formula>7</formula>
      <formula>14</formula>
    </cfRule>
    <cfRule type="cellIs" dxfId="646" priority="685" stopIfTrue="1" operator="lessThan">
      <formula>7</formula>
    </cfRule>
  </conditionalFormatting>
  <conditionalFormatting sqref="M148:M149">
    <cfRule type="cellIs" dxfId="645" priority="680" stopIfTrue="1" operator="greaterThanOrEqual">
      <formula>15</formula>
    </cfRule>
    <cfRule type="cellIs" dxfId="644" priority="681" stopIfTrue="1" operator="between">
      <formula>7</formula>
      <formula>14</formula>
    </cfRule>
    <cfRule type="cellIs" dxfId="643" priority="682" stopIfTrue="1" operator="lessThan">
      <formula>7</formula>
    </cfRule>
  </conditionalFormatting>
  <conditionalFormatting sqref="M150:M151">
    <cfRule type="cellIs" dxfId="642" priority="677" stopIfTrue="1" operator="greaterThanOrEqual">
      <formula>15</formula>
    </cfRule>
    <cfRule type="cellIs" dxfId="641" priority="678" stopIfTrue="1" operator="between">
      <formula>7</formula>
      <formula>14</formula>
    </cfRule>
    <cfRule type="cellIs" dxfId="640" priority="679" stopIfTrue="1" operator="lessThan">
      <formula>7</formula>
    </cfRule>
  </conditionalFormatting>
  <conditionalFormatting sqref="M152:M153">
    <cfRule type="cellIs" dxfId="639" priority="674" stopIfTrue="1" operator="greaterThanOrEqual">
      <formula>15</formula>
    </cfRule>
    <cfRule type="cellIs" dxfId="638" priority="675" stopIfTrue="1" operator="between">
      <formula>7</formula>
      <formula>14</formula>
    </cfRule>
    <cfRule type="cellIs" dxfId="637" priority="676" stopIfTrue="1" operator="lessThan">
      <formula>7</formula>
    </cfRule>
  </conditionalFormatting>
  <conditionalFormatting sqref="M154:M155">
    <cfRule type="cellIs" dxfId="636" priority="671" stopIfTrue="1" operator="greaterThanOrEqual">
      <formula>15</formula>
    </cfRule>
    <cfRule type="cellIs" dxfId="635" priority="672" stopIfTrue="1" operator="between">
      <formula>7</formula>
      <formula>14</formula>
    </cfRule>
    <cfRule type="cellIs" dxfId="634" priority="673" stopIfTrue="1" operator="lessThan">
      <formula>7</formula>
    </cfRule>
  </conditionalFormatting>
  <conditionalFormatting sqref="M156:M157">
    <cfRule type="cellIs" dxfId="633" priority="668" stopIfTrue="1" operator="greaterThanOrEqual">
      <formula>15</formula>
    </cfRule>
    <cfRule type="cellIs" dxfId="632" priority="669" stopIfTrue="1" operator="between">
      <formula>7</formula>
      <formula>14</formula>
    </cfRule>
    <cfRule type="cellIs" dxfId="631" priority="670" stopIfTrue="1" operator="lessThan">
      <formula>7</formula>
    </cfRule>
  </conditionalFormatting>
  <conditionalFormatting sqref="M158:M159">
    <cfRule type="cellIs" dxfId="630" priority="665" stopIfTrue="1" operator="greaterThanOrEqual">
      <formula>15</formula>
    </cfRule>
    <cfRule type="cellIs" dxfId="629" priority="666" stopIfTrue="1" operator="between">
      <formula>7</formula>
      <formula>14</formula>
    </cfRule>
    <cfRule type="cellIs" dxfId="628" priority="667" stopIfTrue="1" operator="lessThan">
      <formula>7</formula>
    </cfRule>
  </conditionalFormatting>
  <conditionalFormatting sqref="M172:M173">
    <cfRule type="cellIs" dxfId="627" priority="662" stopIfTrue="1" operator="greaterThanOrEqual">
      <formula>15</formula>
    </cfRule>
    <cfRule type="cellIs" dxfId="626" priority="663" stopIfTrue="1" operator="between">
      <formula>7</formula>
      <formula>14</formula>
    </cfRule>
    <cfRule type="cellIs" dxfId="625" priority="664" stopIfTrue="1" operator="lessThan">
      <formula>7</formula>
    </cfRule>
  </conditionalFormatting>
  <conditionalFormatting sqref="M174:M175">
    <cfRule type="cellIs" dxfId="624" priority="659" stopIfTrue="1" operator="greaterThanOrEqual">
      <formula>15</formula>
    </cfRule>
    <cfRule type="cellIs" dxfId="623" priority="660" stopIfTrue="1" operator="between">
      <formula>7</formula>
      <formula>14</formula>
    </cfRule>
    <cfRule type="cellIs" dxfId="622" priority="661" stopIfTrue="1" operator="lessThan">
      <formula>7</formula>
    </cfRule>
  </conditionalFormatting>
  <conditionalFormatting sqref="M176:M177">
    <cfRule type="cellIs" dxfId="621" priority="656" stopIfTrue="1" operator="greaterThanOrEqual">
      <formula>15</formula>
    </cfRule>
    <cfRule type="cellIs" dxfId="620" priority="657" stopIfTrue="1" operator="between">
      <formula>7</formula>
      <formula>14</formula>
    </cfRule>
    <cfRule type="cellIs" dxfId="619" priority="658" stopIfTrue="1" operator="lessThan">
      <formula>7</formula>
    </cfRule>
  </conditionalFormatting>
  <conditionalFormatting sqref="M178:M179">
    <cfRule type="cellIs" dxfId="618" priority="653" stopIfTrue="1" operator="greaterThanOrEqual">
      <formula>15</formula>
    </cfRule>
    <cfRule type="cellIs" dxfId="617" priority="654" stopIfTrue="1" operator="between">
      <formula>7</formula>
      <formula>14</formula>
    </cfRule>
    <cfRule type="cellIs" dxfId="616" priority="655" stopIfTrue="1" operator="lessThan">
      <formula>7</formula>
    </cfRule>
  </conditionalFormatting>
  <conditionalFormatting sqref="M180:M181">
    <cfRule type="cellIs" dxfId="615" priority="650" stopIfTrue="1" operator="greaterThanOrEqual">
      <formula>15</formula>
    </cfRule>
    <cfRule type="cellIs" dxfId="614" priority="651" stopIfTrue="1" operator="between">
      <formula>7</formula>
      <formula>14</formula>
    </cfRule>
    <cfRule type="cellIs" dxfId="613" priority="652" stopIfTrue="1" operator="lessThan">
      <formula>7</formula>
    </cfRule>
  </conditionalFormatting>
  <conditionalFormatting sqref="M182:M183">
    <cfRule type="cellIs" dxfId="612" priority="647" stopIfTrue="1" operator="greaterThanOrEqual">
      <formula>15</formula>
    </cfRule>
    <cfRule type="cellIs" dxfId="611" priority="648" stopIfTrue="1" operator="between">
      <formula>7</formula>
      <formula>14</formula>
    </cfRule>
    <cfRule type="cellIs" dxfId="610" priority="649" stopIfTrue="1" operator="lessThan">
      <formula>7</formula>
    </cfRule>
  </conditionalFormatting>
  <conditionalFormatting sqref="M184:M185">
    <cfRule type="cellIs" dxfId="609" priority="644" stopIfTrue="1" operator="greaterThanOrEqual">
      <formula>15</formula>
    </cfRule>
    <cfRule type="cellIs" dxfId="608" priority="645" stopIfTrue="1" operator="between">
      <formula>7</formula>
      <formula>14</formula>
    </cfRule>
    <cfRule type="cellIs" dxfId="607" priority="646" stopIfTrue="1" operator="lessThan">
      <formula>7</formula>
    </cfRule>
  </conditionalFormatting>
  <conditionalFormatting sqref="Q225:Q226">
    <cfRule type="cellIs" dxfId="606" priority="640" stopIfTrue="1" operator="greaterThanOrEqual">
      <formula>70</formula>
    </cfRule>
    <cfRule type="cellIs" dxfId="605" priority="641" stopIfTrue="1" operator="between">
      <formula>60</formula>
      <formula>69.999999</formula>
    </cfRule>
    <cfRule type="cellIs" dxfId="604" priority="642" stopIfTrue="1" operator="between">
      <formula>50</formula>
      <formula>59.9999</formula>
    </cfRule>
    <cfRule type="cellIs" dxfId="603" priority="643" stopIfTrue="1" operator="lessThanOrEqual">
      <formula>50</formula>
    </cfRule>
  </conditionalFormatting>
  <conditionalFormatting sqref="M225:M226">
    <cfRule type="cellIs" dxfId="602" priority="637" stopIfTrue="1" operator="greaterThanOrEqual">
      <formula>15</formula>
    </cfRule>
    <cfRule type="cellIs" dxfId="601" priority="638" stopIfTrue="1" operator="between">
      <formula>7</formula>
      <formula>14</formula>
    </cfRule>
    <cfRule type="cellIs" dxfId="600" priority="639" stopIfTrue="1" operator="lessThan">
      <formula>7</formula>
    </cfRule>
  </conditionalFormatting>
  <conditionalFormatting sqref="M228:M229">
    <cfRule type="cellIs" dxfId="599" priority="634" stopIfTrue="1" operator="greaterThanOrEqual">
      <formula>15</formula>
    </cfRule>
    <cfRule type="cellIs" dxfId="598" priority="635" stopIfTrue="1" operator="between">
      <formula>7</formula>
      <formula>14</formula>
    </cfRule>
    <cfRule type="cellIs" dxfId="597" priority="636" stopIfTrue="1" operator="lessThan">
      <formula>7</formula>
    </cfRule>
  </conditionalFormatting>
  <conditionalFormatting sqref="E233:G233 B232:F232">
    <cfRule type="cellIs" dxfId="596" priority="631" operator="equal">
      <formula>"CLB close command by firmware"</formula>
    </cfRule>
    <cfRule type="cellIs" dxfId="595" priority="632" operator="equal">
      <formula>"CLB will have no effect"</formula>
    </cfRule>
    <cfRule type="cellIs" dxfId="594" priority="633" operator="equal">
      <formula>"Heartbeat of iiSC board to CLB board will stop."</formula>
    </cfRule>
  </conditionalFormatting>
  <conditionalFormatting sqref="M232">
    <cfRule type="cellIs" dxfId="593" priority="628" stopIfTrue="1" operator="greaterThanOrEqual">
      <formula>15</formula>
    </cfRule>
    <cfRule type="cellIs" dxfId="592" priority="629" stopIfTrue="1" operator="between">
      <formula>7</formula>
      <formula>14</formula>
    </cfRule>
    <cfRule type="cellIs" dxfId="591" priority="630" stopIfTrue="1" operator="lessThan">
      <formula>7</formula>
    </cfRule>
  </conditionalFormatting>
  <conditionalFormatting sqref="H233:M233 J232:M232 P232 O233:P233">
    <cfRule type="cellIs" dxfId="590" priority="625" operator="equal">
      <formula>"CLB close command by firmware"</formula>
    </cfRule>
    <cfRule type="cellIs" dxfId="589" priority="626" operator="equal">
      <formula>"CLB will have no effect"</formula>
    </cfRule>
    <cfRule type="cellIs" dxfId="588" priority="627" operator="equal">
      <formula>"Heartbeat of iiSC board to CLB board will stop."</formula>
    </cfRule>
  </conditionalFormatting>
  <conditionalFormatting sqref="M233">
    <cfRule type="cellIs" dxfId="587" priority="622" stopIfTrue="1" operator="greaterThanOrEqual">
      <formula>15</formula>
    </cfRule>
    <cfRule type="cellIs" dxfId="586" priority="623" stopIfTrue="1" operator="between">
      <formula>7</formula>
      <formula>14</formula>
    </cfRule>
    <cfRule type="cellIs" dxfId="585" priority="624" stopIfTrue="1" operator="lessThan">
      <formula>7</formula>
    </cfRule>
  </conditionalFormatting>
  <conditionalFormatting sqref="I232">
    <cfRule type="cellIs" dxfId="584" priority="619" operator="equal">
      <formula>"CLB close command by firmware"</formula>
    </cfRule>
    <cfRule type="cellIs" dxfId="583" priority="620" operator="equal">
      <formula>"CLB will have no effect"</formula>
    </cfRule>
    <cfRule type="cellIs" dxfId="582" priority="621" operator="equal">
      <formula>"Heartbeat of iiSC board to CLB board will stop."</formula>
    </cfRule>
  </conditionalFormatting>
  <conditionalFormatting sqref="G232">
    <cfRule type="cellIs" dxfId="581" priority="616" operator="equal">
      <formula>"CLB close command by firmware"</formula>
    </cfRule>
    <cfRule type="cellIs" dxfId="580" priority="617" operator="equal">
      <formula>"CLB will have no effect"</formula>
    </cfRule>
    <cfRule type="cellIs" dxfId="579" priority="618" operator="equal">
      <formula>"Heartbeat of iiSC board to CLB board will stop."</formula>
    </cfRule>
  </conditionalFormatting>
  <conditionalFormatting sqref="H232">
    <cfRule type="cellIs" dxfId="578" priority="613" operator="equal">
      <formula>"CLB close command by firmware"</formula>
    </cfRule>
    <cfRule type="cellIs" dxfId="577" priority="614" operator="equal">
      <formula>"CLB will have no effect"</formula>
    </cfRule>
    <cfRule type="cellIs" dxfId="576" priority="615" operator="equal">
      <formula>"Heartbeat of iiSC board to CLB board will stop."</formula>
    </cfRule>
  </conditionalFormatting>
  <conditionalFormatting sqref="F234:G234">
    <cfRule type="cellIs" dxfId="575" priority="610" operator="equal">
      <formula>"CLB close command by firmware"</formula>
    </cfRule>
    <cfRule type="cellIs" dxfId="574" priority="611" operator="equal">
      <formula>"CLB will have no effect"</formula>
    </cfRule>
    <cfRule type="cellIs" dxfId="573" priority="612" operator="equal">
      <formula>"Heartbeat of iiSC board to CLB board will stop."</formula>
    </cfRule>
  </conditionalFormatting>
  <conditionalFormatting sqref="H234">
    <cfRule type="cellIs" dxfId="572" priority="607" operator="equal">
      <formula>"CLB close command by firmware"</formula>
    </cfRule>
    <cfRule type="cellIs" dxfId="571" priority="608" operator="equal">
      <formula>"CLB will have no effect"</formula>
    </cfRule>
    <cfRule type="cellIs" dxfId="570" priority="609" operator="equal">
      <formula>"Heartbeat of iiSC board to CLB board will stop."</formula>
    </cfRule>
  </conditionalFormatting>
  <conditionalFormatting sqref="H236">
    <cfRule type="cellIs" dxfId="569" priority="604" operator="equal">
      <formula>"CLB close command by firmware"</formula>
    </cfRule>
    <cfRule type="cellIs" dxfId="568" priority="605" operator="equal">
      <formula>"CLB will have no effect"</formula>
    </cfRule>
    <cfRule type="cellIs" dxfId="567" priority="606" operator="equal">
      <formula>"Heartbeat of iiSC board to CLB board will stop."</formula>
    </cfRule>
  </conditionalFormatting>
  <conditionalFormatting sqref="M189">
    <cfRule type="cellIs" dxfId="566" priority="601" stopIfTrue="1" operator="greaterThanOrEqual">
      <formula>15</formula>
    </cfRule>
    <cfRule type="cellIs" dxfId="565" priority="602" stopIfTrue="1" operator="between">
      <formula>7</formula>
      <formula>14</formula>
    </cfRule>
    <cfRule type="cellIs" dxfId="564" priority="603" stopIfTrue="1" operator="lessThan">
      <formula>7</formula>
    </cfRule>
  </conditionalFormatting>
  <conditionalFormatting sqref="M190:M191">
    <cfRule type="cellIs" dxfId="563" priority="598" stopIfTrue="1" operator="greaterThanOrEqual">
      <formula>15</formula>
    </cfRule>
    <cfRule type="cellIs" dxfId="562" priority="599" stopIfTrue="1" operator="between">
      <formula>7</formula>
      <formula>14</formula>
    </cfRule>
    <cfRule type="cellIs" dxfId="561" priority="600" stopIfTrue="1" operator="lessThan">
      <formula>7</formula>
    </cfRule>
  </conditionalFormatting>
  <conditionalFormatting sqref="M192">
    <cfRule type="cellIs" dxfId="560" priority="595" stopIfTrue="1" operator="greaterThanOrEqual">
      <formula>15</formula>
    </cfRule>
    <cfRule type="cellIs" dxfId="559" priority="596" stopIfTrue="1" operator="between">
      <formula>7</formula>
      <formula>14</formula>
    </cfRule>
    <cfRule type="cellIs" dxfId="558" priority="597" stopIfTrue="1" operator="lessThan">
      <formula>7</formula>
    </cfRule>
  </conditionalFormatting>
  <conditionalFormatting sqref="M198:M199">
    <cfRule type="cellIs" dxfId="557" priority="592" stopIfTrue="1" operator="greaterThanOrEqual">
      <formula>15</formula>
    </cfRule>
    <cfRule type="cellIs" dxfId="556" priority="593" stopIfTrue="1" operator="between">
      <formula>7</formula>
      <formula>14</formula>
    </cfRule>
    <cfRule type="cellIs" dxfId="555" priority="594" stopIfTrue="1" operator="lessThan">
      <formula>7</formula>
    </cfRule>
  </conditionalFormatting>
  <conditionalFormatting sqref="M200:M201">
    <cfRule type="cellIs" dxfId="554" priority="589" stopIfTrue="1" operator="greaterThanOrEqual">
      <formula>15</formula>
    </cfRule>
    <cfRule type="cellIs" dxfId="553" priority="590" stopIfTrue="1" operator="between">
      <formula>7</formula>
      <formula>14</formula>
    </cfRule>
    <cfRule type="cellIs" dxfId="552" priority="591" stopIfTrue="1" operator="lessThan">
      <formula>7</formula>
    </cfRule>
  </conditionalFormatting>
  <conditionalFormatting sqref="M202:M203">
    <cfRule type="cellIs" dxfId="551" priority="586" stopIfTrue="1" operator="greaterThanOrEqual">
      <formula>15</formula>
    </cfRule>
    <cfRule type="cellIs" dxfId="550" priority="587" stopIfTrue="1" operator="between">
      <formula>7</formula>
      <formula>14</formula>
    </cfRule>
    <cfRule type="cellIs" dxfId="549" priority="588" stopIfTrue="1" operator="lessThan">
      <formula>7</formula>
    </cfRule>
  </conditionalFormatting>
  <conditionalFormatting sqref="M204:M205">
    <cfRule type="cellIs" dxfId="548" priority="583" stopIfTrue="1" operator="greaterThanOrEqual">
      <formula>15</formula>
    </cfRule>
    <cfRule type="cellIs" dxfId="547" priority="584" stopIfTrue="1" operator="between">
      <formula>7</formula>
      <formula>14</formula>
    </cfRule>
    <cfRule type="cellIs" dxfId="546" priority="585" stopIfTrue="1" operator="lessThan">
      <formula>7</formula>
    </cfRule>
  </conditionalFormatting>
  <conditionalFormatting sqref="M126">
    <cfRule type="cellIs" dxfId="545" priority="580" stopIfTrue="1" operator="greaterThanOrEqual">
      <formula>15</formula>
    </cfRule>
    <cfRule type="cellIs" dxfId="544" priority="581" stopIfTrue="1" operator="between">
      <formula>7</formula>
      <formula>14</formula>
    </cfRule>
    <cfRule type="cellIs" dxfId="543" priority="582" stopIfTrue="1" operator="lessThan">
      <formula>7</formula>
    </cfRule>
  </conditionalFormatting>
  <conditionalFormatting sqref="M127">
    <cfRule type="cellIs" dxfId="542" priority="577" stopIfTrue="1" operator="greaterThanOrEqual">
      <formula>15</formula>
    </cfRule>
    <cfRule type="cellIs" dxfId="541" priority="578" stopIfTrue="1" operator="between">
      <formula>7</formula>
      <formula>14</formula>
    </cfRule>
    <cfRule type="cellIs" dxfId="540" priority="579" stopIfTrue="1" operator="lessThan">
      <formula>7</formula>
    </cfRule>
  </conditionalFormatting>
  <conditionalFormatting sqref="B108:B109">
    <cfRule type="colorScale" priority="576">
      <colorScale>
        <cfvo type="min"/>
        <cfvo type="percentile" val="50"/>
        <cfvo type="max"/>
        <color rgb="FFF8696B"/>
        <color rgb="FFFFEB84"/>
        <color rgb="FF63BE7B"/>
      </colorScale>
    </cfRule>
  </conditionalFormatting>
  <conditionalFormatting sqref="B110:B111">
    <cfRule type="colorScale" priority="575">
      <colorScale>
        <cfvo type="min"/>
        <cfvo type="percentile" val="50"/>
        <cfvo type="max"/>
        <color rgb="FFF8696B"/>
        <color rgb="FFFFEB84"/>
        <color rgb="FF63BE7B"/>
      </colorScale>
    </cfRule>
  </conditionalFormatting>
  <conditionalFormatting sqref="B112:B113">
    <cfRule type="colorScale" priority="574">
      <colorScale>
        <cfvo type="min"/>
        <cfvo type="percentile" val="50"/>
        <cfvo type="max"/>
        <color rgb="FFF8696B"/>
        <color rgb="FFFFEB84"/>
        <color rgb="FF63BE7B"/>
      </colorScale>
    </cfRule>
  </conditionalFormatting>
  <conditionalFormatting sqref="B114:B115">
    <cfRule type="colorScale" priority="573">
      <colorScale>
        <cfvo type="min"/>
        <cfvo type="percentile" val="50"/>
        <cfvo type="max"/>
        <color rgb="FFF8696B"/>
        <color rgb="FFFFEB84"/>
        <color rgb="FF63BE7B"/>
      </colorScale>
    </cfRule>
  </conditionalFormatting>
  <conditionalFormatting sqref="B116:B117">
    <cfRule type="colorScale" priority="572">
      <colorScale>
        <cfvo type="min"/>
        <cfvo type="percentile" val="50"/>
        <cfvo type="max"/>
        <color rgb="FFF8696B"/>
        <color rgb="FFFFEB84"/>
        <color rgb="FF63BE7B"/>
      </colorScale>
    </cfRule>
  </conditionalFormatting>
  <conditionalFormatting sqref="B118:B119">
    <cfRule type="colorScale" priority="571">
      <colorScale>
        <cfvo type="min"/>
        <cfvo type="percentile" val="50"/>
        <cfvo type="max"/>
        <color rgb="FFF8696B"/>
        <color rgb="FFFFEB84"/>
        <color rgb="FF63BE7B"/>
      </colorScale>
    </cfRule>
  </conditionalFormatting>
  <conditionalFormatting sqref="B120:B121">
    <cfRule type="colorScale" priority="570">
      <colorScale>
        <cfvo type="min"/>
        <cfvo type="percentile" val="50"/>
        <cfvo type="max"/>
        <color rgb="FFF8696B"/>
        <color rgb="FFFFEB84"/>
        <color rgb="FF63BE7B"/>
      </colorScale>
    </cfRule>
  </conditionalFormatting>
  <conditionalFormatting sqref="B136:B137">
    <cfRule type="colorScale" priority="569">
      <colorScale>
        <cfvo type="min"/>
        <cfvo type="percentile" val="50"/>
        <cfvo type="max"/>
        <color rgb="FFF8696B"/>
        <color rgb="FFFFEB84"/>
        <color rgb="FF63BE7B"/>
      </colorScale>
    </cfRule>
  </conditionalFormatting>
  <conditionalFormatting sqref="B138:B139">
    <cfRule type="colorScale" priority="568">
      <colorScale>
        <cfvo type="min"/>
        <cfvo type="percentile" val="50"/>
        <cfvo type="max"/>
        <color rgb="FFF8696B"/>
        <color rgb="FFFFEB84"/>
        <color rgb="FF63BE7B"/>
      </colorScale>
    </cfRule>
  </conditionalFormatting>
  <conditionalFormatting sqref="B140:B141">
    <cfRule type="colorScale" priority="567">
      <colorScale>
        <cfvo type="min"/>
        <cfvo type="percentile" val="50"/>
        <cfvo type="max"/>
        <color rgb="FFF8696B"/>
        <color rgb="FFFFEB84"/>
        <color rgb="FF63BE7B"/>
      </colorScale>
    </cfRule>
  </conditionalFormatting>
  <conditionalFormatting sqref="M383:M384 M247:M251 M253:M257 M259:M263 M279:M282 M286:M291 M265:M268">
    <cfRule type="cellIs" dxfId="539" priority="564" stopIfTrue="1" operator="greaterThanOrEqual">
      <formula>15</formula>
    </cfRule>
    <cfRule type="cellIs" dxfId="538" priority="565" stopIfTrue="1" operator="between">
      <formula>7</formula>
      <formula>14</formula>
    </cfRule>
    <cfRule type="cellIs" dxfId="537" priority="566" stopIfTrue="1" operator="lessThan">
      <formula>7</formula>
    </cfRule>
  </conditionalFormatting>
  <conditionalFormatting sqref="Q380 Q354:Q364 Q383:Q394 Q375:Q377">
    <cfRule type="cellIs" dxfId="536" priority="560" stopIfTrue="1" operator="greaterThanOrEqual">
      <formula>70</formula>
    </cfRule>
    <cfRule type="cellIs" dxfId="535" priority="561" stopIfTrue="1" operator="between">
      <formula>60</formula>
      <formula>69.999999</formula>
    </cfRule>
    <cfRule type="cellIs" dxfId="534" priority="562" stopIfTrue="1" operator="between">
      <formula>50</formula>
      <formula>59.9999</formula>
    </cfRule>
    <cfRule type="cellIs" dxfId="533" priority="563" stopIfTrue="1" operator="lessThanOrEqual">
      <formula>50</formula>
    </cfRule>
  </conditionalFormatting>
  <conditionalFormatting sqref="M362 M380 M375:M377">
    <cfRule type="cellIs" dxfId="532" priority="557" stopIfTrue="1" operator="greaterThanOrEqual">
      <formula>15</formula>
    </cfRule>
    <cfRule type="cellIs" dxfId="531" priority="558" stopIfTrue="1" operator="between">
      <formula>7</formula>
      <formula>14</formula>
    </cfRule>
    <cfRule type="cellIs" dxfId="530" priority="559" stopIfTrue="1" operator="lessThan">
      <formula>7</formula>
    </cfRule>
  </conditionalFormatting>
  <conditionalFormatting sqref="Q351:Q352">
    <cfRule type="cellIs" dxfId="529" priority="553" stopIfTrue="1" operator="greaterThanOrEqual">
      <formula>70</formula>
    </cfRule>
    <cfRule type="cellIs" dxfId="528" priority="554" stopIfTrue="1" operator="between">
      <formula>60</formula>
      <formula>69.999999</formula>
    </cfRule>
    <cfRule type="cellIs" dxfId="527" priority="555" stopIfTrue="1" operator="between">
      <formula>50</formula>
      <formula>59.9999</formula>
    </cfRule>
    <cfRule type="cellIs" dxfId="526" priority="556" stopIfTrue="1" operator="lessThanOrEqual">
      <formula>50</formula>
    </cfRule>
  </conditionalFormatting>
  <conditionalFormatting sqref="M361">
    <cfRule type="cellIs" dxfId="525" priority="543" stopIfTrue="1" operator="greaterThanOrEqual">
      <formula>15</formula>
    </cfRule>
    <cfRule type="cellIs" dxfId="524" priority="544" stopIfTrue="1" operator="between">
      <formula>7</formula>
      <formula>14</formula>
    </cfRule>
    <cfRule type="cellIs" dxfId="523" priority="545" stopIfTrue="1" operator="lessThan">
      <formula>7</formula>
    </cfRule>
  </conditionalFormatting>
  <conditionalFormatting sqref="Q353">
    <cfRule type="cellIs" dxfId="522" priority="549" stopIfTrue="1" operator="greaterThanOrEqual">
      <formula>70</formula>
    </cfRule>
    <cfRule type="cellIs" dxfId="521" priority="550" stopIfTrue="1" operator="between">
      <formula>60</formula>
      <formula>69.999999</formula>
    </cfRule>
    <cfRule type="cellIs" dxfId="520" priority="551" stopIfTrue="1" operator="between">
      <formula>50</formula>
      <formula>59.9999</formula>
    </cfRule>
    <cfRule type="cellIs" dxfId="519" priority="552" stopIfTrue="1" operator="lessThanOrEqual">
      <formula>50</formula>
    </cfRule>
  </conditionalFormatting>
  <conditionalFormatting sqref="M359">
    <cfRule type="cellIs" dxfId="518" priority="546" stopIfTrue="1" operator="greaterThanOrEqual">
      <formula>15</formula>
    </cfRule>
    <cfRule type="cellIs" dxfId="517" priority="547" stopIfTrue="1" operator="between">
      <formula>7</formula>
      <formula>14</formula>
    </cfRule>
    <cfRule type="cellIs" dxfId="516" priority="548" stopIfTrue="1" operator="lessThan">
      <formula>7</formula>
    </cfRule>
  </conditionalFormatting>
  <conditionalFormatting sqref="M360">
    <cfRule type="cellIs" dxfId="515" priority="540" stopIfTrue="1" operator="greaterThanOrEqual">
      <formula>15</formula>
    </cfRule>
    <cfRule type="cellIs" dxfId="514" priority="541" stopIfTrue="1" operator="between">
      <formula>7</formula>
      <formula>14</formula>
    </cfRule>
    <cfRule type="cellIs" dxfId="513" priority="542" stopIfTrue="1" operator="lessThan">
      <formula>7</formula>
    </cfRule>
  </conditionalFormatting>
  <conditionalFormatting sqref="M380 M375:M377">
    <cfRule type="cellIs" dxfId="512" priority="537" stopIfTrue="1" operator="greaterThanOrEqual">
      <formula>15</formula>
    </cfRule>
    <cfRule type="cellIs" dxfId="511" priority="538" stopIfTrue="1" operator="between">
      <formula>7</formula>
      <formula>14</formula>
    </cfRule>
    <cfRule type="cellIs" dxfId="510" priority="539" stopIfTrue="1" operator="lessThan">
      <formula>7</formula>
    </cfRule>
  </conditionalFormatting>
  <conditionalFormatting sqref="M342:M343">
    <cfRule type="cellIs" dxfId="509" priority="534" stopIfTrue="1" operator="greaterThanOrEqual">
      <formula>15</formula>
    </cfRule>
    <cfRule type="cellIs" dxfId="508" priority="535" stopIfTrue="1" operator="between">
      <formula>7</formula>
      <formula>14</formula>
    </cfRule>
    <cfRule type="cellIs" dxfId="507" priority="536" stopIfTrue="1" operator="lessThan">
      <formula>7</formula>
    </cfRule>
  </conditionalFormatting>
  <conditionalFormatting sqref="Q312:Q313 Q315:Q316 Q318:Q319 Q321:Q344">
    <cfRule type="cellIs" dxfId="506" priority="530" stopIfTrue="1" operator="greaterThanOrEqual">
      <formula>70</formula>
    </cfRule>
    <cfRule type="cellIs" dxfId="505" priority="531" stopIfTrue="1" operator="between">
      <formula>60</formula>
      <formula>69.999999</formula>
    </cfRule>
    <cfRule type="cellIs" dxfId="504" priority="532" stopIfTrue="1" operator="between">
      <formula>50</formula>
      <formula>59.9999</formula>
    </cfRule>
    <cfRule type="cellIs" dxfId="503" priority="533" stopIfTrue="1" operator="lessThanOrEqual">
      <formula>50</formula>
    </cfRule>
  </conditionalFormatting>
  <conditionalFormatting sqref="E388 B387:E387">
    <cfRule type="cellIs" dxfId="502" priority="527" operator="equal">
      <formula>"CLB close command by firmware"</formula>
    </cfRule>
    <cfRule type="cellIs" dxfId="501" priority="528" operator="equal">
      <formula>"CLB will have no effect"</formula>
    </cfRule>
    <cfRule type="cellIs" dxfId="500" priority="529" operator="equal">
      <formula>"Heartbeat of iiSC board to CLB board will stop."</formula>
    </cfRule>
  </conditionalFormatting>
  <conditionalFormatting sqref="O394">
    <cfRule type="cellIs" dxfId="499" priority="482" operator="equal">
      <formula>"CLB close command by firmware"</formula>
    </cfRule>
    <cfRule type="cellIs" dxfId="498" priority="483" operator="equal">
      <formula>"CLB will have no effect"</formula>
    </cfRule>
    <cfRule type="cellIs" dxfId="497" priority="484" operator="equal">
      <formula>"Heartbeat of iiSC board to CLB board will stop."</formula>
    </cfRule>
  </conditionalFormatting>
  <conditionalFormatting sqref="E390 B389:E389">
    <cfRule type="cellIs" dxfId="496" priority="524" operator="equal">
      <formula>"CLB close command by firmware"</formula>
    </cfRule>
    <cfRule type="cellIs" dxfId="495" priority="525" operator="equal">
      <formula>"CLB will have no effect"</formula>
    </cfRule>
    <cfRule type="cellIs" dxfId="494" priority="526" operator="equal">
      <formula>"Heartbeat of iiSC board to CLB board will stop."</formula>
    </cfRule>
  </conditionalFormatting>
  <conditionalFormatting sqref="J390:K390 P389 O390:P390 M390">
    <cfRule type="cellIs" dxfId="493" priority="521" operator="equal">
      <formula>"CLB close command by firmware"</formula>
    </cfRule>
    <cfRule type="cellIs" dxfId="492" priority="522" operator="equal">
      <formula>"CLB will have no effect"</formula>
    </cfRule>
    <cfRule type="cellIs" dxfId="491" priority="523" operator="equal">
      <formula>"Heartbeat of iiSC board to CLB board will stop."</formula>
    </cfRule>
  </conditionalFormatting>
  <conditionalFormatting sqref="H393 O393:P393 J393:K393 M393:M394">
    <cfRule type="cellIs" dxfId="490" priority="494" operator="equal">
      <formula>"CLB close command by firmware"</formula>
    </cfRule>
    <cfRule type="cellIs" dxfId="489" priority="495" operator="equal">
      <formula>"CLB will have no effect"</formula>
    </cfRule>
    <cfRule type="cellIs" dxfId="488" priority="496" operator="equal">
      <formula>"Heartbeat of iiSC board to CLB board will stop."</formula>
    </cfRule>
  </conditionalFormatting>
  <conditionalFormatting sqref="M390:M391">
    <cfRule type="cellIs" dxfId="487" priority="518" stopIfTrue="1" operator="greaterThanOrEqual">
      <formula>15</formula>
    </cfRule>
    <cfRule type="cellIs" dxfId="486" priority="519" stopIfTrue="1" operator="between">
      <formula>7</formula>
      <formula>14</formula>
    </cfRule>
    <cfRule type="cellIs" dxfId="485" priority="520" stopIfTrue="1" operator="lessThan">
      <formula>7</formula>
    </cfRule>
  </conditionalFormatting>
  <conditionalFormatting sqref="D383:E383 E384">
    <cfRule type="cellIs" dxfId="484" priority="515" operator="equal">
      <formula>"CLB close command by firmware"</formula>
    </cfRule>
    <cfRule type="cellIs" dxfId="483" priority="516" operator="equal">
      <formula>"CLB will have no effect"</formula>
    </cfRule>
    <cfRule type="cellIs" dxfId="482" priority="517" operator="equal">
      <formula>"Heartbeat of iiSC board to CLB board will stop."</formula>
    </cfRule>
  </conditionalFormatting>
  <conditionalFormatting sqref="B383:C383">
    <cfRule type="cellIs" dxfId="481" priority="512" operator="equal">
      <formula>"CLB close command by firmware"</formula>
    </cfRule>
    <cfRule type="cellIs" dxfId="480" priority="513" operator="equal">
      <formula>"CLB will have no effect"</formula>
    </cfRule>
    <cfRule type="cellIs" dxfId="479" priority="514" operator="equal">
      <formula>"Heartbeat of iiSC board to CLB board will stop."</formula>
    </cfRule>
  </conditionalFormatting>
  <conditionalFormatting sqref="F383:G384">
    <cfRule type="cellIs" dxfId="478" priority="509" operator="equal">
      <formula>"CLB close command by firmware"</formula>
    </cfRule>
    <cfRule type="cellIs" dxfId="477" priority="510" operator="equal">
      <formula>"CLB will have no effect"</formula>
    </cfRule>
    <cfRule type="cellIs" dxfId="476" priority="511" operator="equal">
      <formula>"Heartbeat of iiSC board to CLB board will stop."</formula>
    </cfRule>
  </conditionalFormatting>
  <conditionalFormatting sqref="O383:P383 P384">
    <cfRule type="cellIs" dxfId="475" priority="506" operator="equal">
      <formula>"CLB close command by firmware"</formula>
    </cfRule>
    <cfRule type="cellIs" dxfId="474" priority="507" operator="equal">
      <formula>"CLB will have no effect"</formula>
    </cfRule>
    <cfRule type="cellIs" dxfId="473" priority="508" operator="equal">
      <formula>"Heartbeat of iiSC board to CLB board will stop."</formula>
    </cfRule>
  </conditionalFormatting>
  <conditionalFormatting sqref="H383:H384 J383:K384">
    <cfRule type="cellIs" dxfId="472" priority="503" operator="equal">
      <formula>"CLB close command by firmware"</formula>
    </cfRule>
    <cfRule type="cellIs" dxfId="471" priority="504" operator="equal">
      <formula>"CLB will have no effect"</formula>
    </cfRule>
    <cfRule type="cellIs" dxfId="470" priority="505" operator="equal">
      <formula>"Heartbeat of iiSC board to CLB board will stop."</formula>
    </cfRule>
  </conditionalFormatting>
  <conditionalFormatting sqref="O384">
    <cfRule type="cellIs" dxfId="469" priority="500" operator="equal">
      <formula>"CLB close command by firmware"</formula>
    </cfRule>
    <cfRule type="cellIs" dxfId="468" priority="501" operator="equal">
      <formula>"CLB will have no effect"</formula>
    </cfRule>
    <cfRule type="cellIs" dxfId="467" priority="502" operator="equal">
      <formula>"Heartbeat of iiSC board to CLB board will stop."</formula>
    </cfRule>
  </conditionalFormatting>
  <conditionalFormatting sqref="F393:G394">
    <cfRule type="cellIs" dxfId="466" priority="497" operator="equal">
      <formula>"CLB close command by firmware"</formula>
    </cfRule>
    <cfRule type="cellIs" dxfId="465" priority="498" operator="equal">
      <formula>"CLB will have no effect"</formula>
    </cfRule>
    <cfRule type="cellIs" dxfId="464" priority="499" operator="equal">
      <formula>"Heartbeat of iiSC board to CLB board will stop."</formula>
    </cfRule>
  </conditionalFormatting>
  <conditionalFormatting sqref="M393">
    <cfRule type="cellIs" dxfId="463" priority="491" stopIfTrue="1" operator="greaterThanOrEqual">
      <formula>15</formula>
    </cfRule>
    <cfRule type="cellIs" dxfId="462" priority="492" stopIfTrue="1" operator="between">
      <formula>7</formula>
      <formula>14</formula>
    </cfRule>
    <cfRule type="cellIs" dxfId="461" priority="493" stopIfTrue="1" operator="lessThan">
      <formula>7</formula>
    </cfRule>
  </conditionalFormatting>
  <conditionalFormatting sqref="M394">
    <cfRule type="cellIs" dxfId="460" priority="488" stopIfTrue="1" operator="greaterThanOrEqual">
      <formula>15</formula>
    </cfRule>
    <cfRule type="cellIs" dxfId="459" priority="489" stopIfTrue="1" operator="between">
      <formula>7</formula>
      <formula>14</formula>
    </cfRule>
    <cfRule type="cellIs" dxfId="458" priority="490" stopIfTrue="1" operator="lessThan">
      <formula>7</formula>
    </cfRule>
  </conditionalFormatting>
  <conditionalFormatting sqref="J394:K394">
    <cfRule type="cellIs" dxfId="457" priority="485" operator="equal">
      <formula>"CLB close command by firmware"</formula>
    </cfRule>
    <cfRule type="cellIs" dxfId="456" priority="486" operator="equal">
      <formula>"CLB will have no effect"</formula>
    </cfRule>
    <cfRule type="cellIs" dxfId="455" priority="487" operator="equal">
      <formula>"Heartbeat of iiSC board to CLB board will stop."</formula>
    </cfRule>
  </conditionalFormatting>
  <conditionalFormatting sqref="Q241:Q246">
    <cfRule type="cellIs" dxfId="454" priority="478" stopIfTrue="1" operator="greaterThanOrEqual">
      <formula>70</formula>
    </cfRule>
    <cfRule type="cellIs" dxfId="453" priority="479" stopIfTrue="1" operator="between">
      <formula>60</formula>
      <formula>69.999999</formula>
    </cfRule>
    <cfRule type="cellIs" dxfId="452" priority="480" stopIfTrue="1" operator="between">
      <formula>50</formula>
      <formula>59.9999</formula>
    </cfRule>
    <cfRule type="cellIs" dxfId="451" priority="481" stopIfTrue="1" operator="lessThanOrEqual">
      <formula>50</formula>
    </cfRule>
  </conditionalFormatting>
  <conditionalFormatting sqref="M335:M337">
    <cfRule type="cellIs" dxfId="450" priority="472" stopIfTrue="1" operator="greaterThanOrEqual">
      <formula>15</formula>
    </cfRule>
    <cfRule type="cellIs" dxfId="449" priority="473" stopIfTrue="1" operator="between">
      <formula>7</formula>
      <formula>14</formula>
    </cfRule>
    <cfRule type="cellIs" dxfId="448" priority="474" stopIfTrue="1" operator="lessThan">
      <formula>7</formula>
    </cfRule>
  </conditionalFormatting>
  <conditionalFormatting sqref="M344">
    <cfRule type="cellIs" dxfId="447" priority="469" stopIfTrue="1" operator="greaterThanOrEqual">
      <formula>15</formula>
    </cfRule>
    <cfRule type="cellIs" dxfId="446" priority="470" stopIfTrue="1" operator="between">
      <formula>7</formula>
      <formula>14</formula>
    </cfRule>
    <cfRule type="cellIs" dxfId="445" priority="471" stopIfTrue="1" operator="lessThan">
      <formula>7</formula>
    </cfRule>
  </conditionalFormatting>
  <conditionalFormatting sqref="M298:M299">
    <cfRule type="cellIs" dxfId="444" priority="475" stopIfTrue="1" operator="greaterThanOrEqual">
      <formula>15</formula>
    </cfRule>
    <cfRule type="cellIs" dxfId="443" priority="476" stopIfTrue="1" operator="between">
      <formula>7</formula>
      <formula>14</formula>
    </cfRule>
    <cfRule type="cellIs" dxfId="442" priority="477" stopIfTrue="1" operator="lessThan">
      <formula>7</formula>
    </cfRule>
  </conditionalFormatting>
  <conditionalFormatting sqref="Q381:Q382">
    <cfRule type="cellIs" dxfId="441" priority="465" stopIfTrue="1" operator="greaterThanOrEqual">
      <formula>70</formula>
    </cfRule>
    <cfRule type="cellIs" dxfId="440" priority="466" stopIfTrue="1" operator="between">
      <formula>60</formula>
      <formula>69.999999</formula>
    </cfRule>
    <cfRule type="cellIs" dxfId="439" priority="467" stopIfTrue="1" operator="between">
      <formula>50</formula>
      <formula>59.9999</formula>
    </cfRule>
    <cfRule type="cellIs" dxfId="438" priority="468" stopIfTrue="1" operator="lessThanOrEqual">
      <formula>50</formula>
    </cfRule>
  </conditionalFormatting>
  <conditionalFormatting sqref="M276">
    <cfRule type="cellIs" dxfId="437" priority="462" stopIfTrue="1" operator="greaterThanOrEqual">
      <formula>15</formula>
    </cfRule>
    <cfRule type="cellIs" dxfId="436" priority="463" stopIfTrue="1" operator="between">
      <formula>7</formula>
      <formula>14</formula>
    </cfRule>
    <cfRule type="cellIs" dxfId="435" priority="464" stopIfTrue="1" operator="lessThan">
      <formula>7</formula>
    </cfRule>
  </conditionalFormatting>
  <conditionalFormatting sqref="Q238:Q240">
    <cfRule type="cellIs" dxfId="434" priority="458" stopIfTrue="1" operator="greaterThanOrEqual">
      <formula>70</formula>
    </cfRule>
    <cfRule type="cellIs" dxfId="433" priority="459" stopIfTrue="1" operator="between">
      <formula>60</formula>
      <formula>69.999999</formula>
    </cfRule>
    <cfRule type="cellIs" dxfId="432" priority="460" stopIfTrue="1" operator="between">
      <formula>50</formula>
      <formula>59.9999</formula>
    </cfRule>
    <cfRule type="cellIs" dxfId="431" priority="461" stopIfTrue="1" operator="lessThanOrEqual">
      <formula>50</formula>
    </cfRule>
  </conditionalFormatting>
  <conditionalFormatting sqref="Q247:Q248">
    <cfRule type="cellIs" dxfId="430" priority="454" stopIfTrue="1" operator="greaterThanOrEqual">
      <formula>70</formula>
    </cfRule>
    <cfRule type="cellIs" dxfId="429" priority="455" stopIfTrue="1" operator="between">
      <formula>60</formula>
      <formula>69.999999</formula>
    </cfRule>
    <cfRule type="cellIs" dxfId="428" priority="456" stopIfTrue="1" operator="between">
      <formula>50</formula>
      <formula>59.9999</formula>
    </cfRule>
    <cfRule type="cellIs" dxfId="427" priority="457" stopIfTrue="1" operator="lessThanOrEqual">
      <formula>50</formula>
    </cfRule>
  </conditionalFormatting>
  <conditionalFormatting sqref="Q249:Q252">
    <cfRule type="cellIs" dxfId="426" priority="450" stopIfTrue="1" operator="greaterThanOrEqual">
      <formula>70</formula>
    </cfRule>
    <cfRule type="cellIs" dxfId="425" priority="451" stopIfTrue="1" operator="between">
      <formula>60</formula>
      <formula>69.999999</formula>
    </cfRule>
    <cfRule type="cellIs" dxfId="424" priority="452" stopIfTrue="1" operator="between">
      <formula>50</formula>
      <formula>59.9999</formula>
    </cfRule>
    <cfRule type="cellIs" dxfId="423" priority="453" stopIfTrue="1" operator="lessThanOrEqual">
      <formula>50</formula>
    </cfRule>
  </conditionalFormatting>
  <conditionalFormatting sqref="Q253:Q254">
    <cfRule type="cellIs" dxfId="422" priority="446" stopIfTrue="1" operator="greaterThanOrEqual">
      <formula>70</formula>
    </cfRule>
    <cfRule type="cellIs" dxfId="421" priority="447" stopIfTrue="1" operator="between">
      <formula>60</formula>
      <formula>69.999999</formula>
    </cfRule>
    <cfRule type="cellIs" dxfId="420" priority="448" stopIfTrue="1" operator="between">
      <formula>50</formula>
      <formula>59.9999</formula>
    </cfRule>
    <cfRule type="cellIs" dxfId="419" priority="449" stopIfTrue="1" operator="lessThanOrEqual">
      <formula>50</formula>
    </cfRule>
  </conditionalFormatting>
  <conditionalFormatting sqref="Q255:Q256">
    <cfRule type="cellIs" dxfId="418" priority="442" stopIfTrue="1" operator="greaterThanOrEqual">
      <formula>70</formula>
    </cfRule>
    <cfRule type="cellIs" dxfId="417" priority="443" stopIfTrue="1" operator="between">
      <formula>60</formula>
      <formula>69.999999</formula>
    </cfRule>
    <cfRule type="cellIs" dxfId="416" priority="444" stopIfTrue="1" operator="between">
      <formula>50</formula>
      <formula>59.9999</formula>
    </cfRule>
    <cfRule type="cellIs" dxfId="415" priority="445" stopIfTrue="1" operator="lessThanOrEqual">
      <formula>50</formula>
    </cfRule>
  </conditionalFormatting>
  <conditionalFormatting sqref="Q257:Q258">
    <cfRule type="cellIs" dxfId="414" priority="438" stopIfTrue="1" operator="greaterThanOrEqual">
      <formula>70</formula>
    </cfRule>
    <cfRule type="cellIs" dxfId="413" priority="439" stopIfTrue="1" operator="between">
      <formula>60</formula>
      <formula>69.999999</formula>
    </cfRule>
    <cfRule type="cellIs" dxfId="412" priority="440" stopIfTrue="1" operator="between">
      <formula>50</formula>
      <formula>59.9999</formula>
    </cfRule>
    <cfRule type="cellIs" dxfId="411" priority="441" stopIfTrue="1" operator="lessThanOrEqual">
      <formula>50</formula>
    </cfRule>
  </conditionalFormatting>
  <conditionalFormatting sqref="Q259:Q260">
    <cfRule type="cellIs" dxfId="410" priority="434" stopIfTrue="1" operator="greaterThanOrEqual">
      <formula>70</formula>
    </cfRule>
    <cfRule type="cellIs" dxfId="409" priority="435" stopIfTrue="1" operator="between">
      <formula>60</formula>
      <formula>69.999999</formula>
    </cfRule>
    <cfRule type="cellIs" dxfId="408" priority="436" stopIfTrue="1" operator="between">
      <formula>50</formula>
      <formula>59.9999</formula>
    </cfRule>
    <cfRule type="cellIs" dxfId="407" priority="437" stopIfTrue="1" operator="lessThanOrEqual">
      <formula>50</formula>
    </cfRule>
  </conditionalFormatting>
  <conditionalFormatting sqref="Q261:Q262">
    <cfRule type="cellIs" dxfId="406" priority="430" stopIfTrue="1" operator="greaterThanOrEqual">
      <formula>70</formula>
    </cfRule>
    <cfRule type="cellIs" dxfId="405" priority="431" stopIfTrue="1" operator="between">
      <formula>60</formula>
      <formula>69.999999</formula>
    </cfRule>
    <cfRule type="cellIs" dxfId="404" priority="432" stopIfTrue="1" operator="between">
      <formula>50</formula>
      <formula>59.9999</formula>
    </cfRule>
    <cfRule type="cellIs" dxfId="403" priority="433" stopIfTrue="1" operator="lessThanOrEqual">
      <formula>50</formula>
    </cfRule>
  </conditionalFormatting>
  <conditionalFormatting sqref="Q263:Q264">
    <cfRule type="cellIs" dxfId="402" priority="426" stopIfTrue="1" operator="greaterThanOrEqual">
      <formula>70</formula>
    </cfRule>
    <cfRule type="cellIs" dxfId="401" priority="427" stopIfTrue="1" operator="between">
      <formula>60</formula>
      <formula>69.999999</formula>
    </cfRule>
    <cfRule type="cellIs" dxfId="400" priority="428" stopIfTrue="1" operator="between">
      <formula>50</formula>
      <formula>59.9999</formula>
    </cfRule>
    <cfRule type="cellIs" dxfId="399" priority="429" stopIfTrue="1" operator="lessThanOrEqual">
      <formula>50</formula>
    </cfRule>
  </conditionalFormatting>
  <conditionalFormatting sqref="M252">
    <cfRule type="cellIs" dxfId="398" priority="423" stopIfTrue="1" operator="greaterThanOrEqual">
      <formula>15</formula>
    </cfRule>
    <cfRule type="cellIs" dxfId="397" priority="424" stopIfTrue="1" operator="between">
      <formula>7</formula>
      <formula>14</formula>
    </cfRule>
    <cfRule type="cellIs" dxfId="396" priority="425" stopIfTrue="1" operator="lessThan">
      <formula>7</formula>
    </cfRule>
  </conditionalFormatting>
  <conditionalFormatting sqref="M258">
    <cfRule type="cellIs" dxfId="395" priority="420" stopIfTrue="1" operator="greaterThanOrEqual">
      <formula>15</formula>
    </cfRule>
    <cfRule type="cellIs" dxfId="394" priority="421" stopIfTrue="1" operator="between">
      <formula>7</formula>
      <formula>14</formula>
    </cfRule>
    <cfRule type="cellIs" dxfId="393" priority="422" stopIfTrue="1" operator="lessThan">
      <formula>7</formula>
    </cfRule>
  </conditionalFormatting>
  <conditionalFormatting sqref="M264">
    <cfRule type="cellIs" dxfId="392" priority="417" stopIfTrue="1" operator="greaterThanOrEqual">
      <formula>15</formula>
    </cfRule>
    <cfRule type="cellIs" dxfId="391" priority="418" stopIfTrue="1" operator="between">
      <formula>7</formula>
      <formula>14</formula>
    </cfRule>
    <cfRule type="cellIs" dxfId="390" priority="419" stopIfTrue="1" operator="lessThan">
      <formula>7</formula>
    </cfRule>
  </conditionalFormatting>
  <conditionalFormatting sqref="M272">
    <cfRule type="cellIs" dxfId="389" priority="414" stopIfTrue="1" operator="greaterThanOrEqual">
      <formula>15</formula>
    </cfRule>
    <cfRule type="cellIs" dxfId="388" priority="415" stopIfTrue="1" operator="between">
      <formula>7</formula>
      <formula>14</formula>
    </cfRule>
    <cfRule type="cellIs" dxfId="387" priority="416" stopIfTrue="1" operator="lessThan">
      <formula>7</formula>
    </cfRule>
  </conditionalFormatting>
  <conditionalFormatting sqref="M271">
    <cfRule type="cellIs" dxfId="386" priority="411" stopIfTrue="1" operator="greaterThanOrEqual">
      <formula>15</formula>
    </cfRule>
    <cfRule type="cellIs" dxfId="385" priority="412" stopIfTrue="1" operator="between">
      <formula>7</formula>
      <formula>14</formula>
    </cfRule>
    <cfRule type="cellIs" dxfId="384" priority="413" stopIfTrue="1" operator="lessThan">
      <formula>7</formula>
    </cfRule>
  </conditionalFormatting>
  <conditionalFormatting sqref="M273">
    <cfRule type="cellIs" dxfId="383" priority="408" stopIfTrue="1" operator="greaterThanOrEqual">
      <formula>15</formula>
    </cfRule>
    <cfRule type="cellIs" dxfId="382" priority="409" stopIfTrue="1" operator="between">
      <formula>7</formula>
      <formula>14</formula>
    </cfRule>
    <cfRule type="cellIs" dxfId="381" priority="410" stopIfTrue="1" operator="lessThan">
      <formula>7</formula>
    </cfRule>
  </conditionalFormatting>
  <conditionalFormatting sqref="M274">
    <cfRule type="cellIs" dxfId="380" priority="405" stopIfTrue="1" operator="greaterThanOrEqual">
      <formula>15</formula>
    </cfRule>
    <cfRule type="cellIs" dxfId="379" priority="406" stopIfTrue="1" operator="between">
      <formula>7</formula>
      <formula>14</formula>
    </cfRule>
    <cfRule type="cellIs" dxfId="378" priority="407" stopIfTrue="1" operator="lessThan">
      <formula>7</formula>
    </cfRule>
  </conditionalFormatting>
  <conditionalFormatting sqref="M277:M278">
    <cfRule type="cellIs" dxfId="377" priority="402" stopIfTrue="1" operator="greaterThanOrEqual">
      <formula>15</formula>
    </cfRule>
    <cfRule type="cellIs" dxfId="376" priority="403" stopIfTrue="1" operator="between">
      <formula>7</formula>
      <formula>14</formula>
    </cfRule>
    <cfRule type="cellIs" dxfId="375" priority="404" stopIfTrue="1" operator="lessThan">
      <formula>7</formula>
    </cfRule>
  </conditionalFormatting>
  <conditionalFormatting sqref="M288">
    <cfRule type="cellIs" dxfId="374" priority="399" stopIfTrue="1" operator="greaterThanOrEqual">
      <formula>15</formula>
    </cfRule>
    <cfRule type="cellIs" dxfId="373" priority="400" stopIfTrue="1" operator="between">
      <formula>7</formula>
      <formula>14</formula>
    </cfRule>
    <cfRule type="cellIs" dxfId="372" priority="401" stopIfTrue="1" operator="lessThan">
      <formula>7</formula>
    </cfRule>
  </conditionalFormatting>
  <conditionalFormatting sqref="M289">
    <cfRule type="cellIs" dxfId="371" priority="396" stopIfTrue="1" operator="greaterThanOrEqual">
      <formula>15</formula>
    </cfRule>
    <cfRule type="cellIs" dxfId="370" priority="397" stopIfTrue="1" operator="between">
      <formula>7</formula>
      <formula>14</formula>
    </cfRule>
    <cfRule type="cellIs" dxfId="369" priority="398" stopIfTrue="1" operator="lessThan">
      <formula>7</formula>
    </cfRule>
  </conditionalFormatting>
  <conditionalFormatting sqref="M286">
    <cfRule type="cellIs" dxfId="368" priority="393" stopIfTrue="1" operator="greaterThanOrEqual">
      <formula>15</formula>
    </cfRule>
    <cfRule type="cellIs" dxfId="367" priority="394" stopIfTrue="1" operator="between">
      <formula>7</formula>
      <formula>14</formula>
    </cfRule>
    <cfRule type="cellIs" dxfId="366" priority="395" stopIfTrue="1" operator="lessThan">
      <formula>7</formula>
    </cfRule>
  </conditionalFormatting>
  <conditionalFormatting sqref="M287">
    <cfRule type="cellIs" dxfId="365" priority="390" stopIfTrue="1" operator="greaterThanOrEqual">
      <formula>15</formula>
    </cfRule>
    <cfRule type="cellIs" dxfId="364" priority="391" stopIfTrue="1" operator="between">
      <formula>7</formula>
      <formula>14</formula>
    </cfRule>
    <cfRule type="cellIs" dxfId="363" priority="392" stopIfTrue="1" operator="lessThan">
      <formula>7</formula>
    </cfRule>
  </conditionalFormatting>
  <conditionalFormatting sqref="M290">
    <cfRule type="cellIs" dxfId="362" priority="387" stopIfTrue="1" operator="greaterThanOrEqual">
      <formula>15</formula>
    </cfRule>
    <cfRule type="cellIs" dxfId="361" priority="388" stopIfTrue="1" operator="between">
      <formula>7</formula>
      <formula>14</formula>
    </cfRule>
    <cfRule type="cellIs" dxfId="360" priority="389" stopIfTrue="1" operator="lessThan">
      <formula>7</formula>
    </cfRule>
  </conditionalFormatting>
  <conditionalFormatting sqref="M291">
    <cfRule type="cellIs" dxfId="359" priority="384" stopIfTrue="1" operator="greaterThanOrEqual">
      <formula>15</formula>
    </cfRule>
    <cfRule type="cellIs" dxfId="358" priority="385" stopIfTrue="1" operator="between">
      <formula>7</formula>
      <formula>14</formula>
    </cfRule>
    <cfRule type="cellIs" dxfId="357" priority="386" stopIfTrue="1" operator="lessThan">
      <formula>7</formula>
    </cfRule>
  </conditionalFormatting>
  <conditionalFormatting sqref="M300:M301">
    <cfRule type="cellIs" dxfId="356" priority="381" stopIfTrue="1" operator="greaterThanOrEqual">
      <formula>15</formula>
    </cfRule>
    <cfRule type="cellIs" dxfId="355" priority="382" stopIfTrue="1" operator="between">
      <formula>7</formula>
      <formula>14</formula>
    </cfRule>
    <cfRule type="cellIs" dxfId="354" priority="383" stopIfTrue="1" operator="lessThan">
      <formula>7</formula>
    </cfRule>
  </conditionalFormatting>
  <conditionalFormatting sqref="M302:M303">
    <cfRule type="cellIs" dxfId="353" priority="378" stopIfTrue="1" operator="greaterThanOrEqual">
      <formula>15</formula>
    </cfRule>
    <cfRule type="cellIs" dxfId="352" priority="379" stopIfTrue="1" operator="between">
      <formula>7</formula>
      <formula>14</formula>
    </cfRule>
    <cfRule type="cellIs" dxfId="351" priority="380" stopIfTrue="1" operator="lessThan">
      <formula>7</formula>
    </cfRule>
  </conditionalFormatting>
  <conditionalFormatting sqref="M304:M305">
    <cfRule type="cellIs" dxfId="350" priority="375" stopIfTrue="1" operator="greaterThanOrEqual">
      <formula>15</formula>
    </cfRule>
    <cfRule type="cellIs" dxfId="349" priority="376" stopIfTrue="1" operator="between">
      <formula>7</formula>
      <formula>14</formula>
    </cfRule>
    <cfRule type="cellIs" dxfId="348" priority="377" stopIfTrue="1" operator="lessThan">
      <formula>7</formula>
    </cfRule>
  </conditionalFormatting>
  <conditionalFormatting sqref="M306:M307">
    <cfRule type="cellIs" dxfId="347" priority="372" stopIfTrue="1" operator="greaterThanOrEqual">
      <formula>15</formula>
    </cfRule>
    <cfRule type="cellIs" dxfId="346" priority="373" stopIfTrue="1" operator="between">
      <formula>7</formula>
      <formula>14</formula>
    </cfRule>
    <cfRule type="cellIs" dxfId="345" priority="374" stopIfTrue="1" operator="lessThan">
      <formula>7</formula>
    </cfRule>
  </conditionalFormatting>
  <conditionalFormatting sqref="M308:M309">
    <cfRule type="cellIs" dxfId="344" priority="369" stopIfTrue="1" operator="greaterThanOrEqual">
      <formula>15</formula>
    </cfRule>
    <cfRule type="cellIs" dxfId="343" priority="370" stopIfTrue="1" operator="between">
      <formula>7</formula>
      <formula>14</formula>
    </cfRule>
    <cfRule type="cellIs" dxfId="342" priority="371" stopIfTrue="1" operator="lessThan">
      <formula>7</formula>
    </cfRule>
  </conditionalFormatting>
  <conditionalFormatting sqref="M310:M311">
    <cfRule type="cellIs" dxfId="341" priority="366" stopIfTrue="1" operator="greaterThanOrEqual">
      <formula>15</formula>
    </cfRule>
    <cfRule type="cellIs" dxfId="340" priority="367" stopIfTrue="1" operator="between">
      <formula>7</formula>
      <formula>14</formula>
    </cfRule>
    <cfRule type="cellIs" dxfId="339" priority="368" stopIfTrue="1" operator="lessThan">
      <formula>7</formula>
    </cfRule>
  </conditionalFormatting>
  <conditionalFormatting sqref="M275">
    <cfRule type="cellIs" dxfId="338" priority="363" stopIfTrue="1" operator="greaterThanOrEqual">
      <formula>15</formula>
    </cfRule>
    <cfRule type="cellIs" dxfId="337" priority="364" stopIfTrue="1" operator="between">
      <formula>7</formula>
      <formula>14</formula>
    </cfRule>
    <cfRule type="cellIs" dxfId="336" priority="365" stopIfTrue="1" operator="lessThan">
      <formula>7</formula>
    </cfRule>
  </conditionalFormatting>
  <conditionalFormatting sqref="M321:M322">
    <cfRule type="cellIs" dxfId="335" priority="360" stopIfTrue="1" operator="greaterThanOrEqual">
      <formula>15</formula>
    </cfRule>
    <cfRule type="cellIs" dxfId="334" priority="361" stopIfTrue="1" operator="between">
      <formula>7</formula>
      <formula>14</formula>
    </cfRule>
    <cfRule type="cellIs" dxfId="333" priority="362" stopIfTrue="1" operator="lessThan">
      <formula>7</formula>
    </cfRule>
  </conditionalFormatting>
  <conditionalFormatting sqref="M323:M324">
    <cfRule type="cellIs" dxfId="332" priority="357" stopIfTrue="1" operator="greaterThanOrEqual">
      <formula>15</formula>
    </cfRule>
    <cfRule type="cellIs" dxfId="331" priority="358" stopIfTrue="1" operator="between">
      <formula>7</formula>
      <formula>14</formula>
    </cfRule>
    <cfRule type="cellIs" dxfId="330" priority="359" stopIfTrue="1" operator="lessThan">
      <formula>7</formula>
    </cfRule>
  </conditionalFormatting>
  <conditionalFormatting sqref="M325:M326">
    <cfRule type="cellIs" dxfId="329" priority="354" stopIfTrue="1" operator="greaterThanOrEqual">
      <formula>15</formula>
    </cfRule>
    <cfRule type="cellIs" dxfId="328" priority="355" stopIfTrue="1" operator="between">
      <formula>7</formula>
      <formula>14</formula>
    </cfRule>
    <cfRule type="cellIs" dxfId="327" priority="356" stopIfTrue="1" operator="lessThan">
      <formula>7</formula>
    </cfRule>
  </conditionalFormatting>
  <conditionalFormatting sqref="M327:M328">
    <cfRule type="cellIs" dxfId="326" priority="351" stopIfTrue="1" operator="greaterThanOrEqual">
      <formula>15</formula>
    </cfRule>
    <cfRule type="cellIs" dxfId="325" priority="352" stopIfTrue="1" operator="between">
      <formula>7</formula>
      <formula>14</formula>
    </cfRule>
    <cfRule type="cellIs" dxfId="324" priority="353" stopIfTrue="1" operator="lessThan">
      <formula>7</formula>
    </cfRule>
  </conditionalFormatting>
  <conditionalFormatting sqref="M329:M330">
    <cfRule type="cellIs" dxfId="323" priority="348" stopIfTrue="1" operator="greaterThanOrEqual">
      <formula>15</formula>
    </cfRule>
    <cfRule type="cellIs" dxfId="322" priority="349" stopIfTrue="1" operator="between">
      <formula>7</formula>
      <formula>14</formula>
    </cfRule>
    <cfRule type="cellIs" dxfId="321" priority="350" stopIfTrue="1" operator="lessThan">
      <formula>7</formula>
    </cfRule>
  </conditionalFormatting>
  <conditionalFormatting sqref="M331:M332">
    <cfRule type="cellIs" dxfId="320" priority="345" stopIfTrue="1" operator="greaterThanOrEqual">
      <formula>15</formula>
    </cfRule>
    <cfRule type="cellIs" dxfId="319" priority="346" stopIfTrue="1" operator="between">
      <formula>7</formula>
      <formula>14</formula>
    </cfRule>
    <cfRule type="cellIs" dxfId="318" priority="347" stopIfTrue="1" operator="lessThan">
      <formula>7</formula>
    </cfRule>
  </conditionalFormatting>
  <conditionalFormatting sqref="M333:M334">
    <cfRule type="cellIs" dxfId="317" priority="342" stopIfTrue="1" operator="greaterThanOrEqual">
      <formula>15</formula>
    </cfRule>
    <cfRule type="cellIs" dxfId="316" priority="343" stopIfTrue="1" operator="between">
      <formula>7</formula>
      <formula>14</formula>
    </cfRule>
    <cfRule type="cellIs" dxfId="315" priority="344" stopIfTrue="1" operator="lessThan">
      <formula>7</formula>
    </cfRule>
  </conditionalFormatting>
  <conditionalFormatting sqref="Q378:Q379">
    <cfRule type="cellIs" dxfId="314" priority="338" stopIfTrue="1" operator="greaterThanOrEqual">
      <formula>70</formula>
    </cfRule>
    <cfRule type="cellIs" dxfId="313" priority="339" stopIfTrue="1" operator="between">
      <formula>60</formula>
      <formula>69.999999</formula>
    </cfRule>
    <cfRule type="cellIs" dxfId="312" priority="340" stopIfTrue="1" operator="between">
      <formula>50</formula>
      <formula>59.9999</formula>
    </cfRule>
    <cfRule type="cellIs" dxfId="311" priority="341" stopIfTrue="1" operator="lessThanOrEqual">
      <formula>50</formula>
    </cfRule>
  </conditionalFormatting>
  <conditionalFormatting sqref="M378:M379">
    <cfRule type="cellIs" dxfId="310" priority="335" stopIfTrue="1" operator="greaterThanOrEqual">
      <formula>15</formula>
    </cfRule>
    <cfRule type="cellIs" dxfId="309" priority="336" stopIfTrue="1" operator="between">
      <formula>7</formula>
      <formula>14</formula>
    </cfRule>
    <cfRule type="cellIs" dxfId="308" priority="337" stopIfTrue="1" operator="lessThan">
      <formula>7</formula>
    </cfRule>
  </conditionalFormatting>
  <conditionalFormatting sqref="M381:M382">
    <cfRule type="cellIs" dxfId="307" priority="332" stopIfTrue="1" operator="greaterThanOrEqual">
      <formula>15</formula>
    </cfRule>
    <cfRule type="cellIs" dxfId="306" priority="333" stopIfTrue="1" operator="between">
      <formula>7</formula>
      <formula>14</formula>
    </cfRule>
    <cfRule type="cellIs" dxfId="305" priority="334" stopIfTrue="1" operator="lessThan">
      <formula>7</formula>
    </cfRule>
  </conditionalFormatting>
  <conditionalFormatting sqref="E386:G386 B385:F385">
    <cfRule type="cellIs" dxfId="304" priority="329" operator="equal">
      <formula>"CLB close command by firmware"</formula>
    </cfRule>
    <cfRule type="cellIs" dxfId="303" priority="330" operator="equal">
      <formula>"CLB will have no effect"</formula>
    </cfRule>
    <cfRule type="cellIs" dxfId="302" priority="331" operator="equal">
      <formula>"Heartbeat of iiSC board to CLB board will stop."</formula>
    </cfRule>
  </conditionalFormatting>
  <conditionalFormatting sqref="M385">
    <cfRule type="cellIs" dxfId="301" priority="326" stopIfTrue="1" operator="greaterThanOrEqual">
      <formula>15</formula>
    </cfRule>
    <cfRule type="cellIs" dxfId="300" priority="327" stopIfTrue="1" operator="between">
      <formula>7</formula>
      <formula>14</formula>
    </cfRule>
    <cfRule type="cellIs" dxfId="299" priority="328" stopIfTrue="1" operator="lessThan">
      <formula>7</formula>
    </cfRule>
  </conditionalFormatting>
  <conditionalFormatting sqref="H386 P385 O386:P386 J385:K386 M385:M386">
    <cfRule type="cellIs" dxfId="298" priority="323" operator="equal">
      <formula>"CLB close command by firmware"</formula>
    </cfRule>
    <cfRule type="cellIs" dxfId="297" priority="324" operator="equal">
      <formula>"CLB will have no effect"</formula>
    </cfRule>
    <cfRule type="cellIs" dxfId="296" priority="325" operator="equal">
      <formula>"Heartbeat of iiSC board to CLB board will stop."</formula>
    </cfRule>
  </conditionalFormatting>
  <conditionalFormatting sqref="M386:M387">
    <cfRule type="cellIs" dxfId="295" priority="320" stopIfTrue="1" operator="greaterThanOrEqual">
      <formula>15</formula>
    </cfRule>
    <cfRule type="cellIs" dxfId="294" priority="321" stopIfTrue="1" operator="between">
      <formula>7</formula>
      <formula>14</formula>
    </cfRule>
    <cfRule type="cellIs" dxfId="293" priority="322" stopIfTrue="1" operator="lessThan">
      <formula>7</formula>
    </cfRule>
  </conditionalFormatting>
  <conditionalFormatting sqref="G385">
    <cfRule type="cellIs" dxfId="292" priority="317" operator="equal">
      <formula>"CLB close command by firmware"</formula>
    </cfRule>
    <cfRule type="cellIs" dxfId="291" priority="318" operator="equal">
      <formula>"CLB will have no effect"</formula>
    </cfRule>
    <cfRule type="cellIs" dxfId="290" priority="319" operator="equal">
      <formula>"Heartbeat of iiSC board to CLB board will stop."</formula>
    </cfRule>
  </conditionalFormatting>
  <conditionalFormatting sqref="H385">
    <cfRule type="cellIs" dxfId="289" priority="314" operator="equal">
      <formula>"CLB close command by firmware"</formula>
    </cfRule>
    <cfRule type="cellIs" dxfId="288" priority="315" operator="equal">
      <formula>"CLB will have no effect"</formula>
    </cfRule>
    <cfRule type="cellIs" dxfId="287" priority="316" operator="equal">
      <formula>"Heartbeat of iiSC board to CLB board will stop."</formula>
    </cfRule>
  </conditionalFormatting>
  <conditionalFormatting sqref="F387:G387">
    <cfRule type="cellIs" dxfId="286" priority="311" operator="equal">
      <formula>"CLB close command by firmware"</formula>
    </cfRule>
    <cfRule type="cellIs" dxfId="285" priority="312" operator="equal">
      <formula>"CLB will have no effect"</formula>
    </cfRule>
    <cfRule type="cellIs" dxfId="284" priority="313" operator="equal">
      <formula>"Heartbeat of iiSC board to CLB board will stop."</formula>
    </cfRule>
  </conditionalFormatting>
  <conditionalFormatting sqref="H387 O387:P387 J387:K387 M387">
    <cfRule type="cellIs" dxfId="283" priority="308" operator="equal">
      <formula>"CLB close command by firmware"</formula>
    </cfRule>
    <cfRule type="cellIs" dxfId="282" priority="309" operator="equal">
      <formula>"CLB will have no effect"</formula>
    </cfRule>
    <cfRule type="cellIs" dxfId="281" priority="310" operator="equal">
      <formula>"Heartbeat of iiSC board to CLB board will stop."</formula>
    </cfRule>
  </conditionalFormatting>
  <conditionalFormatting sqref="F388">
    <cfRule type="cellIs" dxfId="280" priority="305" operator="equal">
      <formula>"CLB close command by firmware"</formula>
    </cfRule>
    <cfRule type="cellIs" dxfId="279" priority="306" operator="equal">
      <formula>"CLB will have no effect"</formula>
    </cfRule>
    <cfRule type="cellIs" dxfId="278" priority="307" operator="equal">
      <formula>"Heartbeat of iiSC board to CLB board will stop."</formula>
    </cfRule>
  </conditionalFormatting>
  <conditionalFormatting sqref="M388">
    <cfRule type="cellIs" dxfId="277" priority="302" stopIfTrue="1" operator="greaterThanOrEqual">
      <formula>15</formula>
    </cfRule>
    <cfRule type="cellIs" dxfId="276" priority="303" stopIfTrue="1" operator="between">
      <formula>7</formula>
      <formula>14</formula>
    </cfRule>
    <cfRule type="cellIs" dxfId="275" priority="304" stopIfTrue="1" operator="lessThan">
      <formula>7</formula>
    </cfRule>
  </conditionalFormatting>
  <conditionalFormatting sqref="J388:K388 P388 M388">
    <cfRule type="cellIs" dxfId="274" priority="299" operator="equal">
      <formula>"CLB close command by firmware"</formula>
    </cfRule>
    <cfRule type="cellIs" dxfId="273" priority="300" operator="equal">
      <formula>"CLB will have no effect"</formula>
    </cfRule>
    <cfRule type="cellIs" dxfId="272" priority="301" operator="equal">
      <formula>"Heartbeat of iiSC board to CLB board will stop."</formula>
    </cfRule>
  </conditionalFormatting>
  <conditionalFormatting sqref="G388">
    <cfRule type="cellIs" dxfId="271" priority="296" operator="equal">
      <formula>"CLB close command by firmware"</formula>
    </cfRule>
    <cfRule type="cellIs" dxfId="270" priority="297" operator="equal">
      <formula>"CLB will have no effect"</formula>
    </cfRule>
    <cfRule type="cellIs" dxfId="269" priority="298" operator="equal">
      <formula>"Heartbeat of iiSC board to CLB board will stop."</formula>
    </cfRule>
  </conditionalFormatting>
  <conditionalFormatting sqref="H388">
    <cfRule type="cellIs" dxfId="268" priority="293" operator="equal">
      <formula>"CLB close command by firmware"</formula>
    </cfRule>
    <cfRule type="cellIs" dxfId="267" priority="294" operator="equal">
      <formula>"CLB will have no effect"</formula>
    </cfRule>
    <cfRule type="cellIs" dxfId="266" priority="295" operator="equal">
      <formula>"Heartbeat of iiSC board to CLB board will stop."</formula>
    </cfRule>
  </conditionalFormatting>
  <conditionalFormatting sqref="E392 B391:E391">
    <cfRule type="cellIs" dxfId="265" priority="290" operator="equal">
      <formula>"CLB close command by firmware"</formula>
    </cfRule>
    <cfRule type="cellIs" dxfId="264" priority="291" operator="equal">
      <formula>"CLB will have no effect"</formula>
    </cfRule>
    <cfRule type="cellIs" dxfId="263" priority="292" operator="equal">
      <formula>"Heartbeat of iiSC board to CLB board will stop."</formula>
    </cfRule>
  </conditionalFormatting>
  <conditionalFormatting sqref="P392">
    <cfRule type="cellIs" dxfId="262" priority="287" operator="equal">
      <formula>"CLB close command by firmware"</formula>
    </cfRule>
    <cfRule type="cellIs" dxfId="261" priority="288" operator="equal">
      <formula>"CLB will have no effect"</formula>
    </cfRule>
    <cfRule type="cellIs" dxfId="260" priority="289" operator="equal">
      <formula>"Heartbeat of iiSC board to CLB board will stop."</formula>
    </cfRule>
  </conditionalFormatting>
  <conditionalFormatting sqref="F390:G390 F389">
    <cfRule type="cellIs" dxfId="259" priority="284" operator="equal">
      <formula>"CLB close command by firmware"</formula>
    </cfRule>
    <cfRule type="cellIs" dxfId="258" priority="285" operator="equal">
      <formula>"CLB will have no effect"</formula>
    </cfRule>
    <cfRule type="cellIs" dxfId="257" priority="286" operator="equal">
      <formula>"Heartbeat of iiSC board to CLB board will stop."</formula>
    </cfRule>
  </conditionalFormatting>
  <conditionalFormatting sqref="H390:H391">
    <cfRule type="cellIs" dxfId="256" priority="281" operator="equal">
      <formula>"CLB close command by firmware"</formula>
    </cfRule>
    <cfRule type="cellIs" dxfId="255" priority="282" operator="equal">
      <formula>"CLB will have no effect"</formula>
    </cfRule>
    <cfRule type="cellIs" dxfId="254" priority="283" operator="equal">
      <formula>"Heartbeat of iiSC board to CLB board will stop."</formula>
    </cfRule>
  </conditionalFormatting>
  <conditionalFormatting sqref="M389">
    <cfRule type="cellIs" dxfId="253" priority="278" stopIfTrue="1" operator="greaterThanOrEqual">
      <formula>15</formula>
    </cfRule>
    <cfRule type="cellIs" dxfId="252" priority="279" stopIfTrue="1" operator="between">
      <formula>7</formula>
      <formula>14</formula>
    </cfRule>
    <cfRule type="cellIs" dxfId="251" priority="280" stopIfTrue="1" operator="lessThan">
      <formula>7</formula>
    </cfRule>
  </conditionalFormatting>
  <conditionalFormatting sqref="J391:K391 O391 M391">
    <cfRule type="cellIs" dxfId="250" priority="275" operator="equal">
      <formula>"CLB close command by firmware"</formula>
    </cfRule>
    <cfRule type="cellIs" dxfId="249" priority="276" operator="equal">
      <formula>"CLB will have no effect"</formula>
    </cfRule>
    <cfRule type="cellIs" dxfId="248" priority="277" operator="equal">
      <formula>"Heartbeat of iiSC board to CLB board will stop."</formula>
    </cfRule>
  </conditionalFormatting>
  <conditionalFormatting sqref="F391:G391">
    <cfRule type="cellIs" dxfId="247" priority="272" operator="equal">
      <formula>"CLB close command by firmware"</formula>
    </cfRule>
    <cfRule type="cellIs" dxfId="246" priority="273" operator="equal">
      <formula>"CLB will have no effect"</formula>
    </cfRule>
    <cfRule type="cellIs" dxfId="245" priority="274" operator="equal">
      <formula>"Heartbeat of iiSC board to CLB board will stop."</formula>
    </cfRule>
  </conditionalFormatting>
  <conditionalFormatting sqref="F392">
    <cfRule type="cellIs" dxfId="244" priority="269" operator="equal">
      <formula>"CLB close command by firmware"</formula>
    </cfRule>
    <cfRule type="cellIs" dxfId="243" priority="270" operator="equal">
      <formula>"CLB will have no effect"</formula>
    </cfRule>
    <cfRule type="cellIs" dxfId="242" priority="271" operator="equal">
      <formula>"Heartbeat of iiSC board to CLB board will stop."</formula>
    </cfRule>
  </conditionalFormatting>
  <conditionalFormatting sqref="M392">
    <cfRule type="cellIs" dxfId="241" priority="266" stopIfTrue="1" operator="greaterThanOrEqual">
      <formula>15</formula>
    </cfRule>
    <cfRule type="cellIs" dxfId="240" priority="267" stopIfTrue="1" operator="between">
      <formula>7</formula>
      <formula>14</formula>
    </cfRule>
    <cfRule type="cellIs" dxfId="239" priority="268" stopIfTrue="1" operator="lessThan">
      <formula>7</formula>
    </cfRule>
  </conditionalFormatting>
  <conditionalFormatting sqref="H394">
    <cfRule type="cellIs" dxfId="238" priority="263" operator="equal">
      <formula>"CLB close command by firmware"</formula>
    </cfRule>
    <cfRule type="cellIs" dxfId="237" priority="264" operator="equal">
      <formula>"CLB will have no effect"</formula>
    </cfRule>
    <cfRule type="cellIs" dxfId="236" priority="265" operator="equal">
      <formula>"Heartbeat of iiSC board to CLB board will stop."</formula>
    </cfRule>
  </conditionalFormatting>
  <conditionalFormatting sqref="M338">
    <cfRule type="cellIs" dxfId="235" priority="260" stopIfTrue="1" operator="greaterThanOrEqual">
      <formula>15</formula>
    </cfRule>
    <cfRule type="cellIs" dxfId="234" priority="261" stopIfTrue="1" operator="between">
      <formula>7</formula>
      <formula>14</formula>
    </cfRule>
    <cfRule type="cellIs" dxfId="233" priority="262" stopIfTrue="1" operator="lessThan">
      <formula>7</formula>
    </cfRule>
  </conditionalFormatting>
  <conditionalFormatting sqref="M339:M340">
    <cfRule type="cellIs" dxfId="232" priority="257" stopIfTrue="1" operator="greaterThanOrEqual">
      <formula>15</formula>
    </cfRule>
    <cfRule type="cellIs" dxfId="231" priority="258" stopIfTrue="1" operator="between">
      <formula>7</formula>
      <formula>14</formula>
    </cfRule>
    <cfRule type="cellIs" dxfId="230" priority="259" stopIfTrue="1" operator="lessThan">
      <formula>7</formula>
    </cfRule>
  </conditionalFormatting>
  <conditionalFormatting sqref="M341">
    <cfRule type="cellIs" dxfId="229" priority="254" stopIfTrue="1" operator="greaterThanOrEqual">
      <formula>15</formula>
    </cfRule>
    <cfRule type="cellIs" dxfId="228" priority="255" stopIfTrue="1" operator="between">
      <formula>7</formula>
      <formula>14</formula>
    </cfRule>
    <cfRule type="cellIs" dxfId="227" priority="256" stopIfTrue="1" operator="lessThan">
      <formula>7</formula>
    </cfRule>
  </conditionalFormatting>
  <conditionalFormatting sqref="M351:M352">
    <cfRule type="cellIs" dxfId="226" priority="251" stopIfTrue="1" operator="greaterThanOrEqual">
      <formula>15</formula>
    </cfRule>
    <cfRule type="cellIs" dxfId="225" priority="252" stopIfTrue="1" operator="between">
      <formula>7</formula>
      <formula>14</formula>
    </cfRule>
    <cfRule type="cellIs" dxfId="224" priority="253" stopIfTrue="1" operator="lessThan">
      <formula>7</formula>
    </cfRule>
  </conditionalFormatting>
  <conditionalFormatting sqref="M353:M354">
    <cfRule type="cellIs" dxfId="223" priority="248" stopIfTrue="1" operator="greaterThanOrEqual">
      <formula>15</formula>
    </cfRule>
    <cfRule type="cellIs" dxfId="222" priority="249" stopIfTrue="1" operator="between">
      <formula>7</formula>
      <formula>14</formula>
    </cfRule>
    <cfRule type="cellIs" dxfId="221" priority="250" stopIfTrue="1" operator="lessThan">
      <formula>7</formula>
    </cfRule>
  </conditionalFormatting>
  <conditionalFormatting sqref="M355:M356">
    <cfRule type="cellIs" dxfId="220" priority="245" stopIfTrue="1" operator="greaterThanOrEqual">
      <formula>15</formula>
    </cfRule>
    <cfRule type="cellIs" dxfId="219" priority="246" stopIfTrue="1" operator="between">
      <formula>7</formula>
      <formula>14</formula>
    </cfRule>
    <cfRule type="cellIs" dxfId="218" priority="247" stopIfTrue="1" operator="lessThan">
      <formula>7</formula>
    </cfRule>
  </conditionalFormatting>
  <conditionalFormatting sqref="M357:M358">
    <cfRule type="cellIs" dxfId="217" priority="242" stopIfTrue="1" operator="greaterThanOrEqual">
      <formula>15</formula>
    </cfRule>
    <cfRule type="cellIs" dxfId="216" priority="243" stopIfTrue="1" operator="between">
      <formula>7</formula>
      <formula>14</formula>
    </cfRule>
    <cfRule type="cellIs" dxfId="215" priority="244" stopIfTrue="1" operator="lessThan">
      <formula>7</formula>
    </cfRule>
  </conditionalFormatting>
  <conditionalFormatting sqref="M269">
    <cfRule type="cellIs" dxfId="214" priority="239" stopIfTrue="1" operator="greaterThanOrEqual">
      <formula>15</formula>
    </cfRule>
    <cfRule type="cellIs" dxfId="213" priority="240" stopIfTrue="1" operator="between">
      <formula>7</formula>
      <formula>14</formula>
    </cfRule>
    <cfRule type="cellIs" dxfId="212" priority="241" stopIfTrue="1" operator="lessThan">
      <formula>7</formula>
    </cfRule>
  </conditionalFormatting>
  <conditionalFormatting sqref="M270">
    <cfRule type="cellIs" dxfId="211" priority="236" stopIfTrue="1" operator="greaterThanOrEqual">
      <formula>15</formula>
    </cfRule>
    <cfRule type="cellIs" dxfId="210" priority="237" stopIfTrue="1" operator="between">
      <formula>7</formula>
      <formula>14</formula>
    </cfRule>
    <cfRule type="cellIs" dxfId="209" priority="238" stopIfTrue="1" operator="lessThan">
      <formula>7</formula>
    </cfRule>
  </conditionalFormatting>
  <conditionalFormatting sqref="Q345:Q346">
    <cfRule type="cellIs" dxfId="208" priority="232" stopIfTrue="1" operator="greaterThanOrEqual">
      <formula>70</formula>
    </cfRule>
    <cfRule type="cellIs" dxfId="207" priority="233" stopIfTrue="1" operator="between">
      <formula>60</formula>
      <formula>69.999999</formula>
    </cfRule>
    <cfRule type="cellIs" dxfId="206" priority="234" stopIfTrue="1" operator="between">
      <formula>50</formula>
      <formula>59.9999</formula>
    </cfRule>
    <cfRule type="cellIs" dxfId="205" priority="235" stopIfTrue="1" operator="lessThanOrEqual">
      <formula>50</formula>
    </cfRule>
  </conditionalFormatting>
  <conditionalFormatting sqref="B345:C345 B346">
    <cfRule type="colorScale" priority="231">
      <colorScale>
        <cfvo type="min"/>
        <cfvo type="percentile" val="50"/>
        <cfvo type="max"/>
        <color rgb="FFF8696B"/>
        <color rgb="FFFFEB84"/>
        <color rgb="FF63BE7B"/>
      </colorScale>
    </cfRule>
  </conditionalFormatting>
  <conditionalFormatting sqref="Q347:Q348">
    <cfRule type="cellIs" dxfId="204" priority="227" stopIfTrue="1" operator="greaterThanOrEqual">
      <formula>70</formula>
    </cfRule>
    <cfRule type="cellIs" dxfId="203" priority="228" stopIfTrue="1" operator="between">
      <formula>60</formula>
      <formula>69.999999</formula>
    </cfRule>
    <cfRule type="cellIs" dxfId="202" priority="229" stopIfTrue="1" operator="between">
      <formula>50</formula>
      <formula>59.9999</formula>
    </cfRule>
    <cfRule type="cellIs" dxfId="201" priority="230" stopIfTrue="1" operator="lessThanOrEqual">
      <formula>50</formula>
    </cfRule>
  </conditionalFormatting>
  <conditionalFormatting sqref="B347:C347 B348">
    <cfRule type="colorScale" priority="226">
      <colorScale>
        <cfvo type="min"/>
        <cfvo type="percentile" val="50"/>
        <cfvo type="max"/>
        <color rgb="FFF8696B"/>
        <color rgb="FFFFEB84"/>
        <color rgb="FF63BE7B"/>
      </colorScale>
    </cfRule>
  </conditionalFormatting>
  <conditionalFormatting sqref="Q349:Q350">
    <cfRule type="cellIs" dxfId="200" priority="222" stopIfTrue="1" operator="greaterThanOrEqual">
      <formula>70</formula>
    </cfRule>
    <cfRule type="cellIs" dxfId="199" priority="223" stopIfTrue="1" operator="between">
      <formula>60</formula>
      <formula>69.999999</formula>
    </cfRule>
    <cfRule type="cellIs" dxfId="198" priority="224" stopIfTrue="1" operator="between">
      <formula>50</formula>
      <formula>59.9999</formula>
    </cfRule>
    <cfRule type="cellIs" dxfId="197" priority="225" stopIfTrue="1" operator="lessThanOrEqual">
      <formula>50</formula>
    </cfRule>
  </conditionalFormatting>
  <conditionalFormatting sqref="B349:C349 B350">
    <cfRule type="colorScale" priority="221">
      <colorScale>
        <cfvo type="min"/>
        <cfvo type="percentile" val="50"/>
        <cfvo type="max"/>
        <color rgb="FFF8696B"/>
        <color rgb="FFFFEB84"/>
        <color rgb="FF63BE7B"/>
      </colorScale>
    </cfRule>
  </conditionalFormatting>
  <conditionalFormatting sqref="M345:M346">
    <cfRule type="cellIs" dxfId="196" priority="218" stopIfTrue="1" operator="greaterThanOrEqual">
      <formula>15</formula>
    </cfRule>
    <cfRule type="cellIs" dxfId="195" priority="219" stopIfTrue="1" operator="between">
      <formula>7</formula>
      <formula>14</formula>
    </cfRule>
    <cfRule type="cellIs" dxfId="194" priority="220" stopIfTrue="1" operator="lessThan">
      <formula>7</formula>
    </cfRule>
  </conditionalFormatting>
  <conditionalFormatting sqref="M347:M348">
    <cfRule type="cellIs" dxfId="193" priority="215" stopIfTrue="1" operator="greaterThanOrEqual">
      <formula>15</formula>
    </cfRule>
    <cfRule type="cellIs" dxfId="192" priority="216" stopIfTrue="1" operator="between">
      <formula>7</formula>
      <formula>14</formula>
    </cfRule>
    <cfRule type="cellIs" dxfId="191" priority="217" stopIfTrue="1" operator="lessThan">
      <formula>7</formula>
    </cfRule>
  </conditionalFormatting>
  <conditionalFormatting sqref="M349:M350">
    <cfRule type="cellIs" dxfId="190" priority="212" stopIfTrue="1" operator="greaterThanOrEqual">
      <formula>15</formula>
    </cfRule>
    <cfRule type="cellIs" dxfId="189" priority="213" stopIfTrue="1" operator="between">
      <formula>7</formula>
      <formula>14</formula>
    </cfRule>
    <cfRule type="cellIs" dxfId="188" priority="214" stopIfTrue="1" operator="lessThan">
      <formula>7</formula>
    </cfRule>
  </conditionalFormatting>
  <conditionalFormatting sqref="C95">
    <cfRule type="colorScale" priority="211">
      <colorScale>
        <cfvo type="min"/>
        <cfvo type="percentile" val="50"/>
        <cfvo type="max"/>
        <color rgb="FFF8696B"/>
        <color rgb="FFFFEB84"/>
        <color rgb="FF63BE7B"/>
      </colorScale>
    </cfRule>
  </conditionalFormatting>
  <conditionalFormatting sqref="C98">
    <cfRule type="colorScale" priority="210">
      <colorScale>
        <cfvo type="min"/>
        <cfvo type="percentile" val="50"/>
        <cfvo type="max"/>
        <color rgb="FFF8696B"/>
        <color rgb="FFFFEB84"/>
        <color rgb="FF63BE7B"/>
      </colorScale>
    </cfRule>
  </conditionalFormatting>
  <conditionalFormatting sqref="B95">
    <cfRule type="colorScale" priority="209">
      <colorScale>
        <cfvo type="min"/>
        <cfvo type="percentile" val="50"/>
        <cfvo type="max"/>
        <color rgb="FFF8696B"/>
        <color rgb="FFFFEB84"/>
        <color rgb="FF63BE7B"/>
      </colorScale>
    </cfRule>
  </conditionalFormatting>
  <conditionalFormatting sqref="B98">
    <cfRule type="colorScale" priority="208">
      <colorScale>
        <cfvo type="min"/>
        <cfvo type="percentile" val="50"/>
        <cfvo type="max"/>
        <color rgb="FFF8696B"/>
        <color rgb="FFFFEB84"/>
        <color rgb="FF63BE7B"/>
      </colorScale>
    </cfRule>
  </conditionalFormatting>
  <conditionalFormatting sqref="C101">
    <cfRule type="colorScale" priority="207">
      <colorScale>
        <cfvo type="min"/>
        <cfvo type="percentile" val="50"/>
        <cfvo type="max"/>
        <color rgb="FFF8696B"/>
        <color rgb="FFFFEB84"/>
        <color rgb="FF63BE7B"/>
      </colorScale>
    </cfRule>
  </conditionalFormatting>
  <conditionalFormatting sqref="B101">
    <cfRule type="colorScale" priority="206">
      <colorScale>
        <cfvo type="min"/>
        <cfvo type="percentile" val="50"/>
        <cfvo type="max"/>
        <color rgb="FFF8696B"/>
        <color rgb="FFFFEB84"/>
        <color rgb="FF63BE7B"/>
      </colorScale>
    </cfRule>
  </conditionalFormatting>
  <conditionalFormatting sqref="B235:C235 C138 C140 B233:B234 B91:C92 B104:C104 B106:C106 B105 C112 B107 C108 C110 C118 C114 C116 B122:C122 C120 B125:C125 B123:B124 B129 B128:C128 B126:B127 B130:C132 B134:C134 B133 B135 C136 B142:C142 B144:C144 B143 B146:C150 B145 B152:C152 B151 B154:C154 B153 B156:C156 B155 B160:C160 B158:C158 B157 B172:C172 B174:C174 B173 B176:C176 B175 B178:C178 B177 B182:C182 B181 B184:C184 B183 B193:C193 B191:B192 B196:C196 B194:B195 B222:C222 B209 B224:C224 B223 B227:C227 B225:B226 B230:C230 B228:B229 B232:C232 B231 B236 B198:C208 B197 B180:C180 B179 B186:C190 B185">
    <cfRule type="colorScale" priority="1206">
      <colorScale>
        <cfvo type="min"/>
        <cfvo type="percentile" val="50"/>
        <cfvo type="max"/>
        <color rgb="FFF8696B"/>
        <color rgb="FFFFEB84"/>
        <color rgb="FF63BE7B"/>
      </colorScale>
    </cfRule>
  </conditionalFormatting>
  <conditionalFormatting sqref="C163">
    <cfRule type="colorScale" priority="205">
      <colorScale>
        <cfvo type="min"/>
        <cfvo type="percentile" val="50"/>
        <cfvo type="max"/>
        <color rgb="FFF8696B"/>
        <color rgb="FFFFEB84"/>
        <color rgb="FF63BE7B"/>
      </colorScale>
    </cfRule>
  </conditionalFormatting>
  <conditionalFormatting sqref="C166">
    <cfRule type="colorScale" priority="204">
      <colorScale>
        <cfvo type="min"/>
        <cfvo type="percentile" val="50"/>
        <cfvo type="max"/>
        <color rgb="FFF8696B"/>
        <color rgb="FFFFEB84"/>
        <color rgb="FF63BE7B"/>
      </colorScale>
    </cfRule>
  </conditionalFormatting>
  <conditionalFormatting sqref="C169">
    <cfRule type="colorScale" priority="203">
      <colorScale>
        <cfvo type="min"/>
        <cfvo type="percentile" val="50"/>
        <cfvo type="max"/>
        <color rgb="FFF8696B"/>
        <color rgb="FFFFEB84"/>
        <color rgb="FF63BE7B"/>
      </colorScale>
    </cfRule>
  </conditionalFormatting>
  <conditionalFormatting sqref="B163">
    <cfRule type="colorScale" priority="202">
      <colorScale>
        <cfvo type="min"/>
        <cfvo type="percentile" val="50"/>
        <cfvo type="max"/>
        <color rgb="FFF8696B"/>
        <color rgb="FFFFEB84"/>
        <color rgb="FF63BE7B"/>
      </colorScale>
    </cfRule>
  </conditionalFormatting>
  <conditionalFormatting sqref="B166">
    <cfRule type="colorScale" priority="201">
      <colorScale>
        <cfvo type="min"/>
        <cfvo type="percentile" val="50"/>
        <cfvo type="max"/>
        <color rgb="FFF8696B"/>
        <color rgb="FFFFEB84"/>
        <color rgb="FF63BE7B"/>
      </colorScale>
    </cfRule>
  </conditionalFormatting>
  <conditionalFormatting sqref="B169">
    <cfRule type="colorScale" priority="200">
      <colorScale>
        <cfvo type="min"/>
        <cfvo type="percentile" val="50"/>
        <cfvo type="max"/>
        <color rgb="FFF8696B"/>
        <color rgb="FFFFEB84"/>
        <color rgb="FF63BE7B"/>
      </colorScale>
    </cfRule>
  </conditionalFormatting>
  <conditionalFormatting sqref="B210:C210 B213:C213 B216:C216 B219:C219">
    <cfRule type="colorScale" priority="199">
      <colorScale>
        <cfvo type="min"/>
        <cfvo type="percentile" val="50"/>
        <cfvo type="max"/>
        <color rgb="FFF8696B"/>
        <color rgb="FFFFEB84"/>
        <color rgb="FF63BE7B"/>
      </colorScale>
    </cfRule>
  </conditionalFormatting>
  <conditionalFormatting sqref="M214">
    <cfRule type="cellIs" dxfId="187" priority="133" operator="greaterThanOrEqual">
      <formula>15</formula>
    </cfRule>
    <cfRule type="cellIs" dxfId="186" priority="134" operator="between">
      <formula>7</formula>
      <formula>14</formula>
    </cfRule>
    <cfRule type="cellIs" dxfId="185" priority="135" operator="lessThan">
      <formula>7</formula>
    </cfRule>
  </conditionalFormatting>
  <conditionalFormatting sqref="M92:M94">
    <cfRule type="cellIs" dxfId="184" priority="196" operator="greaterThanOrEqual">
      <formula>15</formula>
    </cfRule>
    <cfRule type="cellIs" dxfId="183" priority="197" operator="between">
      <formula>7</formula>
      <formula>14</formula>
    </cfRule>
    <cfRule type="cellIs" dxfId="182" priority="198" operator="lessThan">
      <formula>7</formula>
    </cfRule>
  </conditionalFormatting>
  <conditionalFormatting sqref="M95:M97">
    <cfRule type="cellIs" dxfId="181" priority="193" operator="greaterThanOrEqual">
      <formula>15</formula>
    </cfRule>
    <cfRule type="cellIs" dxfId="180" priority="194" operator="between">
      <formula>7</formula>
      <formula>14</formula>
    </cfRule>
    <cfRule type="cellIs" dxfId="179" priority="195" operator="lessThan">
      <formula>7</formula>
    </cfRule>
  </conditionalFormatting>
  <conditionalFormatting sqref="M98:M100">
    <cfRule type="cellIs" dxfId="178" priority="190" operator="greaterThanOrEqual">
      <formula>15</formula>
    </cfRule>
    <cfRule type="cellIs" dxfId="177" priority="191" operator="between">
      <formula>7</formula>
      <formula>14</formula>
    </cfRule>
    <cfRule type="cellIs" dxfId="176" priority="192" operator="lessThan">
      <formula>7</formula>
    </cfRule>
  </conditionalFormatting>
  <conditionalFormatting sqref="M101">
    <cfRule type="cellIs" dxfId="175" priority="187" operator="greaterThanOrEqual">
      <formula>15</formula>
    </cfRule>
    <cfRule type="cellIs" dxfId="174" priority="188" operator="between">
      <formula>7</formula>
      <formula>14</formula>
    </cfRule>
    <cfRule type="cellIs" dxfId="173" priority="189" operator="lessThan">
      <formula>7</formula>
    </cfRule>
  </conditionalFormatting>
  <conditionalFormatting sqref="M103">
    <cfRule type="cellIs" dxfId="172" priority="184" operator="greaterThanOrEqual">
      <formula>15</formula>
    </cfRule>
    <cfRule type="cellIs" dxfId="171" priority="185" operator="between">
      <formula>7</formula>
      <formula>14</formula>
    </cfRule>
    <cfRule type="cellIs" dxfId="170" priority="186" operator="lessThan">
      <formula>7</formula>
    </cfRule>
  </conditionalFormatting>
  <conditionalFormatting sqref="M102">
    <cfRule type="cellIs" dxfId="169" priority="181" operator="greaterThanOrEqual">
      <formula>15</formula>
    </cfRule>
    <cfRule type="cellIs" dxfId="168" priority="182" operator="between">
      <formula>7</formula>
      <formula>14</formula>
    </cfRule>
    <cfRule type="cellIs" dxfId="167" priority="183" operator="lessThan">
      <formula>7</formula>
    </cfRule>
  </conditionalFormatting>
  <conditionalFormatting sqref="M163">
    <cfRule type="cellIs" dxfId="166" priority="178" operator="greaterThanOrEqual">
      <formula>15</formula>
    </cfRule>
    <cfRule type="cellIs" dxfId="165" priority="179" operator="between">
      <formula>7</formula>
      <formula>14</formula>
    </cfRule>
    <cfRule type="cellIs" dxfId="164" priority="180" operator="lessThan">
      <formula>7</formula>
    </cfRule>
  </conditionalFormatting>
  <conditionalFormatting sqref="M164">
    <cfRule type="cellIs" dxfId="163" priority="175" operator="greaterThanOrEqual">
      <formula>15</formula>
    </cfRule>
    <cfRule type="cellIs" dxfId="162" priority="176" operator="between">
      <formula>7</formula>
      <formula>14</formula>
    </cfRule>
    <cfRule type="cellIs" dxfId="161" priority="177" operator="lessThan">
      <formula>7</formula>
    </cfRule>
  </conditionalFormatting>
  <conditionalFormatting sqref="M165">
    <cfRule type="cellIs" dxfId="160" priority="172" operator="greaterThanOrEqual">
      <formula>15</formula>
    </cfRule>
    <cfRule type="cellIs" dxfId="159" priority="173" operator="between">
      <formula>7</formula>
      <formula>14</formula>
    </cfRule>
    <cfRule type="cellIs" dxfId="158" priority="174" operator="lessThan">
      <formula>7</formula>
    </cfRule>
  </conditionalFormatting>
  <conditionalFormatting sqref="M166:M167">
    <cfRule type="cellIs" dxfId="157" priority="169" operator="greaterThanOrEqual">
      <formula>15</formula>
    </cfRule>
    <cfRule type="cellIs" dxfId="156" priority="170" operator="between">
      <formula>7</formula>
      <formula>14</formula>
    </cfRule>
    <cfRule type="cellIs" dxfId="155" priority="171" operator="lessThan">
      <formula>7</formula>
    </cfRule>
  </conditionalFormatting>
  <conditionalFormatting sqref="M168:M171">
    <cfRule type="cellIs" dxfId="154" priority="166" operator="greaterThanOrEqual">
      <formula>15</formula>
    </cfRule>
    <cfRule type="cellIs" dxfId="153" priority="167" operator="between">
      <formula>7</formula>
      <formula>14</formula>
    </cfRule>
    <cfRule type="cellIs" dxfId="152" priority="168" operator="lessThan">
      <formula>7</formula>
    </cfRule>
  </conditionalFormatting>
  <conditionalFormatting sqref="M160:M161">
    <cfRule type="cellIs" dxfId="151" priority="163" operator="greaterThanOrEqual">
      <formula>15</formula>
    </cfRule>
    <cfRule type="cellIs" dxfId="150" priority="164" operator="between">
      <formula>7</formula>
      <formula>14</formula>
    </cfRule>
    <cfRule type="cellIs" dxfId="149" priority="165" operator="lessThan">
      <formula>7</formula>
    </cfRule>
  </conditionalFormatting>
  <conditionalFormatting sqref="M162">
    <cfRule type="cellIs" dxfId="148" priority="160" operator="greaterThanOrEqual">
      <formula>15</formula>
    </cfRule>
    <cfRule type="cellIs" dxfId="147" priority="161" operator="between">
      <formula>7</formula>
      <formula>14</formula>
    </cfRule>
    <cfRule type="cellIs" dxfId="146" priority="162" operator="lessThan">
      <formula>7</formula>
    </cfRule>
  </conditionalFormatting>
  <conditionalFormatting sqref="M216:M217">
    <cfRule type="cellIs" dxfId="145" priority="157" operator="greaterThanOrEqual">
      <formula>15</formula>
    </cfRule>
    <cfRule type="cellIs" dxfId="144" priority="158" operator="between">
      <formula>7</formula>
      <formula>14</formula>
    </cfRule>
    <cfRule type="cellIs" dxfId="143" priority="159" operator="lessThan">
      <formula>7</formula>
    </cfRule>
  </conditionalFormatting>
  <conditionalFormatting sqref="M218">
    <cfRule type="cellIs" dxfId="142" priority="154" operator="greaterThanOrEqual">
      <formula>15</formula>
    </cfRule>
    <cfRule type="cellIs" dxfId="141" priority="155" operator="between">
      <formula>7</formula>
      <formula>14</formula>
    </cfRule>
    <cfRule type="cellIs" dxfId="140" priority="156" operator="lessThan">
      <formula>7</formula>
    </cfRule>
  </conditionalFormatting>
  <conditionalFormatting sqref="M219:M220">
    <cfRule type="cellIs" dxfId="139" priority="151" operator="greaterThanOrEqual">
      <formula>15</formula>
    </cfRule>
    <cfRule type="cellIs" dxfId="138" priority="152" operator="between">
      <formula>7</formula>
      <formula>14</formula>
    </cfRule>
    <cfRule type="cellIs" dxfId="137" priority="153" operator="lessThan">
      <formula>7</formula>
    </cfRule>
  </conditionalFormatting>
  <conditionalFormatting sqref="M221">
    <cfRule type="cellIs" dxfId="136" priority="148" operator="greaterThanOrEqual">
      <formula>15</formula>
    </cfRule>
    <cfRule type="cellIs" dxfId="135" priority="149" operator="between">
      <formula>7</formula>
      <formula>14</formula>
    </cfRule>
    <cfRule type="cellIs" dxfId="134" priority="150" operator="lessThan">
      <formula>7</formula>
    </cfRule>
  </conditionalFormatting>
  <conditionalFormatting sqref="M210:M211">
    <cfRule type="cellIs" dxfId="133" priority="145" operator="greaterThanOrEqual">
      <formula>15</formula>
    </cfRule>
    <cfRule type="cellIs" dxfId="132" priority="146" operator="between">
      <formula>7</formula>
      <formula>14</formula>
    </cfRule>
    <cfRule type="cellIs" dxfId="131" priority="147" operator="lessThan">
      <formula>7</formula>
    </cfRule>
  </conditionalFormatting>
  <conditionalFormatting sqref="M212">
    <cfRule type="cellIs" dxfId="130" priority="142" operator="greaterThanOrEqual">
      <formula>15</formula>
    </cfRule>
    <cfRule type="cellIs" dxfId="129" priority="143" operator="between">
      <formula>7</formula>
      <formula>14</formula>
    </cfRule>
    <cfRule type="cellIs" dxfId="128" priority="144" operator="lessThan">
      <formula>7</formula>
    </cfRule>
  </conditionalFormatting>
  <conditionalFormatting sqref="M213">
    <cfRule type="cellIs" dxfId="127" priority="139" operator="greaterThanOrEqual">
      <formula>15</formula>
    </cfRule>
    <cfRule type="cellIs" dxfId="126" priority="140" operator="between">
      <formula>7</formula>
      <formula>14</formula>
    </cfRule>
    <cfRule type="cellIs" dxfId="125" priority="141" operator="lessThan">
      <formula>7</formula>
    </cfRule>
  </conditionalFormatting>
  <conditionalFormatting sqref="M215">
    <cfRule type="cellIs" dxfId="124" priority="136" operator="greaterThanOrEqual">
      <formula>15</formula>
    </cfRule>
    <cfRule type="cellIs" dxfId="123" priority="137" operator="between">
      <formula>7</formula>
      <formula>14</formula>
    </cfRule>
    <cfRule type="cellIs" dxfId="122" priority="138" operator="lessThan">
      <formula>7</formula>
    </cfRule>
  </conditionalFormatting>
  <conditionalFormatting sqref="B241:C241">
    <cfRule type="colorScale" priority="132">
      <colorScale>
        <cfvo type="min"/>
        <cfvo type="percentile" val="50"/>
        <cfvo type="max"/>
        <color rgb="FFF8696B"/>
        <color rgb="FFFFEB84"/>
        <color rgb="FF63BE7B"/>
      </colorScale>
    </cfRule>
  </conditionalFormatting>
  <conditionalFormatting sqref="M238:M240">
    <cfRule type="cellIs" dxfId="121" priority="129" operator="greaterThanOrEqual">
      <formula>15</formula>
    </cfRule>
    <cfRule type="cellIs" dxfId="120" priority="130" operator="between">
      <formula>7</formula>
      <formula>14</formula>
    </cfRule>
    <cfRule type="cellIs" dxfId="119" priority="131" operator="lessThan">
      <formula>7</formula>
    </cfRule>
  </conditionalFormatting>
  <conditionalFormatting sqref="M241:M243">
    <cfRule type="cellIs" dxfId="118" priority="126" operator="greaterThanOrEqual">
      <formula>15</formula>
    </cfRule>
    <cfRule type="cellIs" dxfId="117" priority="127" operator="between">
      <formula>7</formula>
      <formula>14</formula>
    </cfRule>
    <cfRule type="cellIs" dxfId="116" priority="128" operator="lessThan">
      <formula>7</formula>
    </cfRule>
  </conditionalFormatting>
  <conditionalFormatting sqref="M244:M246">
    <cfRule type="cellIs" dxfId="115" priority="123" operator="greaterThanOrEqual">
      <formula>15</formula>
    </cfRule>
    <cfRule type="cellIs" dxfId="114" priority="124" operator="between">
      <formula>7</formula>
      <formula>14</formula>
    </cfRule>
    <cfRule type="cellIs" dxfId="113" priority="125" operator="lessThan">
      <formula>7</formula>
    </cfRule>
  </conditionalFormatting>
  <conditionalFormatting sqref="M283">
    <cfRule type="cellIs" dxfId="112" priority="120" operator="greaterThanOrEqual">
      <formula>15</formula>
    </cfRule>
    <cfRule type="cellIs" dxfId="111" priority="121" operator="between">
      <formula>7</formula>
      <formula>14</formula>
    </cfRule>
    <cfRule type="cellIs" dxfId="110" priority="122" operator="lessThan">
      <formula>7</formula>
    </cfRule>
  </conditionalFormatting>
  <conditionalFormatting sqref="M285">
    <cfRule type="cellIs" dxfId="109" priority="117" operator="greaterThanOrEqual">
      <formula>15</formula>
    </cfRule>
    <cfRule type="cellIs" dxfId="108" priority="118" operator="between">
      <formula>7</formula>
      <formula>14</formula>
    </cfRule>
    <cfRule type="cellIs" dxfId="107" priority="119" operator="lessThan">
      <formula>7</formula>
    </cfRule>
  </conditionalFormatting>
  <conditionalFormatting sqref="M284">
    <cfRule type="cellIs" dxfId="106" priority="114" operator="greaterThanOrEqual">
      <formula>15</formula>
    </cfRule>
    <cfRule type="cellIs" dxfId="105" priority="115" operator="between">
      <formula>7</formula>
      <formula>14</formula>
    </cfRule>
    <cfRule type="cellIs" dxfId="104" priority="116" operator="lessThan">
      <formula>7</formula>
    </cfRule>
  </conditionalFormatting>
  <conditionalFormatting sqref="M312:M313">
    <cfRule type="cellIs" dxfId="103" priority="111" operator="greaterThanOrEqual">
      <formula>15</formula>
    </cfRule>
    <cfRule type="cellIs" dxfId="102" priority="112" operator="between">
      <formula>7</formula>
      <formula>14</formula>
    </cfRule>
    <cfRule type="cellIs" dxfId="101" priority="113" operator="lessThan">
      <formula>7</formula>
    </cfRule>
  </conditionalFormatting>
  <conditionalFormatting sqref="M314">
    <cfRule type="cellIs" dxfId="100" priority="108" operator="greaterThanOrEqual">
      <formula>15</formula>
    </cfRule>
    <cfRule type="cellIs" dxfId="99" priority="109" operator="between">
      <formula>7</formula>
      <formula>14</formula>
    </cfRule>
    <cfRule type="cellIs" dxfId="98" priority="110" operator="lessThan">
      <formula>7</formula>
    </cfRule>
  </conditionalFormatting>
  <conditionalFormatting sqref="M315">
    <cfRule type="cellIs" dxfId="97" priority="105" operator="greaterThanOrEqual">
      <formula>15</formula>
    </cfRule>
    <cfRule type="cellIs" dxfId="96" priority="106" operator="between">
      <formula>7</formula>
      <formula>14</formula>
    </cfRule>
    <cfRule type="cellIs" dxfId="95" priority="107" operator="lessThan">
      <formula>7</formula>
    </cfRule>
  </conditionalFormatting>
  <conditionalFormatting sqref="M316">
    <cfRule type="cellIs" dxfId="94" priority="102" operator="greaterThanOrEqual">
      <formula>15</formula>
    </cfRule>
    <cfRule type="cellIs" dxfId="93" priority="103" operator="between">
      <formula>7</formula>
      <formula>14</formula>
    </cfRule>
    <cfRule type="cellIs" dxfId="92" priority="104" operator="lessThan">
      <formula>7</formula>
    </cfRule>
  </conditionalFormatting>
  <conditionalFormatting sqref="M317">
    <cfRule type="cellIs" dxfId="91" priority="99" operator="greaterThanOrEqual">
      <formula>15</formula>
    </cfRule>
    <cfRule type="cellIs" dxfId="90" priority="100" operator="between">
      <formula>7</formula>
      <formula>14</formula>
    </cfRule>
    <cfRule type="cellIs" dxfId="89" priority="101" operator="lessThan">
      <formula>7</formula>
    </cfRule>
  </conditionalFormatting>
  <conditionalFormatting sqref="M318:M319">
    <cfRule type="cellIs" dxfId="88" priority="96" operator="greaterThanOrEqual">
      <formula>15</formula>
    </cfRule>
    <cfRule type="cellIs" dxfId="87" priority="97" operator="between">
      <formula>7</formula>
      <formula>14</formula>
    </cfRule>
    <cfRule type="cellIs" dxfId="86" priority="98" operator="lessThan">
      <formula>7</formula>
    </cfRule>
  </conditionalFormatting>
  <conditionalFormatting sqref="M320">
    <cfRule type="cellIs" dxfId="85" priority="93" operator="greaterThanOrEqual">
      <formula>15</formula>
    </cfRule>
    <cfRule type="cellIs" dxfId="84" priority="94" operator="between">
      <formula>7</formula>
      <formula>14</formula>
    </cfRule>
    <cfRule type="cellIs" dxfId="83" priority="95" operator="lessThan">
      <formula>7</formula>
    </cfRule>
  </conditionalFormatting>
  <conditionalFormatting sqref="B389:C389 B288:C288 B287 B289 B290:C290 B291 B388 B390 B387:C387 B386 B391:C391 B392 B292:C311 B393:C394 B237:C237 B271:C283 B351:C363 B343:B344 B342:C342 B340:B341 B269:B270 B268:C268 B266:B267 B244:C244 B321:C339 B286:C286 B247:C248 B375:C385 B259:C265 B249:B258">
    <cfRule type="colorScale" priority="1207">
      <colorScale>
        <cfvo type="min"/>
        <cfvo type="percentile" val="50"/>
        <cfvo type="max"/>
        <color rgb="FFF8696B"/>
        <color rgb="FFFFEB84"/>
        <color rgb="FF63BE7B"/>
      </colorScale>
    </cfRule>
  </conditionalFormatting>
  <conditionalFormatting sqref="C366">
    <cfRule type="colorScale" priority="92">
      <colorScale>
        <cfvo type="min"/>
        <cfvo type="percentile" val="50"/>
        <cfvo type="max"/>
        <color rgb="FFF8696B"/>
        <color rgb="FFFFEB84"/>
        <color rgb="FF63BE7B"/>
      </colorScale>
    </cfRule>
  </conditionalFormatting>
  <conditionalFormatting sqref="C369">
    <cfRule type="colorScale" priority="91">
      <colorScale>
        <cfvo type="min"/>
        <cfvo type="percentile" val="50"/>
        <cfvo type="max"/>
        <color rgb="FFF8696B"/>
        <color rgb="FFFFEB84"/>
        <color rgb="FF63BE7B"/>
      </colorScale>
    </cfRule>
  </conditionalFormatting>
  <conditionalFormatting sqref="C372">
    <cfRule type="colorScale" priority="90">
      <colorScale>
        <cfvo type="min"/>
        <cfvo type="percentile" val="50"/>
        <cfvo type="max"/>
        <color rgb="FFF8696B"/>
        <color rgb="FFFFEB84"/>
        <color rgb="FF63BE7B"/>
      </colorScale>
    </cfRule>
  </conditionalFormatting>
  <conditionalFormatting sqref="B366">
    <cfRule type="colorScale" priority="89">
      <colorScale>
        <cfvo type="min"/>
        <cfvo type="percentile" val="50"/>
        <cfvo type="max"/>
        <color rgb="FFF8696B"/>
        <color rgb="FFFFEB84"/>
        <color rgb="FF63BE7B"/>
      </colorScale>
    </cfRule>
  </conditionalFormatting>
  <conditionalFormatting sqref="B369">
    <cfRule type="colorScale" priority="88">
      <colorScale>
        <cfvo type="min"/>
        <cfvo type="percentile" val="50"/>
        <cfvo type="max"/>
        <color rgb="FFF8696B"/>
        <color rgb="FFFFEB84"/>
        <color rgb="FF63BE7B"/>
      </colorScale>
    </cfRule>
  </conditionalFormatting>
  <conditionalFormatting sqref="B372">
    <cfRule type="colorScale" priority="87">
      <colorScale>
        <cfvo type="min"/>
        <cfvo type="percentile" val="50"/>
        <cfvo type="max"/>
        <color rgb="FFF8696B"/>
        <color rgb="FFFFEB84"/>
        <color rgb="FF63BE7B"/>
      </colorScale>
    </cfRule>
  </conditionalFormatting>
  <conditionalFormatting sqref="M374">
    <cfRule type="cellIs" dxfId="82" priority="60" operator="greaterThanOrEqual">
      <formula>15</formula>
    </cfRule>
    <cfRule type="cellIs" dxfId="81" priority="61" operator="between">
      <formula>7</formula>
      <formula>14</formula>
    </cfRule>
    <cfRule type="cellIs" dxfId="80" priority="62" operator="lessThan">
      <formula>7</formula>
    </cfRule>
  </conditionalFormatting>
  <conditionalFormatting sqref="M363:M364">
    <cfRule type="cellIs" dxfId="79" priority="84" operator="greaterThanOrEqual">
      <formula>15</formula>
    </cfRule>
    <cfRule type="cellIs" dxfId="78" priority="85" operator="between">
      <formula>7</formula>
      <formula>14</formula>
    </cfRule>
    <cfRule type="cellIs" dxfId="77" priority="86" operator="lessThan">
      <formula>7</formula>
    </cfRule>
  </conditionalFormatting>
  <conditionalFormatting sqref="M365">
    <cfRule type="cellIs" dxfId="76" priority="81" operator="greaterThanOrEqual">
      <formula>15</formula>
    </cfRule>
    <cfRule type="cellIs" dxfId="75" priority="82" operator="between">
      <formula>7</formula>
      <formula>14</formula>
    </cfRule>
    <cfRule type="cellIs" dxfId="74" priority="83" operator="lessThan">
      <formula>7</formula>
    </cfRule>
  </conditionalFormatting>
  <conditionalFormatting sqref="M366">
    <cfRule type="cellIs" dxfId="73" priority="78" operator="greaterThanOrEqual">
      <formula>15</formula>
    </cfRule>
    <cfRule type="cellIs" dxfId="72" priority="79" operator="between">
      <formula>7</formula>
      <formula>14</formula>
    </cfRule>
    <cfRule type="cellIs" dxfId="71" priority="80" operator="lessThan">
      <formula>7</formula>
    </cfRule>
  </conditionalFormatting>
  <conditionalFormatting sqref="M368">
    <cfRule type="cellIs" dxfId="70" priority="75" operator="greaterThanOrEqual">
      <formula>15</formula>
    </cfRule>
    <cfRule type="cellIs" dxfId="69" priority="76" operator="between">
      <formula>7</formula>
      <formula>14</formula>
    </cfRule>
    <cfRule type="cellIs" dxfId="68" priority="77" operator="lessThan">
      <formula>7</formula>
    </cfRule>
  </conditionalFormatting>
  <conditionalFormatting sqref="M367">
    <cfRule type="cellIs" dxfId="67" priority="72" operator="greaterThanOrEqual">
      <formula>15</formula>
    </cfRule>
    <cfRule type="cellIs" dxfId="66" priority="73" operator="between">
      <formula>7</formula>
      <formula>14</formula>
    </cfRule>
    <cfRule type="cellIs" dxfId="65" priority="74" operator="lessThan">
      <formula>7</formula>
    </cfRule>
  </conditionalFormatting>
  <conditionalFormatting sqref="M369:M370">
    <cfRule type="cellIs" dxfId="64" priority="69" operator="greaterThanOrEqual">
      <formula>15</formula>
    </cfRule>
    <cfRule type="cellIs" dxfId="63" priority="70" operator="between">
      <formula>7</formula>
      <formula>14</formula>
    </cfRule>
    <cfRule type="cellIs" dxfId="62" priority="71" operator="lessThan">
      <formula>7</formula>
    </cfRule>
  </conditionalFormatting>
  <conditionalFormatting sqref="M371">
    <cfRule type="cellIs" dxfId="61" priority="66" operator="greaterThanOrEqual">
      <formula>15</formula>
    </cfRule>
    <cfRule type="cellIs" dxfId="60" priority="67" operator="between">
      <formula>7</formula>
      <formula>14</formula>
    </cfRule>
    <cfRule type="cellIs" dxfId="59" priority="68" operator="lessThan">
      <formula>7</formula>
    </cfRule>
  </conditionalFormatting>
  <conditionalFormatting sqref="M372:M373">
    <cfRule type="cellIs" dxfId="58" priority="63" operator="greaterThanOrEqual">
      <formula>15</formula>
    </cfRule>
    <cfRule type="cellIs" dxfId="57" priority="64" operator="between">
      <formula>7</formula>
      <formula>14</formula>
    </cfRule>
    <cfRule type="cellIs" dxfId="56" priority="65" operator="lessThan">
      <formula>7</formula>
    </cfRule>
  </conditionalFormatting>
  <conditionalFormatting sqref="Q285">
    <cfRule type="cellIs" dxfId="55" priority="56" stopIfTrue="1" operator="greaterThanOrEqual">
      <formula>70</formula>
    </cfRule>
    <cfRule type="cellIs" dxfId="54" priority="57" stopIfTrue="1" operator="between">
      <formula>60</formula>
      <formula>69.999999</formula>
    </cfRule>
    <cfRule type="cellIs" dxfId="53" priority="58" stopIfTrue="1" operator="between">
      <formula>50</formula>
      <formula>59.9999</formula>
    </cfRule>
    <cfRule type="cellIs" dxfId="52" priority="59" stopIfTrue="1" operator="lessThanOrEqual">
      <formula>50</formula>
    </cfRule>
  </conditionalFormatting>
  <conditionalFormatting sqref="Q314">
    <cfRule type="cellIs" dxfId="51" priority="52" stopIfTrue="1" operator="greaterThanOrEqual">
      <formula>70</formula>
    </cfRule>
    <cfRule type="cellIs" dxfId="50" priority="53" stopIfTrue="1" operator="between">
      <formula>60</formula>
      <formula>69.999999</formula>
    </cfRule>
    <cfRule type="cellIs" dxfId="49" priority="54" stopIfTrue="1" operator="between">
      <formula>50</formula>
      <formula>59.9999</formula>
    </cfRule>
    <cfRule type="cellIs" dxfId="48" priority="55" stopIfTrue="1" operator="lessThanOrEqual">
      <formula>50</formula>
    </cfRule>
  </conditionalFormatting>
  <conditionalFormatting sqref="Q317">
    <cfRule type="cellIs" dxfId="47" priority="48" stopIfTrue="1" operator="greaterThanOrEqual">
      <formula>70</formula>
    </cfRule>
    <cfRule type="cellIs" dxfId="46" priority="49" stopIfTrue="1" operator="between">
      <formula>60</formula>
      <formula>69.999999</formula>
    </cfRule>
    <cfRule type="cellIs" dxfId="45" priority="50" stopIfTrue="1" operator="between">
      <formula>50</formula>
      <formula>59.9999</formula>
    </cfRule>
    <cfRule type="cellIs" dxfId="44" priority="51" stopIfTrue="1" operator="lessThanOrEqual">
      <formula>50</formula>
    </cfRule>
  </conditionalFormatting>
  <conditionalFormatting sqref="Q320">
    <cfRule type="cellIs" dxfId="43" priority="44" stopIfTrue="1" operator="greaterThanOrEqual">
      <formula>70</formula>
    </cfRule>
    <cfRule type="cellIs" dxfId="42" priority="45" stopIfTrue="1" operator="between">
      <formula>60</formula>
      <formula>69.999999</formula>
    </cfRule>
    <cfRule type="cellIs" dxfId="41" priority="46" stopIfTrue="1" operator="between">
      <formula>50</formula>
      <formula>59.9999</formula>
    </cfRule>
    <cfRule type="cellIs" dxfId="40" priority="47" stopIfTrue="1" operator="lessThanOrEqual">
      <formula>50</formula>
    </cfRule>
  </conditionalFormatting>
  <conditionalFormatting sqref="Q365">
    <cfRule type="cellIs" dxfId="39" priority="40" stopIfTrue="1" operator="greaterThanOrEqual">
      <formula>70</formula>
    </cfRule>
    <cfRule type="cellIs" dxfId="38" priority="41" stopIfTrue="1" operator="between">
      <formula>60</formula>
      <formula>69.999999</formula>
    </cfRule>
    <cfRule type="cellIs" dxfId="37" priority="42" stopIfTrue="1" operator="between">
      <formula>50</formula>
      <formula>59.9999</formula>
    </cfRule>
    <cfRule type="cellIs" dxfId="36" priority="43" stopIfTrue="1" operator="lessThanOrEqual">
      <formula>50</formula>
    </cfRule>
  </conditionalFormatting>
  <conditionalFormatting sqref="Q366">
    <cfRule type="cellIs" dxfId="35" priority="36" stopIfTrue="1" operator="greaterThanOrEqual">
      <formula>70</formula>
    </cfRule>
    <cfRule type="cellIs" dxfId="34" priority="37" stopIfTrue="1" operator="between">
      <formula>60</formula>
      <formula>69.999999</formula>
    </cfRule>
    <cfRule type="cellIs" dxfId="33" priority="38" stopIfTrue="1" operator="between">
      <formula>50</formula>
      <formula>59.9999</formula>
    </cfRule>
    <cfRule type="cellIs" dxfId="32" priority="39" stopIfTrue="1" operator="lessThanOrEqual">
      <formula>50</formula>
    </cfRule>
  </conditionalFormatting>
  <conditionalFormatting sqref="Q367">
    <cfRule type="cellIs" dxfId="31" priority="32" stopIfTrue="1" operator="greaterThanOrEqual">
      <formula>70</formula>
    </cfRule>
    <cfRule type="cellIs" dxfId="30" priority="33" stopIfTrue="1" operator="between">
      <formula>60</formula>
      <formula>69.999999</formula>
    </cfRule>
    <cfRule type="cellIs" dxfId="29" priority="34" stopIfTrue="1" operator="between">
      <formula>50</formula>
      <formula>59.9999</formula>
    </cfRule>
    <cfRule type="cellIs" dxfId="28" priority="35" stopIfTrue="1" operator="lessThanOrEqual">
      <formula>50</formula>
    </cfRule>
  </conditionalFormatting>
  <conditionalFormatting sqref="Q368">
    <cfRule type="cellIs" dxfId="27" priority="28" stopIfTrue="1" operator="greaterThanOrEqual">
      <formula>70</formula>
    </cfRule>
    <cfRule type="cellIs" dxfId="26" priority="29" stopIfTrue="1" operator="between">
      <formula>60</formula>
      <formula>69.999999</formula>
    </cfRule>
    <cfRule type="cellIs" dxfId="25" priority="30" stopIfTrue="1" operator="between">
      <formula>50</formula>
      <formula>59.9999</formula>
    </cfRule>
    <cfRule type="cellIs" dxfId="24" priority="31" stopIfTrue="1" operator="lessThanOrEqual">
      <formula>50</formula>
    </cfRule>
  </conditionalFormatting>
  <conditionalFormatting sqref="Q369">
    <cfRule type="cellIs" dxfId="23" priority="24" stopIfTrue="1" operator="greaterThanOrEqual">
      <formula>70</formula>
    </cfRule>
    <cfRule type="cellIs" dxfId="22" priority="25" stopIfTrue="1" operator="between">
      <formula>60</formula>
      <formula>69.999999</formula>
    </cfRule>
    <cfRule type="cellIs" dxfId="21" priority="26" stopIfTrue="1" operator="between">
      <formula>50</formula>
      <formula>59.9999</formula>
    </cfRule>
    <cfRule type="cellIs" dxfId="20" priority="27" stopIfTrue="1" operator="lessThanOrEqual">
      <formula>50</formula>
    </cfRule>
  </conditionalFormatting>
  <conditionalFormatting sqref="Q370">
    <cfRule type="cellIs" dxfId="19" priority="20" stopIfTrue="1" operator="greaterThanOrEqual">
      <formula>70</formula>
    </cfRule>
    <cfRule type="cellIs" dxfId="18" priority="21" stopIfTrue="1" operator="between">
      <formula>60</formula>
      <formula>69.999999</formula>
    </cfRule>
    <cfRule type="cellIs" dxfId="17" priority="22" stopIfTrue="1" operator="between">
      <formula>50</formula>
      <formula>59.9999</formula>
    </cfRule>
    <cfRule type="cellIs" dxfId="16" priority="23" stopIfTrue="1" operator="lessThanOrEqual">
      <formula>50</formula>
    </cfRule>
  </conditionalFormatting>
  <conditionalFormatting sqref="Q371">
    <cfRule type="cellIs" dxfId="15" priority="16" stopIfTrue="1" operator="greaterThanOrEqual">
      <formula>70</formula>
    </cfRule>
    <cfRule type="cellIs" dxfId="14" priority="17" stopIfTrue="1" operator="between">
      <formula>60</formula>
      <formula>69.999999</formula>
    </cfRule>
    <cfRule type="cellIs" dxfId="13" priority="18" stopIfTrue="1" operator="between">
      <formula>50</formula>
      <formula>59.9999</formula>
    </cfRule>
    <cfRule type="cellIs" dxfId="12" priority="19" stopIfTrue="1" operator="lessThanOrEqual">
      <formula>50</formula>
    </cfRule>
  </conditionalFormatting>
  <conditionalFormatting sqref="Q372">
    <cfRule type="cellIs" dxfId="11" priority="12" stopIfTrue="1" operator="greaterThanOrEqual">
      <formula>70</formula>
    </cfRule>
    <cfRule type="cellIs" dxfId="10" priority="13" stopIfTrue="1" operator="between">
      <formula>60</formula>
      <formula>69.999999</formula>
    </cfRule>
    <cfRule type="cellIs" dxfId="9" priority="14" stopIfTrue="1" operator="between">
      <formula>50</formula>
      <formula>59.9999</formula>
    </cfRule>
    <cfRule type="cellIs" dxfId="8" priority="15" stopIfTrue="1" operator="lessThanOrEqual">
      <formula>50</formula>
    </cfRule>
  </conditionalFormatting>
  <conditionalFormatting sqref="Q373">
    <cfRule type="cellIs" dxfId="7" priority="8" stopIfTrue="1" operator="greaterThanOrEqual">
      <formula>70</formula>
    </cfRule>
    <cfRule type="cellIs" dxfId="6" priority="9" stopIfTrue="1" operator="between">
      <formula>60</formula>
      <formula>69.999999</formula>
    </cfRule>
    <cfRule type="cellIs" dxfId="5" priority="10" stopIfTrue="1" operator="between">
      <formula>50</formula>
      <formula>59.9999</formula>
    </cfRule>
    <cfRule type="cellIs" dxfId="4" priority="11" stopIfTrue="1" operator="lessThanOrEqual">
      <formula>50</formula>
    </cfRule>
  </conditionalFormatting>
  <conditionalFormatting sqref="Q374">
    <cfRule type="cellIs" dxfId="3" priority="4" stopIfTrue="1" operator="greaterThanOrEqual">
      <formula>70</formula>
    </cfRule>
    <cfRule type="cellIs" dxfId="2" priority="5" stopIfTrue="1" operator="between">
      <formula>60</formula>
      <formula>69.999999</formula>
    </cfRule>
    <cfRule type="cellIs" dxfId="1" priority="6" stopIfTrue="1" operator="between">
      <formula>50</formula>
      <formula>59.9999</formula>
    </cfRule>
    <cfRule type="cellIs" dxfId="0" priority="7" stopIfTrue="1" operator="lessThanOrEqual">
      <formula>50</formula>
    </cfRule>
  </conditionalFormatting>
  <conditionalFormatting sqref="A1:A2">
    <cfRule type="colorScale" priority="3">
      <colorScale>
        <cfvo type="min"/>
        <cfvo type="percentile" val="50"/>
        <cfvo type="max"/>
        <color rgb="FFF8696B"/>
        <color rgb="FFFFEB84"/>
        <color rgb="FF63BE7B"/>
      </colorScale>
    </cfRule>
  </conditionalFormatting>
  <conditionalFormatting sqref="C1">
    <cfRule type="colorScale" priority="1">
      <colorScale>
        <cfvo type="min"/>
        <cfvo type="percentile" val="50"/>
        <cfvo type="max"/>
        <color rgb="FFF8696B"/>
        <color rgb="FFFFEB84"/>
        <color rgb="FF63BE7B"/>
      </colorScale>
    </cfRule>
  </conditionalFormatting>
  <dataValidations count="4">
    <dataValidation type="whole" allowBlank="1" showInputMessage="1" showErrorMessage="1" errorTitle="Severity Score" error="Severity Score should be 1 to 5." sqref="I4:I1048576" xr:uid="{76BFE05A-0FA2-430A-9E1A-157E6E52E76B}">
      <formula1>1</formula1>
      <formula2>5</formula2>
    </dataValidation>
    <dataValidation type="whole" allowBlank="1" showInputMessage="1" showErrorMessage="1" errorTitle="Occurrence Score" error="Occurrence Score should be 1 to 5." sqref="L4:L1048576" xr:uid="{71DC4640-713C-4710-A181-B68F7D385D48}">
      <formula1>1</formula1>
      <formula2>5</formula2>
    </dataValidation>
    <dataValidation type="whole" allowBlank="1" showInputMessage="1" showErrorMessage="1" errorTitle="Detection Score" error="Detection Score should be 1 to 5." sqref="P4:P1048576" xr:uid="{0ECE6955-58CA-4C9D-BE4B-CF55F4FD7625}">
      <formula1>1</formula1>
      <formula2>5</formula2>
    </dataValidation>
    <dataValidation type="custom" allowBlank="1" showInputMessage="1" showErrorMessage="1" errorTitle="Duplicate ID" error="This ID is already assigned to another potential failure." sqref="A4 A19 A499:A1048576" xr:uid="{AEF2B50B-4485-4C5D-B28B-C66BF4CEC7CA}">
      <formula1>COUNTIF(#REF!,A4)=1</formula1>
    </dataValidation>
  </dataValidations>
  <pageMargins left="0.75" right="0.75" top="0.61" bottom="0.68" header="0.5" footer="0.25"/>
  <pageSetup paperSize="5" scale="20" fitToHeight="48" orientation="landscape"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DFMECA</vt:lpstr>
      <vt:lpstr>DFMECA!Print_Titles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Zohaib Nayyar</dc:creator>
  <cp:lastModifiedBy>Zohaib Nayyar</cp:lastModifiedBy>
  <dcterms:created xsi:type="dcterms:W3CDTF">2025-10-20T11:03:47Z</dcterms:created>
  <dcterms:modified xsi:type="dcterms:W3CDTF">2025-10-21T09:58:29Z</dcterms:modified>
</cp:coreProperties>
</file>