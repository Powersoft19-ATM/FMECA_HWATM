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revisions/revisionHeaders.xml" ContentType="application/vnd.openxmlformats-officedocument.spreadsheetml.revisionHeaders+xml"/>
  <Override PartName="/xl/revisions/revisionLog89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FMECA-HWATM Integrations\backend\boards\IPSI\"/>
    </mc:Choice>
  </mc:AlternateContent>
  <xr:revisionPtr revIDLastSave="0" documentId="13_ncr:81_{655013A8-39D8-43EF-AA10-9E00DE05DE74}" xr6:coauthVersionLast="36" xr6:coauthVersionMax="36" xr10:uidLastSave="{00000000-0000-0000-0000-000000000000}"/>
  <bookViews>
    <workbookView xWindow="0" yWindow="0" windowWidth="28800" windowHeight="12345" xr2:uid="{00000000-000D-0000-FFFF-FFFF00000000}"/>
  </bookViews>
  <sheets>
    <sheet name="HV-ISO board" sheetId="1" r:id="rId1"/>
  </sheets>
  <definedNames>
    <definedName name="_xlnm._FilterDatabase" localSheetId="0" hidden="1">'HV-ISO board'!$A$1:$C$121</definedName>
    <definedName name="Z_0848938A_2E23_4077_AC3C_185F69980512_.wvu.FilterData" localSheetId="0" hidden="1">'HV-ISO board'!$A$1:$C$121</definedName>
    <definedName name="Z_E671D645_8A7F_426C_AB91_987C41BF039E_.wvu.FilterData" localSheetId="0" hidden="1">'HV-ISO board'!$A$1:$C$121</definedName>
    <definedName name="Z_E8CBFF4F_DC34_431A_A627_42C9D2C0FB9A_.wvu.FilterData" localSheetId="0" hidden="1">'HV-ISO board'!$A$1:$C$121</definedName>
  </definedNames>
  <calcPr calcId="191029"/>
  <customWorkbookViews>
    <customWorkbookView name="Zohaib Nayyar - Personal View" guid="{0848938A-2E23-4077-AC3C-185F69980512}" mergeInterval="0" personalView="1" maximized="1" xWindow="-1928" yWindow="-8" windowWidth="1936" windowHeight="1176" activeSheetId="1"/>
    <customWorkbookView name="Burhan Ahsan - Personal View" guid="{E671D645-8A7F-426C-AB91-987C41BF039E}" mergeInterval="0" personalView="1" maximized="1" xWindow="-8" yWindow="-8" windowWidth="1382" windowHeight="744" activeSheetId="1"/>
    <customWorkbookView name="Asad Faiz. Muhammad - Personal View" guid="{E8CBFF4F-DC34-431A-A627-42C9D2C0FB9A}" mergeInterval="0" personalView="1" xWindow="-4" yWindow="40" windowWidth="1918" windowHeight="1000" activeSheetId="1"/>
  </customWorkbookViews>
  <extLst>
    <ext uri="GoogleSheetsCustomDataVersion1">
      <go:sheetsCustomData xmlns:go="http://customooxmlschemas.google.com/" r:id="rId5" roundtripDataSignature="AMtx7mj8i16BhQDmfq2vLUamC1/PYF0axA=="/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I8" i="1" l="1"/>
  <c r="I9" i="1"/>
  <c r="I10" i="1"/>
</calcChain>
</file>

<file path=xl/sharedStrings.xml><?xml version="1.0" encoding="utf-8"?>
<sst xmlns="http://schemas.openxmlformats.org/spreadsheetml/2006/main" count="373" uniqueCount="131">
  <si>
    <t>PCBA</t>
  </si>
  <si>
    <t>CRD</t>
  </si>
  <si>
    <t>Tested</t>
  </si>
  <si>
    <t>Components whose failures, under multiple scenarios, can be detected through Hardware ATM</t>
  </si>
  <si>
    <t>Not Tested</t>
  </si>
  <si>
    <t>Components whose failure cannot be detected through current Hardware ATM</t>
  </si>
  <si>
    <t>Partially Tested</t>
  </si>
  <si>
    <t>Components whose failure is detectable but Hardware ATM do not cover all of its possible failure scenarios</t>
  </si>
  <si>
    <t>Total</t>
  </si>
  <si>
    <t>C1</t>
  </si>
  <si>
    <t>C7</t>
  </si>
  <si>
    <t>C13</t>
  </si>
  <si>
    <t>C21</t>
  </si>
  <si>
    <t>C22</t>
  </si>
  <si>
    <t>C2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</si>
  <si>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</si>
  <si>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</si>
  <si>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</si>
  <si>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</si>
  <si>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</si>
  <si>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</si>
  <si>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</si>
  <si>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</si>
  <si>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</si>
  <si>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</si>
  <si>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</si>
  <si>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</si>
  <si>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</si>
  <si>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</si>
  <si>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</si>
  <si>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</si>
  <si>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C23</t>
  </si>
  <si>
    <t>D1</t>
  </si>
  <si>
    <t>D3</t>
  </si>
  <si>
    <t>D25</t>
  </si>
  <si>
    <t>D26</t>
  </si>
  <si>
    <t>D2</t>
  </si>
  <si>
    <t>D4</t>
  </si>
  <si>
    <t>D16</t>
  </si>
  <si>
    <t>D21</t>
  </si>
  <si>
    <t>D22</t>
  </si>
  <si>
    <t>D5</t>
  </si>
  <si>
    <t>D6</t>
  </si>
  <si>
    <t>D7</t>
  </si>
  <si>
    <t>D8</t>
  </si>
  <si>
    <t>D10</t>
  </si>
  <si>
    <t>D11</t>
  </si>
  <si>
    <t>D19</t>
  </si>
  <si>
    <t>D23</t>
  </si>
  <si>
    <t>D24</t>
  </si>
  <si>
    <t>D15</t>
  </si>
  <si>
    <t>D20</t>
  </si>
  <si>
    <t>D27</t>
  </si>
  <si>
    <t>D31</t>
  </si>
  <si>
    <t>Q1</t>
  </si>
  <si>
    <t>Q3</t>
  </si>
  <si>
    <t>Q4</t>
  </si>
  <si>
    <t>Q7</t>
  </si>
  <si>
    <t>Q2</t>
  </si>
  <si>
    <t>Q5</t>
  </si>
  <si>
    <t>Q6</t>
  </si>
  <si>
    <t>Q8</t>
  </si>
  <si>
    <t>R1</t>
  </si>
  <si>
    <t>R5</t>
  </si>
  <si>
    <t>R10</t>
  </si>
  <si>
    <t>R14</t>
  </si>
  <si>
    <t>R24</t>
  </si>
  <si>
    <t>R31</t>
  </si>
  <si>
    <t>R36</t>
  </si>
  <si>
    <t>R39</t>
  </si>
  <si>
    <t>R2</t>
  </si>
  <si>
    <t>R4</t>
  </si>
  <si>
    <t>R12</t>
  </si>
  <si>
    <t>R17</t>
  </si>
  <si>
    <t>R18</t>
  </si>
  <si>
    <t>R25</t>
  </si>
  <si>
    <t>R27</t>
  </si>
  <si>
    <t>R28</t>
  </si>
  <si>
    <t>R32</t>
  </si>
  <si>
    <t>R34</t>
  </si>
  <si>
    <t>R3</t>
  </si>
  <si>
    <t>R20</t>
  </si>
  <si>
    <t>R33</t>
  </si>
  <si>
    <t>R6</t>
  </si>
  <si>
    <t>R7</t>
  </si>
  <si>
    <t>R8</t>
  </si>
  <si>
    <t>R15</t>
  </si>
  <si>
    <t>R11</t>
  </si>
  <si>
    <t>R16</t>
  </si>
  <si>
    <t>R29</t>
  </si>
  <si>
    <t>R40</t>
  </si>
  <si>
    <t>R41</t>
  </si>
  <si>
    <t>R13</t>
  </si>
  <si>
    <t>R19</t>
  </si>
  <si>
    <t>R26</t>
  </si>
  <si>
    <t>R43</t>
  </si>
  <si>
    <t>R21</t>
  </si>
  <si>
    <t>R22</t>
  </si>
  <si>
    <t>R23</t>
  </si>
  <si>
    <t>R30</t>
  </si>
  <si>
    <t>R42</t>
  </si>
  <si>
    <t>R45</t>
  </si>
  <si>
    <t>R35</t>
  </si>
  <si>
    <t>R46</t>
  </si>
  <si>
    <t>R37</t>
  </si>
  <si>
    <t>SCREW1</t>
  </si>
  <si>
    <t>SCREW2</t>
  </si>
  <si>
    <t>SCREW3</t>
  </si>
  <si>
    <t>SCREW4</t>
  </si>
  <si>
    <t>U1</t>
  </si>
  <si>
    <t>U2</t>
  </si>
  <si>
    <t>U3</t>
  </si>
  <si>
    <t>CON1</t>
  </si>
  <si>
    <t>CON2</t>
  </si>
  <si>
    <t>CON3</t>
  </si>
  <si>
    <t>F1</t>
  </si>
  <si>
    <t>F2</t>
  </si>
  <si>
    <t>HS1</t>
  </si>
  <si>
    <t>HS2</t>
  </si>
  <si>
    <t>HS3</t>
  </si>
  <si>
    <t>HS4</t>
  </si>
  <si>
    <t>HS6</t>
  </si>
  <si>
    <t>HS7</t>
  </si>
  <si>
    <t>HS8</t>
  </si>
  <si>
    <t>HS5</t>
  </si>
  <si>
    <t>R38</t>
  </si>
  <si>
    <t>SCREW5</t>
  </si>
  <si>
    <t>SCREW6</t>
  </si>
  <si>
    <t>SCREW7</t>
  </si>
  <si>
    <t>P112469-1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</si>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</sst>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</font>
    <font>
      <sz val="11"/>
      <color theme="1"/>
      <name val="Calibri"/>
      <family val="2"/>
    </font>
    <font>
      <sz val="10"/>
      <color rgb="FF000000"/>
      <name val="Arimo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10" fontId="1" fillId="0" borderId="0" xfId="0" applyNumberFormat="1" applyFont="1"/>
    <xf numFmtId="0" fontId="5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usernames" Target="revisions/userName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revisionHeaders" Target="revisions/revisionHeaders.xml"/><Relationship Id="rId9" Type="http://schemas.openxmlformats.org/officeDocument/2006/relationships/calcChain" Target="calcChain.xml"/></Relationships>
</file>

<file path=xl/revisions/_rels/revisionHeaders.xml.rels><?xml version="1.0" encoding="UTF-8" standalone="yes"?>
<Relationships xmlns="http://schemas.openxmlformats.org/package/2006/relationships"><Relationship Id="rId90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CBDDA43-0836-4A0E-A91C-3E823DDA5074}" diskRevisions="1" revisionId="1915" version="3">
  <header guid="{3CBDDA43-0836-4A0E-A91C-3E823DDA5074}" dateTime="2025-11-14T19:05:45" maxSheetId="2" userName="Zohaib Nayyar" r:id="rId90" minRId="1794" maxRId="1914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4" sId="1" odxf="1" dxf="1">
    <oc r="C1" t="inlineStr">
      <is>
        <t>Tested</t>
      </is>
    </oc>
    <nc r="C1" t="inlineStr">
      <is>
        <t>Result</t>
      </is>
    </nc>
    <odxf>
      <font>
        <name val="Calibri"/>
        <family val="2"/>
      </font>
    </odxf>
    <ndxf>
      <font>
        <name val="Calibri"/>
        <family val="2"/>
      </font>
    </ndxf>
  </rcc>
  <rcc rId="1795" sId="1">
    <oc r="C7">
      <v>1</v>
    </oc>
    <nc r="C7" t="inlineStr">
      <is>
        <t>Tested</t>
      </is>
    </nc>
  </rcc>
  <rcc rId="1796" sId="1">
    <oc r="C9">
      <v>1</v>
    </oc>
    <nc r="C9" t="inlineStr">
      <is>
        <t>Tested</t>
      </is>
    </nc>
  </rcc>
  <rcc rId="1797" sId="1">
    <oc r="C10">
      <v>1</v>
    </oc>
    <nc r="C10" t="inlineStr">
      <is>
        <t>Tested</t>
      </is>
    </nc>
  </rcc>
  <rcc rId="1798" sId="1">
    <oc r="C13">
      <v>1</v>
    </oc>
    <nc r="C13" t="inlineStr">
      <is>
        <t>Tested</t>
      </is>
    </nc>
  </rcc>
  <rcc rId="1799" sId="1">
    <oc r="C14">
      <v>1</v>
    </oc>
    <nc r="C14" t="inlineStr">
      <is>
        <t>Tested</t>
      </is>
    </nc>
  </rcc>
  <rcc rId="1800" sId="1" odxf="1" dxf="1">
    <oc r="C25">
      <v>1</v>
    </oc>
    <nc r="C2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1" sId="1" odxf="1" dxf="1">
    <oc r="C26">
      <v>1</v>
    </oc>
    <nc r="C2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2" sId="1" odxf="1" dxf="1">
    <oc r="C27">
      <v>1</v>
    </oc>
    <nc r="C2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3" sId="1" odxf="1" dxf="1">
    <oc r="C28">
      <v>1</v>
    </oc>
    <nc r="C2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4" sId="1" odxf="1" dxf="1">
    <oc r="C29">
      <v>1</v>
    </oc>
    <nc r="C2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5" sId="1" odxf="1" dxf="1">
    <oc r="C30">
      <v>1</v>
    </oc>
    <nc r="C3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6" sId="1" odxf="1" dxf="1">
    <oc r="C31">
      <v>1</v>
    </oc>
    <nc r="C3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7" sId="1" odxf="1" dxf="1">
    <oc r="C32">
      <v>1</v>
    </oc>
    <nc r="C3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8" sId="1" odxf="1" dxf="1">
    <oc r="C33">
      <v>1</v>
    </oc>
    <nc r="C3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09" sId="1" odxf="1" dxf="1">
    <oc r="C34">
      <v>1</v>
    </oc>
    <nc r="C3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0" sId="1" odxf="1" dxf="1">
    <oc r="C35">
      <v>1</v>
    </oc>
    <nc r="C3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1" sId="1" odxf="1" dxf="1">
    <oc r="C36">
      <v>1</v>
    </oc>
    <nc r="C3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2" sId="1" odxf="1" dxf="1">
    <oc r="C37">
      <v>1</v>
    </oc>
    <nc r="C3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3" sId="1" odxf="1" dxf="1">
    <oc r="C38">
      <v>1</v>
    </oc>
    <nc r="C3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4" sId="1" odxf="1" dxf="1">
    <oc r="C39">
      <v>1</v>
    </oc>
    <nc r="C3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5" sId="1" odxf="1" dxf="1">
    <oc r="C40">
      <v>1</v>
    </oc>
    <nc r="C4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6" sId="1" odxf="1" dxf="1">
    <oc r="C41">
      <v>1</v>
    </oc>
    <nc r="C4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7" sId="1" odxf="1" dxf="1">
    <oc r="C42">
      <v>1</v>
    </oc>
    <nc r="C4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8" sId="1" odxf="1" dxf="1">
    <oc r="C43">
      <v>1</v>
    </oc>
    <nc r="C4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19" sId="1" odxf="1" dxf="1">
    <oc r="C44">
      <v>1</v>
    </oc>
    <nc r="C4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0" sId="1" odxf="1" dxf="1">
    <oc r="C45">
      <v>1</v>
    </oc>
    <nc r="C4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1" sId="1" odxf="1" dxf="1">
    <oc r="C46">
      <v>1</v>
    </oc>
    <nc r="C4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2" sId="1" odxf="1" dxf="1">
    <oc r="C47">
      <v>1</v>
    </oc>
    <nc r="C4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3" sId="1" odxf="1" dxf="1">
    <oc r="C48">
      <v>1</v>
    </oc>
    <nc r="C4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4" sId="1" odxf="1" dxf="1">
    <oc r="C49">
      <v>1</v>
    </oc>
    <nc r="C4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5" sId="1" odxf="1" dxf="1">
    <oc r="C50">
      <v>1</v>
    </oc>
    <nc r="C5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6" sId="1" odxf="1" dxf="1">
    <oc r="C51">
      <v>1</v>
    </oc>
    <nc r="C5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7" sId="1" odxf="1" dxf="1">
    <oc r="C60">
      <v>1</v>
    </oc>
    <nc r="C6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8" sId="1" odxf="1" dxf="1">
    <oc r="C61">
      <v>1</v>
    </oc>
    <nc r="C6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29" sId="1" odxf="1" dxf="1">
    <oc r="C62">
      <v>1</v>
    </oc>
    <nc r="C6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0" sId="1" odxf="1" dxf="1">
    <oc r="C63">
      <v>1</v>
    </oc>
    <nc r="C6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1" sId="1" odxf="1" dxf="1">
    <oc r="C64">
      <v>1</v>
    </oc>
    <nc r="C6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2" sId="1" odxf="1" dxf="1">
    <oc r="C65">
      <v>1</v>
    </oc>
    <nc r="C6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3" sId="1" odxf="1" dxf="1">
    <oc r="C66">
      <v>1</v>
    </oc>
    <nc r="C6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4" sId="1" odxf="1" dxf="1">
    <oc r="C67">
      <v>1</v>
    </oc>
    <nc r="C6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5" sId="1" odxf="1" dxf="1">
    <oc r="C68">
      <v>1</v>
    </oc>
    <nc r="C6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6" sId="1" odxf="1" dxf="1">
    <oc r="C69">
      <v>1</v>
    </oc>
    <nc r="C6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7" sId="1" odxf="1" dxf="1">
    <oc r="C70">
      <v>1</v>
    </oc>
    <nc r="C7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8" sId="1" odxf="1" dxf="1">
    <oc r="C71">
      <v>1</v>
    </oc>
    <nc r="C7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39" sId="1" odxf="1" dxf="1">
    <oc r="C72">
      <v>1</v>
    </oc>
    <nc r="C7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0" sId="1" odxf="1" dxf="1">
    <oc r="C73">
      <v>1</v>
    </oc>
    <nc r="C7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1" sId="1" odxf="1" dxf="1">
    <oc r="C74">
      <v>1</v>
    </oc>
    <nc r="C7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2" sId="1" odxf="1" dxf="1">
    <oc r="C75">
      <v>1</v>
    </oc>
    <nc r="C7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3" sId="1" odxf="1" dxf="1">
    <oc r="C76">
      <v>1</v>
    </oc>
    <nc r="C7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4" sId="1" odxf="1" dxf="1">
    <oc r="C77">
      <v>1</v>
    </oc>
    <nc r="C7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5" sId="1" odxf="1" dxf="1">
    <oc r="C78">
      <v>1</v>
    </oc>
    <nc r="C7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6" sId="1" odxf="1" dxf="1">
    <oc r="C79">
      <v>1</v>
    </oc>
    <nc r="C7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7" sId="1" odxf="1" dxf="1">
    <oc r="C80">
      <v>1</v>
    </oc>
    <nc r="C8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8" sId="1" odxf="1" dxf="1">
    <oc r="C81">
      <v>1</v>
    </oc>
    <nc r="C8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49" sId="1" odxf="1" dxf="1">
    <oc r="C82">
      <v>1</v>
    </oc>
    <nc r="C8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0" sId="1" odxf="1" dxf="1">
    <oc r="C83">
      <v>1</v>
    </oc>
    <nc r="C8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1" sId="1" odxf="1" dxf="1">
    <oc r="C84">
      <v>1</v>
    </oc>
    <nc r="C8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2" sId="1" odxf="1" dxf="1">
    <oc r="C85">
      <v>1</v>
    </oc>
    <nc r="C8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3" sId="1" odxf="1" dxf="1">
    <oc r="C86">
      <v>1</v>
    </oc>
    <nc r="C8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4" sId="1" odxf="1" dxf="1">
    <oc r="C87">
      <v>1</v>
    </oc>
    <nc r="C8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5" sId="1" odxf="1" dxf="1">
    <oc r="C88">
      <v>1</v>
    </oc>
    <nc r="C8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6" sId="1" odxf="1" dxf="1">
    <oc r="C89">
      <v>1</v>
    </oc>
    <nc r="C8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7" sId="1" odxf="1" dxf="1">
    <oc r="C90">
      <v>1</v>
    </oc>
    <nc r="C9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8" sId="1" odxf="1" dxf="1">
    <oc r="C91">
      <v>1</v>
    </oc>
    <nc r="C9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59" sId="1" odxf="1" dxf="1">
    <oc r="C92">
      <v>1</v>
    </oc>
    <nc r="C9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0" sId="1" odxf="1" dxf="1">
    <oc r="C93">
      <v>1</v>
    </oc>
    <nc r="C9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1" sId="1" odxf="1" dxf="1">
    <oc r="C94">
      <v>1</v>
    </oc>
    <nc r="C9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2" sId="1" odxf="1" dxf="1">
    <oc r="C95">
      <v>1</v>
    </oc>
    <nc r="C9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3" sId="1" odxf="1" dxf="1">
    <oc r="C96">
      <v>1</v>
    </oc>
    <nc r="C9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4" sId="1" odxf="1" dxf="1">
    <oc r="C97">
      <v>1</v>
    </oc>
    <nc r="C9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5" sId="1" odxf="1" dxf="1">
    <oc r="C98">
      <v>1</v>
    </oc>
    <nc r="C9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6" sId="1" odxf="1" dxf="1">
    <oc r="C99">
      <v>1</v>
    </oc>
    <nc r="C9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7" sId="1" odxf="1" dxf="1">
    <oc r="C100">
      <v>1</v>
    </oc>
    <nc r="C10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8" sId="1" odxf="1" dxf="1">
    <oc r="C101">
      <v>1</v>
    </oc>
    <nc r="C10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69" sId="1" odxf="1" dxf="1">
    <oc r="C102">
      <v>1</v>
    </oc>
    <nc r="C102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0" sId="1" odxf="1" dxf="1">
    <oc r="C103">
      <v>1</v>
    </oc>
    <nc r="C103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1" sId="1" odxf="1" dxf="1">
    <oc r="C104">
      <v>1</v>
    </oc>
    <nc r="C104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2" sId="1" odxf="1" dxf="1">
    <oc r="C105">
      <v>1</v>
    </oc>
    <nc r="C105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3" sId="1" odxf="1" dxf="1">
    <oc r="C106">
      <v>1</v>
    </oc>
    <nc r="C106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4" sId="1" odxf="1" dxf="1">
    <oc r="C107">
      <v>1</v>
    </oc>
    <nc r="C107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5" sId="1" odxf="1" dxf="1">
    <oc r="C108">
      <v>1</v>
    </oc>
    <nc r="C108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6" sId="1" odxf="1" dxf="1">
    <oc r="C109">
      <v>1</v>
    </oc>
    <nc r="C10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7" sId="1" odxf="1" dxf="1">
    <oc r="C110">
      <v>1</v>
    </oc>
    <nc r="C11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8" sId="1" odxf="1" dxf="1">
    <oc r="C111">
      <v>1</v>
    </oc>
    <nc r="C11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79" sId="1" odxf="1" dxf="1">
    <oc r="C119">
      <v>1</v>
    </oc>
    <nc r="C119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80" sId="1" odxf="1" dxf="1">
    <oc r="C120">
      <v>1</v>
    </oc>
    <nc r="C120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81" sId="1" odxf="1" dxf="1">
    <oc r="C121">
      <v>1</v>
    </oc>
    <nc r="C121" t="inlineStr">
      <is>
        <t>Tested</t>
      </is>
    </nc>
    <odxf>
      <font>
        <name val="Calibri"/>
        <family val="2"/>
      </font>
    </odxf>
    <ndxf>
      <font>
        <name val="Calibri"/>
        <family val="2"/>
      </font>
    </ndxf>
  </rcc>
  <rcc rId="1882" sId="1" odxf="1" dxf="1">
    <oc r="C52">
      <v>0</v>
    </oc>
    <nc r="C52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3" sId="1" odxf="1" dxf="1">
    <oc r="C53">
      <v>0</v>
    </oc>
    <nc r="C53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4" sId="1" odxf="1" dxf="1">
    <oc r="C54">
      <v>0</v>
    </oc>
    <nc r="C54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5" sId="1" odxf="1" dxf="1">
    <oc r="C55">
      <v>0</v>
    </oc>
    <nc r="C55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6" sId="1" odxf="1" dxf="1">
    <oc r="C56">
      <v>0</v>
    </oc>
    <nc r="C56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7" sId="1" odxf="1" dxf="1">
    <oc r="C57">
      <v>0</v>
    </oc>
    <nc r="C57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8" sId="1" odxf="1" dxf="1">
    <oc r="C58">
      <v>0</v>
    </oc>
    <nc r="C58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89" sId="1" odxf="1" dxf="1">
    <oc r="C59">
      <v>0</v>
    </oc>
    <nc r="C59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0" sId="1" odxf="1" dxf="1">
    <oc r="C112">
      <v>0</v>
    </oc>
    <nc r="C112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1" sId="1" odxf="1" dxf="1">
    <oc r="C113">
      <v>0</v>
    </oc>
    <nc r="C113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2" sId="1" odxf="1" dxf="1">
    <oc r="C114">
      <v>0</v>
    </oc>
    <nc r="C114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3" sId="1" odxf="1" dxf="1">
    <oc r="C115">
      <v>0</v>
    </oc>
    <nc r="C115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4" sId="1" odxf="1" dxf="1">
    <oc r="C116">
      <v>0</v>
    </oc>
    <nc r="C116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5" sId="1" odxf="1" dxf="1">
    <oc r="C117">
      <v>0</v>
    </oc>
    <nc r="C117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6" sId="1" odxf="1" dxf="1">
    <oc r="C118">
      <v>0</v>
    </oc>
    <nc r="C118" t="inlineStr">
      <is>
        <t>Not Tested</t>
      </is>
    </nc>
    <odxf>
      <font>
        <name val="Calibri"/>
        <family val="2"/>
      </font>
    </odxf>
    <ndxf>
      <font>
        <name val="Calibri"/>
        <family val="2"/>
      </font>
    </ndxf>
  </rcc>
  <rcc rId="1897" sId="1" odxf="1" dxf="1">
    <oc r="C2" t="inlineStr">
      <is>
        <t>PT</t>
      </is>
    </oc>
    <nc r="C2" t="inlineStr">
      <is>
        <t>Partially Tested</t>
      </is>
    </nc>
    <odxf>
      <alignment horizontal="center" vertical="top"/>
    </odxf>
    <ndxf>
      <alignment horizontal="general" vertical="bottom"/>
    </ndxf>
  </rcc>
  <rcc rId="1898" sId="1" odxf="1" dxf="1">
    <oc r="C3" t="inlineStr">
      <is>
        <t>PT</t>
      </is>
    </oc>
    <nc r="C3" t="inlineStr">
      <is>
        <t>Partially Tested</t>
      </is>
    </nc>
    <odxf>
      <alignment horizontal="center" vertical="top"/>
    </odxf>
    <ndxf>
      <alignment horizontal="general" vertical="bottom"/>
    </ndxf>
  </rcc>
  <rcc rId="1899" sId="1" odxf="1" dxf="1">
    <oc r="C4" t="inlineStr">
      <is>
        <t>PT</t>
      </is>
    </oc>
    <nc r="C4" t="inlineStr">
      <is>
        <t>Partially Tested</t>
      </is>
    </nc>
    <odxf>
      <alignment horizontal="center" vertical="top"/>
    </odxf>
    <ndxf>
      <alignment horizontal="general" vertical="bottom"/>
    </ndxf>
  </rcc>
  <rcc rId="1900" sId="1" odxf="1" dxf="1">
    <oc r="C5" t="inlineStr">
      <is>
        <t>PT</t>
      </is>
    </oc>
    <nc r="C5" t="inlineStr">
      <is>
        <t>Partially Tested</t>
      </is>
    </nc>
    <odxf>
      <alignment horizontal="center" vertical="top"/>
    </odxf>
    <ndxf>
      <alignment horizontal="general" vertical="bottom"/>
    </ndxf>
  </rcc>
  <rcc rId="1901" sId="1" odxf="1" dxf="1">
    <oc r="C6" t="inlineStr">
      <is>
        <t>PT</t>
      </is>
    </oc>
    <nc r="C6" t="inlineStr">
      <is>
        <t>Partially Tested</t>
      </is>
    </nc>
    <odxf>
      <alignment horizontal="center" vertical="top"/>
    </odxf>
    <ndxf>
      <alignment horizontal="general" vertical="bottom"/>
    </ndxf>
  </rcc>
  <rcc rId="1902" sId="1" odxf="1" dxf="1">
    <oc r="C8" t="inlineStr">
      <is>
        <t>PT</t>
      </is>
    </oc>
    <nc r="C8" t="inlineStr">
      <is>
        <t>Partially Tested</t>
      </is>
    </nc>
    <odxf>
      <alignment horizontal="center" vertical="top"/>
    </odxf>
    <ndxf>
      <alignment horizontal="general" vertical="bottom"/>
    </ndxf>
  </rcc>
  <rcc rId="1903" sId="1" odxf="1" dxf="1">
    <oc r="C11" t="inlineStr">
      <is>
        <t>PT</t>
      </is>
    </oc>
    <nc r="C11" t="inlineStr">
      <is>
        <t>Partially Tested</t>
      </is>
    </nc>
    <odxf>
      <alignment horizontal="center" vertical="top"/>
    </odxf>
    <ndxf>
      <alignment horizontal="general" vertical="bottom"/>
    </ndxf>
  </rcc>
  <rcc rId="1904" sId="1" odxf="1" dxf="1">
    <oc r="C12" t="inlineStr">
      <is>
        <t>PT</t>
      </is>
    </oc>
    <nc r="C12" t="inlineStr">
      <is>
        <t>Partially Tested</t>
      </is>
    </nc>
    <odxf>
      <alignment horizontal="center" vertical="top"/>
    </odxf>
    <ndxf>
      <alignment horizontal="general" vertical="bottom"/>
    </ndxf>
  </rcc>
  <rcc rId="1905" sId="1" odxf="1" dxf="1">
    <oc r="C15" t="inlineStr">
      <is>
        <t>PT</t>
      </is>
    </oc>
    <nc r="C15" t="inlineStr">
      <is>
        <t>Partially Tested</t>
      </is>
    </nc>
    <odxf>
      <alignment horizontal="center" vertical="top"/>
    </odxf>
    <ndxf>
      <alignment horizontal="general" vertical="bottom"/>
    </ndxf>
  </rcc>
  <rcc rId="1906" sId="1" odxf="1" dxf="1">
    <oc r="C16" t="inlineStr">
      <is>
        <t>PT</t>
      </is>
    </oc>
    <nc r="C16" t="inlineStr">
      <is>
        <t>Partially Tested</t>
      </is>
    </nc>
    <odxf>
      <alignment horizontal="center" vertical="top"/>
    </odxf>
    <ndxf>
      <alignment horizontal="general" vertical="bottom"/>
    </ndxf>
  </rcc>
  <rcc rId="1907" sId="1" odxf="1" dxf="1">
    <oc r="C17" t="inlineStr">
      <is>
        <t>PT</t>
      </is>
    </oc>
    <nc r="C17" t="inlineStr">
      <is>
        <t>Partially Tested</t>
      </is>
    </nc>
    <odxf>
      <alignment horizontal="center" vertical="top"/>
    </odxf>
    <ndxf>
      <alignment horizontal="general" vertical="bottom"/>
    </ndxf>
  </rcc>
  <rcc rId="1908" sId="1" odxf="1" dxf="1">
    <oc r="C18" t="inlineStr">
      <is>
        <t>PT</t>
      </is>
    </oc>
    <nc r="C18" t="inlineStr">
      <is>
        <t>Partially Tested</t>
      </is>
    </nc>
    <odxf>
      <alignment horizontal="center" vertical="top"/>
    </odxf>
    <ndxf>
      <alignment horizontal="general" vertical="bottom"/>
    </ndxf>
  </rcc>
  <rcc rId="1909" sId="1" odxf="1" dxf="1">
    <oc r="C19" t="inlineStr">
      <is>
        <t>PT</t>
      </is>
    </oc>
    <nc r="C19" t="inlineStr">
      <is>
        <t>Partially Tested</t>
      </is>
    </nc>
    <odxf>
      <alignment horizontal="center" vertical="top"/>
    </odxf>
    <ndxf>
      <alignment horizontal="general" vertical="bottom"/>
    </ndxf>
  </rcc>
  <rcc rId="1910" sId="1" odxf="1" dxf="1">
    <oc r="C20" t="inlineStr">
      <is>
        <t>PT</t>
      </is>
    </oc>
    <nc r="C20" t="inlineStr">
      <is>
        <t>Partially Tested</t>
      </is>
    </nc>
    <odxf>
      <alignment horizontal="center" vertical="top"/>
    </odxf>
    <ndxf>
      <alignment horizontal="general" vertical="bottom"/>
    </ndxf>
  </rcc>
  <rcc rId="1911" sId="1" odxf="1" dxf="1">
    <oc r="C21" t="inlineStr">
      <is>
        <t>PT</t>
      </is>
    </oc>
    <nc r="C21" t="inlineStr">
      <is>
        <t>Partially Tested</t>
      </is>
    </nc>
    <odxf>
      <alignment horizontal="center" vertical="top"/>
    </odxf>
    <ndxf>
      <alignment horizontal="general" vertical="bottom"/>
    </ndxf>
  </rcc>
  <rcc rId="1912" sId="1" odxf="1" dxf="1">
    <oc r="C22" t="inlineStr">
      <is>
        <t>PT</t>
      </is>
    </oc>
    <nc r="C22" t="inlineStr">
      <is>
        <t>Partially Tested</t>
      </is>
    </nc>
    <odxf>
      <alignment horizontal="center" vertical="top"/>
    </odxf>
    <ndxf>
      <alignment horizontal="general" vertical="bottom"/>
    </ndxf>
  </rcc>
  <rcc rId="1913" sId="1" odxf="1" dxf="1">
    <oc r="C23" t="inlineStr">
      <is>
        <t>PT</t>
      </is>
    </oc>
    <nc r="C23" t="inlineStr">
      <is>
        <t>Partially Tested</t>
      </is>
    </nc>
    <odxf>
      <alignment horizontal="center" vertical="top"/>
    </odxf>
    <ndxf>
      <alignment horizontal="general" vertical="bottom"/>
    </ndxf>
  </rcc>
  <rcc rId="1914" sId="1" odxf="1" dxf="1">
    <oc r="C24" t="inlineStr">
      <is>
        <t>PT</t>
      </is>
    </oc>
    <nc r="C24" t="inlineStr">
      <is>
        <t>Partially Tested</t>
      </is>
    </nc>
    <odxf>
      <alignment horizontal="center" vertical="top"/>
    </odxf>
    <ndxf>
      <alignment horizontal="general" vertical="bottom"/>
    </ndxf>
  </rcc>
  <rdn rId="0" localSheetId="1" customView="1" name="Z_0848938A_2E23_4077_AC3C_185F69980512_.wvu.FilterData" hidden="1" oldHidden="1">
    <formula>'HV-ISO board'!$A$1:$C$121</formula>
  </rdn>
  <rcv guid="{0848938A-2E23-4077-AC3C-185F69980512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showGridLines="0" tabSelected="1" zoomScaleNormal="100" workbookViewId="0">
      <pane ySplit="1" topLeftCell="A2" activePane="bottomLeft" state="frozen"/>
      <selection pane="bottomLeft" activeCell="E8" sqref="E8"/>
    </sheetView>
  </sheetViews>
  <sheetFormatPr defaultColWidth="12.625" defaultRowHeight="15" customHeight="1"/>
  <cols>
    <col min="1" max="1" width="14.125" customWidth="1"/>
    <col min="2" max="2" width="12.75" customWidth="1"/>
    <col min="3" max="3" width="13" style="13" bestFit="1" customWidth="1"/>
    <col min="4" max="4" width="10.25" customWidth="1"/>
    <col min="5" max="6" width="7.625" customWidth="1"/>
    <col min="7" max="7" width="15.375" customWidth="1"/>
    <col min="8" max="9" width="7.625" customWidth="1"/>
    <col min="10" max="10" width="10.625" customWidth="1"/>
    <col min="11" max="19" width="7.625" customWidth="1"/>
  </cols>
  <sheetData>
    <row r="1" spans="1:19">
      <c r="A1" s="1" t="s">
        <v>0</v>
      </c>
      <c r="B1" s="1" t="s">
        <v>1</v>
      </c>
      <c r="C1" s="14" t="s">
        <v>130</v>
      </c>
      <c r="D1" s="2"/>
    </row>
    <row r="2" spans="1:19">
      <c r="A2" s="1" t="s">
        <v>129</v>
      </c>
      <c r="B2" s="1" t="s">
        <v>9</v>
      </c>
      <c r="C2" s="1" t="s">
        <v>6</v>
      </c>
      <c r="D2" s="3"/>
    </row>
    <row r="3" spans="1:19">
      <c r="A3" s="1" t="s">
        <v>129</v>
      </c>
      <c r="B3" s="1" t="s">
        <v>16</v>
      </c>
      <c r="C3" s="1" t="s">
        <v>6</v>
      </c>
      <c r="D3" s="3"/>
      <c r="G3" s="1" t="s">
        <v>2</v>
      </c>
      <c r="H3" s="15" t="s">
        <v>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7"/>
    </row>
    <row r="4" spans="1:19">
      <c r="A4" s="1" t="s">
        <v>129</v>
      </c>
      <c r="B4" s="1" t="s">
        <v>17</v>
      </c>
      <c r="C4" s="1" t="s">
        <v>6</v>
      </c>
      <c r="D4" s="3"/>
      <c r="G4" s="1" t="s">
        <v>4</v>
      </c>
      <c r="H4" s="15" t="s">
        <v>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spans="1:19">
      <c r="A5" s="1" t="s">
        <v>129</v>
      </c>
      <c r="B5" s="1" t="s">
        <v>14</v>
      </c>
      <c r="C5" s="1" t="s">
        <v>6</v>
      </c>
      <c r="D5" s="3"/>
      <c r="G5" s="1" t="s">
        <v>6</v>
      </c>
      <c r="H5" s="15" t="s">
        <v>7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spans="1:19">
      <c r="A6" s="1" t="s">
        <v>129</v>
      </c>
      <c r="B6" s="1" t="s">
        <v>31</v>
      </c>
      <c r="C6" s="1" t="s">
        <v>6</v>
      </c>
      <c r="D6" s="3"/>
      <c r="G6" s="4"/>
      <c r="H6" s="4"/>
      <c r="I6" s="5"/>
    </row>
    <row r="7" spans="1:19">
      <c r="A7" s="1" t="s">
        <v>129</v>
      </c>
      <c r="B7" s="1" t="s">
        <v>15</v>
      </c>
      <c r="C7" s="14" t="s">
        <v>2</v>
      </c>
      <c r="D7" s="3"/>
    </row>
    <row r="8" spans="1:19">
      <c r="A8" s="1" t="s">
        <v>129</v>
      </c>
      <c r="B8" s="1" t="s">
        <v>23</v>
      </c>
      <c r="C8" s="1" t="s">
        <v>6</v>
      </c>
      <c r="D8" s="3"/>
      <c r="G8" s="6" t="s">
        <v>2</v>
      </c>
      <c r="H8" s="7">
        <f>COUNTIF(C:C,"=1")</f>
        <v>0</v>
      </c>
      <c r="I8" s="8">
        <f>H8/H11</f>
        <v>0</v>
      </c>
    </row>
    <row r="9" spans="1:19">
      <c r="A9" s="1" t="s">
        <v>129</v>
      </c>
      <c r="B9" s="1" t="s">
        <v>18</v>
      </c>
      <c r="C9" s="14" t="s">
        <v>2</v>
      </c>
      <c r="D9" s="3"/>
      <c r="G9" s="6" t="s">
        <v>4</v>
      </c>
      <c r="H9" s="7">
        <f>COUNTIF(C:C,"=0")</f>
        <v>0</v>
      </c>
      <c r="I9" s="8">
        <f>H9/H11</f>
        <v>0</v>
      </c>
      <c r="J9" s="5"/>
      <c r="K9" s="5"/>
      <c r="L9" s="5"/>
      <c r="M9" s="5"/>
      <c r="N9" s="5"/>
      <c r="O9" s="5"/>
      <c r="P9" s="5"/>
      <c r="Q9" s="5"/>
      <c r="R9" s="5"/>
    </row>
    <row r="10" spans="1:19">
      <c r="A10" s="1" t="s">
        <v>129</v>
      </c>
      <c r="B10" s="1" t="s">
        <v>20</v>
      </c>
      <c r="C10" s="14" t="s">
        <v>2</v>
      </c>
      <c r="D10" s="3"/>
      <c r="G10" s="6" t="s">
        <v>6</v>
      </c>
      <c r="H10" s="7">
        <f>COUNTIF(C:C,"PT")</f>
        <v>0</v>
      </c>
      <c r="I10" s="8">
        <f>H10/H11</f>
        <v>0</v>
      </c>
      <c r="J10" s="5"/>
      <c r="K10" s="5"/>
      <c r="L10" s="5"/>
      <c r="M10" s="5"/>
      <c r="N10" s="5"/>
      <c r="O10" s="5"/>
      <c r="P10" s="5"/>
      <c r="Q10" s="5"/>
      <c r="R10" s="5"/>
    </row>
    <row r="11" spans="1:19">
      <c r="A11" s="1" t="s">
        <v>129</v>
      </c>
      <c r="B11" s="1" t="s">
        <v>10</v>
      </c>
      <c r="C11" s="1" t="s">
        <v>6</v>
      </c>
      <c r="D11" s="3"/>
      <c r="G11" s="9" t="s">
        <v>8</v>
      </c>
      <c r="H11" s="9">
        <f>COUNTA(B:B)-1</f>
        <v>120</v>
      </c>
      <c r="I11" s="1"/>
      <c r="J11" s="5"/>
      <c r="K11" s="5"/>
      <c r="L11" s="5"/>
      <c r="M11" s="5"/>
      <c r="N11" s="5"/>
      <c r="O11" s="5"/>
      <c r="P11" s="5"/>
      <c r="Q11" s="5"/>
      <c r="R11" s="5"/>
    </row>
    <row r="12" spans="1:19">
      <c r="A12" s="1" t="s">
        <v>129</v>
      </c>
      <c r="B12" s="1" t="s">
        <v>19</v>
      </c>
      <c r="C12" s="1" t="s">
        <v>6</v>
      </c>
      <c r="D12" s="3"/>
    </row>
    <row r="13" spans="1:19">
      <c r="A13" s="1" t="s">
        <v>129</v>
      </c>
      <c r="B13" s="1" t="s">
        <v>21</v>
      </c>
      <c r="C13" s="14" t="s">
        <v>2</v>
      </c>
      <c r="D13" s="3"/>
    </row>
    <row r="14" spans="1:19">
      <c r="A14" s="1" t="s">
        <v>129</v>
      </c>
      <c r="B14" s="1" t="s">
        <v>22</v>
      </c>
      <c r="C14" s="14" t="s">
        <v>2</v>
      </c>
      <c r="D14" s="3"/>
      <c r="G14" s="10"/>
      <c r="H14" s="11"/>
      <c r="I14" s="12"/>
    </row>
    <row r="15" spans="1:19">
      <c r="A15" s="1" t="s">
        <v>129</v>
      </c>
      <c r="B15" s="1" t="s">
        <v>25</v>
      </c>
      <c r="C15" s="1" t="s">
        <v>6</v>
      </c>
      <c r="D15" s="3"/>
      <c r="I15" s="12"/>
    </row>
    <row r="16" spans="1:19">
      <c r="A16" s="1" t="s">
        <v>129</v>
      </c>
      <c r="B16" s="1" t="s">
        <v>26</v>
      </c>
      <c r="C16" s="1" t="s">
        <v>6</v>
      </c>
      <c r="D16" s="3"/>
      <c r="I16" s="12"/>
    </row>
    <row r="17" spans="1:9">
      <c r="A17" s="1" t="s">
        <v>129</v>
      </c>
      <c r="B17" s="1" t="s">
        <v>11</v>
      </c>
      <c r="C17" s="1" t="s">
        <v>6</v>
      </c>
      <c r="D17" s="3"/>
      <c r="I17" s="5"/>
    </row>
    <row r="18" spans="1:9">
      <c r="A18" s="1" t="s">
        <v>129</v>
      </c>
      <c r="B18" s="1" t="s">
        <v>24</v>
      </c>
      <c r="C18" s="1" t="s">
        <v>6</v>
      </c>
      <c r="D18" s="3"/>
    </row>
    <row r="19" spans="1:9">
      <c r="A19" s="1" t="s">
        <v>129</v>
      </c>
      <c r="B19" s="1" t="s">
        <v>27</v>
      </c>
      <c r="C19" s="1" t="s">
        <v>6</v>
      </c>
      <c r="D19" s="3"/>
    </row>
    <row r="20" spans="1:9">
      <c r="A20" s="1" t="s">
        <v>129</v>
      </c>
      <c r="B20" s="1" t="s">
        <v>28</v>
      </c>
      <c r="C20" s="1" t="s">
        <v>6</v>
      </c>
      <c r="D20" s="3"/>
    </row>
    <row r="21" spans="1:9" ht="15.75" customHeight="1">
      <c r="A21" s="1" t="s">
        <v>129</v>
      </c>
      <c r="B21" s="1" t="s">
        <v>12</v>
      </c>
      <c r="C21" s="1" t="s">
        <v>6</v>
      </c>
      <c r="D21" s="3"/>
    </row>
    <row r="22" spans="1:9" ht="15.75" customHeight="1">
      <c r="A22" s="1" t="s">
        <v>129</v>
      </c>
      <c r="B22" s="1" t="s">
        <v>13</v>
      </c>
      <c r="C22" s="1" t="s">
        <v>6</v>
      </c>
      <c r="D22" s="3"/>
    </row>
    <row r="23" spans="1:9" ht="15.75" customHeight="1">
      <c r="A23" s="1" t="s">
        <v>129</v>
      </c>
      <c r="B23" s="1" t="s">
        <v>29</v>
      </c>
      <c r="C23" s="1" t="s">
        <v>6</v>
      </c>
      <c r="D23" s="3"/>
    </row>
    <row r="24" spans="1:9" ht="15.75" customHeight="1">
      <c r="A24" s="1" t="s">
        <v>129</v>
      </c>
      <c r="B24" s="1" t="s">
        <v>30</v>
      </c>
      <c r="C24" s="1" t="s">
        <v>6</v>
      </c>
      <c r="D24" s="3"/>
    </row>
    <row r="25" spans="1:9" ht="15.75" customHeight="1">
      <c r="A25" s="1" t="s">
        <v>129</v>
      </c>
      <c r="B25" s="1" t="s">
        <v>112</v>
      </c>
      <c r="C25" s="14" t="s">
        <v>2</v>
      </c>
      <c r="D25" s="3"/>
    </row>
    <row r="26" spans="1:9" ht="15.75" customHeight="1">
      <c r="A26" s="1" t="s">
        <v>129</v>
      </c>
      <c r="B26" s="1" t="s">
        <v>113</v>
      </c>
      <c r="C26" s="14" t="s">
        <v>2</v>
      </c>
      <c r="D26" s="3"/>
    </row>
    <row r="27" spans="1:9" ht="15.75" customHeight="1">
      <c r="A27" s="1" t="s">
        <v>129</v>
      </c>
      <c r="B27" s="1" t="s">
        <v>114</v>
      </c>
      <c r="C27" s="14" t="s">
        <v>2</v>
      </c>
      <c r="D27" s="3"/>
    </row>
    <row r="28" spans="1:9" ht="15.75" customHeight="1">
      <c r="A28" s="1" t="s">
        <v>129</v>
      </c>
      <c r="B28" s="1" t="s">
        <v>32</v>
      </c>
      <c r="C28" s="14" t="s">
        <v>2</v>
      </c>
      <c r="D28" s="3"/>
    </row>
    <row r="29" spans="1:9" ht="15.75" customHeight="1">
      <c r="A29" s="1" t="s">
        <v>129</v>
      </c>
      <c r="B29" s="1" t="s">
        <v>36</v>
      </c>
      <c r="C29" s="14" t="s">
        <v>2</v>
      </c>
      <c r="D29" s="3"/>
    </row>
    <row r="30" spans="1:9" ht="15.75" customHeight="1">
      <c r="A30" s="1" t="s">
        <v>129</v>
      </c>
      <c r="B30" s="1" t="s">
        <v>33</v>
      </c>
      <c r="C30" s="14" t="s">
        <v>2</v>
      </c>
      <c r="D30" s="3"/>
    </row>
    <row r="31" spans="1:9" ht="15.75" customHeight="1">
      <c r="A31" s="1" t="s">
        <v>129</v>
      </c>
      <c r="B31" s="1" t="s">
        <v>37</v>
      </c>
      <c r="C31" s="14" t="s">
        <v>2</v>
      </c>
      <c r="D31" s="3"/>
    </row>
    <row r="32" spans="1:9" ht="15.75" customHeight="1">
      <c r="A32" s="1" t="s">
        <v>129</v>
      </c>
      <c r="B32" s="1" t="s">
        <v>41</v>
      </c>
      <c r="C32" s="14" t="s">
        <v>2</v>
      </c>
      <c r="D32" s="3"/>
    </row>
    <row r="33" spans="1:4" ht="15.75" customHeight="1">
      <c r="A33" s="1" t="s">
        <v>129</v>
      </c>
      <c r="B33" s="1" t="s">
        <v>42</v>
      </c>
      <c r="C33" s="14" t="s">
        <v>2</v>
      </c>
      <c r="D33" s="3"/>
    </row>
    <row r="34" spans="1:4" ht="15.75" customHeight="1">
      <c r="A34" s="1" t="s">
        <v>129</v>
      </c>
      <c r="B34" s="1" t="s">
        <v>44</v>
      </c>
      <c r="C34" s="14" t="s">
        <v>2</v>
      </c>
      <c r="D34" s="3"/>
    </row>
    <row r="35" spans="1:4" ht="15.75" customHeight="1">
      <c r="A35" s="1" t="s">
        <v>129</v>
      </c>
      <c r="B35" s="1" t="s">
        <v>43</v>
      </c>
      <c r="C35" s="14" t="s">
        <v>2</v>
      </c>
      <c r="D35" s="3"/>
    </row>
    <row r="36" spans="1:4" ht="15.75" customHeight="1">
      <c r="A36" s="1" t="s">
        <v>129</v>
      </c>
      <c r="B36" s="1" t="s">
        <v>45</v>
      </c>
      <c r="C36" s="14" t="s">
        <v>2</v>
      </c>
      <c r="D36" s="3"/>
    </row>
    <row r="37" spans="1:4" ht="15.75" customHeight="1">
      <c r="A37" s="1" t="s">
        <v>129</v>
      </c>
      <c r="B37" s="1" t="s">
        <v>46</v>
      </c>
      <c r="C37" s="14" t="s">
        <v>2</v>
      </c>
      <c r="D37" s="3"/>
    </row>
    <row r="38" spans="1:4" ht="15.75" customHeight="1">
      <c r="A38" s="1" t="s">
        <v>129</v>
      </c>
      <c r="B38" s="1" t="s">
        <v>50</v>
      </c>
      <c r="C38" s="14" t="s">
        <v>2</v>
      </c>
      <c r="D38" s="3"/>
    </row>
    <row r="39" spans="1:4" ht="15.75" customHeight="1">
      <c r="A39" s="1" t="s">
        <v>129</v>
      </c>
      <c r="B39" s="1" t="s">
        <v>38</v>
      </c>
      <c r="C39" s="14" t="s">
        <v>2</v>
      </c>
      <c r="D39" s="3"/>
    </row>
    <row r="40" spans="1:4" ht="15.75" customHeight="1">
      <c r="A40" s="1" t="s">
        <v>129</v>
      </c>
      <c r="B40" s="1" t="s">
        <v>47</v>
      </c>
      <c r="C40" s="14" t="s">
        <v>2</v>
      </c>
      <c r="D40" s="3"/>
    </row>
    <row r="41" spans="1:4" ht="15.75" customHeight="1">
      <c r="A41" s="1" t="s">
        <v>129</v>
      </c>
      <c r="B41" s="1" t="s">
        <v>51</v>
      </c>
      <c r="C41" s="14" t="s">
        <v>2</v>
      </c>
      <c r="D41" s="3"/>
    </row>
    <row r="42" spans="1:4" ht="15.75" customHeight="1">
      <c r="A42" s="1" t="s">
        <v>129</v>
      </c>
      <c r="B42" s="1" t="s">
        <v>39</v>
      </c>
      <c r="C42" s="14" t="s">
        <v>2</v>
      </c>
      <c r="D42" s="3"/>
    </row>
    <row r="43" spans="1:4" ht="15.75" customHeight="1">
      <c r="A43" s="1" t="s">
        <v>129</v>
      </c>
      <c r="B43" s="1" t="s">
        <v>40</v>
      </c>
      <c r="C43" s="14" t="s">
        <v>2</v>
      </c>
      <c r="D43" s="2"/>
    </row>
    <row r="44" spans="1:4" ht="15.75" customHeight="1">
      <c r="A44" s="1" t="s">
        <v>129</v>
      </c>
      <c r="B44" s="1" t="s">
        <v>49</v>
      </c>
      <c r="C44" s="14" t="s">
        <v>2</v>
      </c>
      <c r="D44" s="2"/>
    </row>
    <row r="45" spans="1:4" ht="15.75" customHeight="1">
      <c r="A45" s="1" t="s">
        <v>129</v>
      </c>
      <c r="B45" s="1" t="s">
        <v>48</v>
      </c>
      <c r="C45" s="14" t="s">
        <v>2</v>
      </c>
      <c r="D45" s="2"/>
    </row>
    <row r="46" spans="1:4" ht="15.75" customHeight="1">
      <c r="A46" s="1" t="s">
        <v>129</v>
      </c>
      <c r="B46" s="1" t="s">
        <v>35</v>
      </c>
      <c r="C46" s="14" t="s">
        <v>2</v>
      </c>
      <c r="D46" s="2"/>
    </row>
    <row r="47" spans="1:4" ht="15.75" customHeight="1">
      <c r="A47" s="1" t="s">
        <v>129</v>
      </c>
      <c r="B47" s="1" t="s">
        <v>34</v>
      </c>
      <c r="C47" s="14" t="s">
        <v>2</v>
      </c>
      <c r="D47" s="2"/>
    </row>
    <row r="48" spans="1:4" ht="15.75" customHeight="1">
      <c r="A48" s="1" t="s">
        <v>129</v>
      </c>
      <c r="B48" s="1" t="s">
        <v>52</v>
      </c>
      <c r="C48" s="14" t="s">
        <v>2</v>
      </c>
      <c r="D48" s="2"/>
    </row>
    <row r="49" spans="1:4" ht="15.75" customHeight="1">
      <c r="A49" s="1" t="s">
        <v>129</v>
      </c>
      <c r="B49" s="1" t="s">
        <v>53</v>
      </c>
      <c r="C49" s="14" t="s">
        <v>2</v>
      </c>
      <c r="D49" s="2"/>
    </row>
    <row r="50" spans="1:4" ht="15.75" customHeight="1">
      <c r="A50" s="1" t="s">
        <v>129</v>
      </c>
      <c r="B50" s="1" t="s">
        <v>115</v>
      </c>
      <c r="C50" s="14" t="s">
        <v>2</v>
      </c>
      <c r="D50" s="2"/>
    </row>
    <row r="51" spans="1:4" ht="15.75" customHeight="1">
      <c r="A51" s="1" t="s">
        <v>129</v>
      </c>
      <c r="B51" s="1" t="s">
        <v>116</v>
      </c>
      <c r="C51" s="14" t="s">
        <v>2</v>
      </c>
      <c r="D51" s="2"/>
    </row>
    <row r="52" spans="1:4" ht="15.75" customHeight="1">
      <c r="A52" s="1" t="s">
        <v>129</v>
      </c>
      <c r="B52" s="1" t="s">
        <v>117</v>
      </c>
      <c r="C52" s="14" t="s">
        <v>4</v>
      </c>
      <c r="D52" s="2"/>
    </row>
    <row r="53" spans="1:4" ht="15.75" customHeight="1">
      <c r="A53" s="1" t="s">
        <v>129</v>
      </c>
      <c r="B53" s="1" t="s">
        <v>118</v>
      </c>
      <c r="C53" s="14" t="s">
        <v>4</v>
      </c>
      <c r="D53" s="2"/>
    </row>
    <row r="54" spans="1:4" ht="15.75" customHeight="1">
      <c r="A54" s="1" t="s">
        <v>129</v>
      </c>
      <c r="B54" s="1" t="s">
        <v>119</v>
      </c>
      <c r="C54" s="14" t="s">
        <v>4</v>
      </c>
      <c r="D54" s="2"/>
    </row>
    <row r="55" spans="1:4" ht="15.75" customHeight="1">
      <c r="A55" s="1" t="s">
        <v>129</v>
      </c>
      <c r="B55" s="1" t="s">
        <v>120</v>
      </c>
      <c r="C55" s="14" t="s">
        <v>4</v>
      </c>
      <c r="D55" s="2"/>
    </row>
    <row r="56" spans="1:4" ht="15.75" customHeight="1">
      <c r="A56" s="1" t="s">
        <v>129</v>
      </c>
      <c r="B56" s="1" t="s">
        <v>121</v>
      </c>
      <c r="C56" s="14" t="s">
        <v>4</v>
      </c>
      <c r="D56" s="2"/>
    </row>
    <row r="57" spans="1:4" ht="15.75" customHeight="1">
      <c r="A57" s="1" t="s">
        <v>129</v>
      </c>
      <c r="B57" s="1" t="s">
        <v>122</v>
      </c>
      <c r="C57" s="14" t="s">
        <v>4</v>
      </c>
      <c r="D57" s="2"/>
    </row>
    <row r="58" spans="1:4" ht="15.75" customHeight="1">
      <c r="A58" s="1" t="s">
        <v>129</v>
      </c>
      <c r="B58" s="1" t="s">
        <v>123</v>
      </c>
      <c r="C58" s="14" t="s">
        <v>4</v>
      </c>
      <c r="D58" s="2"/>
    </row>
    <row r="59" spans="1:4" ht="15.75" customHeight="1">
      <c r="A59" s="1" t="s">
        <v>129</v>
      </c>
      <c r="B59" s="1" t="s">
        <v>124</v>
      </c>
      <c r="C59" s="14" t="s">
        <v>4</v>
      </c>
      <c r="D59" s="2"/>
    </row>
    <row r="60" spans="1:4" ht="15.75" customHeight="1">
      <c r="A60" s="1" t="s">
        <v>129</v>
      </c>
      <c r="B60" s="1" t="s">
        <v>54</v>
      </c>
      <c r="C60" s="14" t="s">
        <v>2</v>
      </c>
      <c r="D60" s="2"/>
    </row>
    <row r="61" spans="1:4" ht="15.75" customHeight="1">
      <c r="A61" s="1" t="s">
        <v>129</v>
      </c>
      <c r="B61" s="1" t="s">
        <v>58</v>
      </c>
      <c r="C61" s="14" t="s">
        <v>2</v>
      </c>
      <c r="D61" s="2"/>
    </row>
    <row r="62" spans="1:4" ht="15.75" customHeight="1">
      <c r="A62" s="1" t="s">
        <v>129</v>
      </c>
      <c r="B62" s="1" t="s">
        <v>55</v>
      </c>
      <c r="C62" s="14" t="s">
        <v>2</v>
      </c>
      <c r="D62" s="2"/>
    </row>
    <row r="63" spans="1:4" ht="15.75" customHeight="1">
      <c r="A63" s="1" t="s">
        <v>129</v>
      </c>
      <c r="B63" s="1" t="s">
        <v>56</v>
      </c>
      <c r="C63" s="14" t="s">
        <v>2</v>
      </c>
      <c r="D63" s="2"/>
    </row>
    <row r="64" spans="1:4" ht="15.75" customHeight="1">
      <c r="A64" s="1" t="s">
        <v>129</v>
      </c>
      <c r="B64" s="1" t="s">
        <v>59</v>
      </c>
      <c r="C64" s="14" t="s">
        <v>2</v>
      </c>
      <c r="D64" s="2"/>
    </row>
    <row r="65" spans="1:4" ht="15.75" customHeight="1">
      <c r="A65" s="1" t="s">
        <v>129</v>
      </c>
      <c r="B65" s="1" t="s">
        <v>60</v>
      </c>
      <c r="C65" s="14" t="s">
        <v>2</v>
      </c>
      <c r="D65" s="2"/>
    </row>
    <row r="66" spans="1:4" ht="15.75" customHeight="1">
      <c r="A66" s="1" t="s">
        <v>129</v>
      </c>
      <c r="B66" s="1" t="s">
        <v>57</v>
      </c>
      <c r="C66" s="14" t="s">
        <v>2</v>
      </c>
      <c r="D66" s="2"/>
    </row>
    <row r="67" spans="1:4" ht="15.75" customHeight="1">
      <c r="A67" s="1" t="s">
        <v>129</v>
      </c>
      <c r="B67" s="1" t="s">
        <v>61</v>
      </c>
      <c r="C67" s="14" t="s">
        <v>2</v>
      </c>
      <c r="D67" s="2"/>
    </row>
    <row r="68" spans="1:4" ht="15.75" customHeight="1">
      <c r="A68" s="1" t="s">
        <v>129</v>
      </c>
      <c r="B68" s="1" t="s">
        <v>62</v>
      </c>
      <c r="C68" s="14" t="s">
        <v>2</v>
      </c>
      <c r="D68" s="2"/>
    </row>
    <row r="69" spans="1:4" ht="15.75" customHeight="1">
      <c r="A69" s="1" t="s">
        <v>129</v>
      </c>
      <c r="B69" s="1" t="s">
        <v>125</v>
      </c>
      <c r="C69" s="14" t="s">
        <v>2</v>
      </c>
      <c r="D69" s="2"/>
    </row>
    <row r="70" spans="1:4" ht="15.75" customHeight="1">
      <c r="A70" s="1" t="s">
        <v>129</v>
      </c>
      <c r="B70" s="1" t="s">
        <v>69</v>
      </c>
      <c r="C70" s="14" t="s">
        <v>2</v>
      </c>
      <c r="D70" s="2"/>
    </row>
    <row r="71" spans="1:4" ht="15.75" customHeight="1">
      <c r="A71" s="1" t="s">
        <v>129</v>
      </c>
      <c r="B71" s="1" t="s">
        <v>70</v>
      </c>
      <c r="C71" s="14" t="s">
        <v>2</v>
      </c>
      <c r="D71" s="2"/>
    </row>
    <row r="72" spans="1:4" ht="15.75" customHeight="1">
      <c r="A72" s="1" t="s">
        <v>129</v>
      </c>
      <c r="B72" s="1" t="s">
        <v>80</v>
      </c>
      <c r="C72" s="14" t="s">
        <v>2</v>
      </c>
      <c r="D72" s="2"/>
    </row>
    <row r="73" spans="1:4" ht="15.75" customHeight="1">
      <c r="A73" s="1" t="s">
        <v>129</v>
      </c>
      <c r="B73" s="1" t="s">
        <v>81</v>
      </c>
      <c r="C73" s="14" t="s">
        <v>2</v>
      </c>
      <c r="D73" s="2"/>
    </row>
    <row r="74" spans="1:4" ht="15.75" customHeight="1">
      <c r="A74" s="1" t="s">
        <v>129</v>
      </c>
      <c r="B74" s="1" t="s">
        <v>96</v>
      </c>
      <c r="C74" s="14" t="s">
        <v>2</v>
      </c>
      <c r="D74" s="2"/>
    </row>
    <row r="75" spans="1:4" ht="15.75" customHeight="1">
      <c r="A75" s="1" t="s">
        <v>129</v>
      </c>
      <c r="B75" s="1" t="s">
        <v>71</v>
      </c>
      <c r="C75" s="14" t="s">
        <v>2</v>
      </c>
      <c r="D75" s="2"/>
    </row>
    <row r="76" spans="1:4" ht="15.75" customHeight="1">
      <c r="A76" s="1" t="s">
        <v>129</v>
      </c>
      <c r="B76" s="1" t="s">
        <v>63</v>
      </c>
      <c r="C76" s="14" t="s">
        <v>2</v>
      </c>
      <c r="D76" s="2"/>
    </row>
    <row r="77" spans="1:4" ht="15.75" customHeight="1">
      <c r="A77" s="1" t="s">
        <v>129</v>
      </c>
      <c r="B77" s="1" t="s">
        <v>83</v>
      </c>
      <c r="C77" s="14" t="s">
        <v>2</v>
      </c>
      <c r="D77" s="2"/>
    </row>
    <row r="78" spans="1:4" ht="15.75" customHeight="1">
      <c r="A78" s="1" t="s">
        <v>129</v>
      </c>
      <c r="B78" s="1" t="s">
        <v>84</v>
      </c>
      <c r="C78" s="14" t="s">
        <v>2</v>
      </c>
      <c r="D78" s="2"/>
    </row>
    <row r="79" spans="1:4" ht="15.75" customHeight="1">
      <c r="A79" s="1" t="s">
        <v>129</v>
      </c>
      <c r="B79" s="1" t="s">
        <v>98</v>
      </c>
      <c r="C79" s="14" t="s">
        <v>2</v>
      </c>
      <c r="D79" s="2"/>
    </row>
    <row r="80" spans="1:4" ht="15.75" customHeight="1">
      <c r="A80" s="1" t="s">
        <v>129</v>
      </c>
      <c r="B80" s="1" t="s">
        <v>66</v>
      </c>
      <c r="C80" s="14" t="s">
        <v>2</v>
      </c>
      <c r="D80" s="2"/>
    </row>
    <row r="81" spans="1:4" ht="15.75" customHeight="1">
      <c r="A81" s="1" t="s">
        <v>129</v>
      </c>
      <c r="B81" s="1" t="s">
        <v>85</v>
      </c>
      <c r="C81" s="14" t="s">
        <v>2</v>
      </c>
      <c r="D81" s="2"/>
    </row>
    <row r="82" spans="1:4" ht="15.75" customHeight="1">
      <c r="A82" s="1" t="s">
        <v>129</v>
      </c>
      <c r="B82" s="1" t="s">
        <v>64</v>
      </c>
      <c r="C82" s="14" t="s">
        <v>2</v>
      </c>
      <c r="D82" s="2"/>
    </row>
    <row r="83" spans="1:4" ht="15.75" customHeight="1">
      <c r="A83" s="1" t="s">
        <v>129</v>
      </c>
      <c r="B83" s="1" t="s">
        <v>87</v>
      </c>
      <c r="C83" s="14" t="s">
        <v>2</v>
      </c>
      <c r="D83" s="2"/>
    </row>
    <row r="84" spans="1:4" ht="15.75" customHeight="1">
      <c r="A84" s="1" t="s">
        <v>129</v>
      </c>
      <c r="B84" s="1" t="s">
        <v>94</v>
      </c>
      <c r="C84" s="14" t="s">
        <v>2</v>
      </c>
      <c r="D84" s="2"/>
    </row>
    <row r="85" spans="1:4" ht="15.75" customHeight="1">
      <c r="A85" s="1" t="s">
        <v>129</v>
      </c>
      <c r="B85" s="1" t="s">
        <v>76</v>
      </c>
      <c r="C85" s="14" t="s">
        <v>2</v>
      </c>
      <c r="D85" s="2"/>
    </row>
    <row r="86" spans="1:4" ht="15.75" customHeight="1">
      <c r="A86" s="1" t="s">
        <v>129</v>
      </c>
      <c r="B86" s="1" t="s">
        <v>100</v>
      </c>
      <c r="C86" s="14" t="s">
        <v>2</v>
      </c>
      <c r="D86" s="2"/>
    </row>
    <row r="87" spans="1:4" ht="15.75" customHeight="1">
      <c r="A87" s="1" t="s">
        <v>129</v>
      </c>
      <c r="B87" s="1" t="s">
        <v>95</v>
      </c>
      <c r="C87" s="14" t="s">
        <v>2</v>
      </c>
      <c r="D87" s="2"/>
    </row>
    <row r="88" spans="1:4" ht="15.75" customHeight="1">
      <c r="A88" s="1" t="s">
        <v>129</v>
      </c>
      <c r="B88" s="1" t="s">
        <v>72</v>
      </c>
      <c r="C88" s="14" t="s">
        <v>2</v>
      </c>
      <c r="D88" s="2"/>
    </row>
    <row r="89" spans="1:4" ht="15.75" customHeight="1">
      <c r="A89" s="1" t="s">
        <v>129</v>
      </c>
      <c r="B89" s="1" t="s">
        <v>92</v>
      </c>
      <c r="C89" s="14" t="s">
        <v>2</v>
      </c>
      <c r="D89" s="2"/>
    </row>
    <row r="90" spans="1:4" ht="15.75" customHeight="1">
      <c r="A90" s="1" t="s">
        <v>129</v>
      </c>
      <c r="B90" s="1" t="s">
        <v>65</v>
      </c>
      <c r="C90" s="14" t="s">
        <v>2</v>
      </c>
      <c r="D90" s="2"/>
    </row>
    <row r="91" spans="1:4" ht="15.75" customHeight="1">
      <c r="A91" s="1" t="s">
        <v>129</v>
      </c>
      <c r="B91" s="1" t="s">
        <v>86</v>
      </c>
      <c r="C91" s="14" t="s">
        <v>2</v>
      </c>
      <c r="D91" s="2"/>
    </row>
    <row r="92" spans="1:4" ht="15.75" customHeight="1">
      <c r="A92" s="1" t="s">
        <v>129</v>
      </c>
      <c r="B92" s="1" t="s">
        <v>88</v>
      </c>
      <c r="C92" s="14" t="s">
        <v>2</v>
      </c>
      <c r="D92" s="2"/>
    </row>
    <row r="93" spans="1:4" ht="15.75" customHeight="1">
      <c r="A93" s="1" t="s">
        <v>129</v>
      </c>
      <c r="B93" s="1" t="s">
        <v>74</v>
      </c>
      <c r="C93" s="14" t="s">
        <v>2</v>
      </c>
      <c r="D93" s="2"/>
    </row>
    <row r="94" spans="1:4" ht="15.75" customHeight="1">
      <c r="A94" s="1" t="s">
        <v>129</v>
      </c>
      <c r="B94" s="1" t="s">
        <v>77</v>
      </c>
      <c r="C94" s="14" t="s">
        <v>2</v>
      </c>
      <c r="D94" s="2"/>
    </row>
    <row r="95" spans="1:4" ht="15.75" customHeight="1">
      <c r="A95" s="1" t="s">
        <v>129</v>
      </c>
      <c r="B95" s="1" t="s">
        <v>73</v>
      </c>
      <c r="C95" s="14" t="s">
        <v>2</v>
      </c>
      <c r="D95" s="2"/>
    </row>
    <row r="96" spans="1:4" ht="15.75" customHeight="1">
      <c r="A96" s="1" t="s">
        <v>129</v>
      </c>
      <c r="B96" s="1" t="s">
        <v>97</v>
      </c>
      <c r="C96" s="14" t="s">
        <v>2</v>
      </c>
      <c r="D96" s="2"/>
    </row>
    <row r="97" spans="1:4" ht="15.75" customHeight="1">
      <c r="A97" s="1" t="s">
        <v>129</v>
      </c>
      <c r="B97" s="1" t="s">
        <v>93</v>
      </c>
      <c r="C97" s="14" t="s">
        <v>2</v>
      </c>
      <c r="D97" s="2"/>
    </row>
    <row r="98" spans="1:4" ht="15.75" customHeight="1">
      <c r="A98" s="1" t="s">
        <v>129</v>
      </c>
      <c r="B98" s="1" t="s">
        <v>75</v>
      </c>
      <c r="C98" s="14" t="s">
        <v>2</v>
      </c>
      <c r="D98" s="2"/>
    </row>
    <row r="99" spans="1:4" ht="15.75" customHeight="1">
      <c r="A99" s="1" t="s">
        <v>129</v>
      </c>
      <c r="B99" s="1" t="s">
        <v>89</v>
      </c>
      <c r="C99" s="14" t="s">
        <v>2</v>
      </c>
      <c r="D99" s="2"/>
    </row>
    <row r="100" spans="1:4" ht="15.75" customHeight="1">
      <c r="A100" s="1" t="s">
        <v>129</v>
      </c>
      <c r="B100" s="1" t="s">
        <v>99</v>
      </c>
      <c r="C100" s="14" t="s">
        <v>2</v>
      </c>
      <c r="D100" s="2"/>
    </row>
    <row r="101" spans="1:4" ht="15.75" customHeight="1">
      <c r="A101" s="1" t="s">
        <v>129</v>
      </c>
      <c r="B101" s="1" t="s">
        <v>67</v>
      </c>
      <c r="C101" s="14" t="s">
        <v>2</v>
      </c>
      <c r="D101" s="2"/>
    </row>
    <row r="102" spans="1:4" ht="15.75" customHeight="1">
      <c r="A102" s="1" t="s">
        <v>129</v>
      </c>
      <c r="B102" s="1" t="s">
        <v>78</v>
      </c>
      <c r="C102" s="14" t="s">
        <v>2</v>
      </c>
      <c r="D102" s="2"/>
    </row>
    <row r="103" spans="1:4" ht="15.75" customHeight="1">
      <c r="A103" s="1" t="s">
        <v>129</v>
      </c>
      <c r="B103" s="1" t="s">
        <v>82</v>
      </c>
      <c r="C103" s="14" t="s">
        <v>2</v>
      </c>
      <c r="D103" s="2"/>
    </row>
    <row r="104" spans="1:4" ht="15.75" customHeight="1">
      <c r="A104" s="1" t="s">
        <v>129</v>
      </c>
      <c r="B104" s="1" t="s">
        <v>79</v>
      </c>
      <c r="C104" s="14" t="s">
        <v>2</v>
      </c>
      <c r="D104" s="2"/>
    </row>
    <row r="105" spans="1:4" ht="15.75" customHeight="1">
      <c r="A105" s="1" t="s">
        <v>129</v>
      </c>
      <c r="B105" s="1" t="s">
        <v>102</v>
      </c>
      <c r="C105" s="14" t="s">
        <v>2</v>
      </c>
      <c r="D105" s="2"/>
    </row>
    <row r="106" spans="1:4" ht="15.75" customHeight="1">
      <c r="A106" s="1" t="s">
        <v>129</v>
      </c>
      <c r="B106" s="1" t="s">
        <v>68</v>
      </c>
      <c r="C106" s="14" t="s">
        <v>2</v>
      </c>
      <c r="D106" s="2"/>
    </row>
    <row r="107" spans="1:4" ht="15.75" customHeight="1">
      <c r="A107" s="1" t="s">
        <v>129</v>
      </c>
      <c r="B107" s="1" t="s">
        <v>91</v>
      </c>
      <c r="C107" s="14" t="s">
        <v>2</v>
      </c>
      <c r="D107" s="2"/>
    </row>
    <row r="108" spans="1:4" ht="15.75" customHeight="1">
      <c r="A108" s="1" t="s">
        <v>129</v>
      </c>
      <c r="B108" s="1" t="s">
        <v>104</v>
      </c>
      <c r="C108" s="14" t="s">
        <v>2</v>
      </c>
      <c r="D108" s="2"/>
    </row>
    <row r="109" spans="1:4" ht="15.75" customHeight="1">
      <c r="A109" s="1" t="s">
        <v>129</v>
      </c>
      <c r="B109" s="1" t="s">
        <v>90</v>
      </c>
      <c r="C109" s="14" t="s">
        <v>2</v>
      </c>
      <c r="D109" s="2"/>
    </row>
    <row r="110" spans="1:4" ht="15.75" customHeight="1">
      <c r="A110" s="1" t="s">
        <v>129</v>
      </c>
      <c r="B110" s="1" t="s">
        <v>101</v>
      </c>
      <c r="C110" s="14" t="s">
        <v>2</v>
      </c>
      <c r="D110" s="2"/>
    </row>
    <row r="111" spans="1:4" ht="15.75" customHeight="1">
      <c r="A111" s="1" t="s">
        <v>129</v>
      </c>
      <c r="B111" s="1" t="s">
        <v>103</v>
      </c>
      <c r="C111" s="14" t="s">
        <v>2</v>
      </c>
      <c r="D111" s="2"/>
    </row>
    <row r="112" spans="1:4" ht="15.75" customHeight="1">
      <c r="A112" s="1" t="s">
        <v>129</v>
      </c>
      <c r="B112" s="1" t="s">
        <v>105</v>
      </c>
      <c r="C112" s="14" t="s">
        <v>4</v>
      </c>
      <c r="D112" s="2"/>
    </row>
    <row r="113" spans="1:4" ht="15.75" customHeight="1">
      <c r="A113" s="1" t="s">
        <v>129</v>
      </c>
      <c r="B113" s="1" t="s">
        <v>106</v>
      </c>
      <c r="C113" s="14" t="s">
        <v>4</v>
      </c>
      <c r="D113" s="2"/>
    </row>
    <row r="114" spans="1:4" ht="15.75" customHeight="1">
      <c r="A114" s="1" t="s">
        <v>129</v>
      </c>
      <c r="B114" s="1" t="s">
        <v>107</v>
      </c>
      <c r="C114" s="14" t="s">
        <v>4</v>
      </c>
      <c r="D114" s="2"/>
    </row>
    <row r="115" spans="1:4" ht="15.75" customHeight="1">
      <c r="A115" s="1" t="s">
        <v>129</v>
      </c>
      <c r="B115" s="1" t="s">
        <v>108</v>
      </c>
      <c r="C115" s="14" t="s">
        <v>4</v>
      </c>
      <c r="D115" s="2"/>
    </row>
    <row r="116" spans="1:4" ht="15.75" customHeight="1">
      <c r="A116" s="1" t="s">
        <v>129</v>
      </c>
      <c r="B116" s="1" t="s">
        <v>126</v>
      </c>
      <c r="C116" s="14" t="s">
        <v>4</v>
      </c>
      <c r="D116" s="2"/>
    </row>
    <row r="117" spans="1:4" ht="15.75" customHeight="1">
      <c r="A117" s="1" t="s">
        <v>129</v>
      </c>
      <c r="B117" s="1" t="s">
        <v>127</v>
      </c>
      <c r="C117" s="14" t="s">
        <v>4</v>
      </c>
      <c r="D117" s="2"/>
    </row>
    <row r="118" spans="1:4" ht="15.75" customHeight="1">
      <c r="A118" s="1" t="s">
        <v>129</v>
      </c>
      <c r="B118" s="1" t="s">
        <v>128</v>
      </c>
      <c r="C118" s="14" t="s">
        <v>4</v>
      </c>
      <c r="D118" s="2"/>
    </row>
    <row r="119" spans="1:4" ht="15.75" customHeight="1">
      <c r="A119" s="1" t="s">
        <v>129</v>
      </c>
      <c r="B119" s="1" t="s">
        <v>109</v>
      </c>
      <c r="C119" s="14" t="s">
        <v>2</v>
      </c>
      <c r="D119" s="2"/>
    </row>
    <row r="120" spans="1:4" ht="15.75" customHeight="1">
      <c r="A120" s="1" t="s">
        <v>129</v>
      </c>
      <c r="B120" s="1" t="s">
        <v>110</v>
      </c>
      <c r="C120" s="14" t="s">
        <v>2</v>
      </c>
      <c r="D120" s="2"/>
    </row>
    <row r="121" spans="1:4" ht="15.75" customHeight="1">
      <c r="A121" s="1" t="s">
        <v>129</v>
      </c>
      <c r="B121" s="1" t="s">
        <v>111</v>
      </c>
      <c r="C121" s="14" t="s">
        <v>2</v>
      </c>
      <c r="D121" s="2"/>
    </row>
  </sheetData>
  <autoFilter ref="A1:C121" xr:uid="{00000000-0009-0000-0000-000000000000}"/>
  <customSheetViews>
    <customSheetView guid="{0848938A-2E23-4077-AC3C-185F69980512}" showGridLines="0" showAutoFilter="1">
      <pane ySplit="1" topLeftCell="A2" activePane="bottomLeft" state="frozen"/>
      <selection pane="bottomLeft" activeCell="E8" sqref="E8"/>
      <pageMargins left="0.7" right="0.7" top="0.75" bottom="0.75" header="0" footer="0"/>
      <pageSetup orientation="portrait" r:id="rId1"/>
      <autoFilter ref="A1:C121" xr:uid="{00000000-0009-0000-0000-000000000000}"/>
    </customSheetView>
    <customSheetView guid="{E671D645-8A7F-426C-AB91-987C41BF039E}" showGridLines="0" showAutoFilter="1">
      <pane ySplit="1" topLeftCell="A105" activePane="bottomLeft" state="frozen"/>
      <selection pane="bottomLeft" activeCell="D114" sqref="D114"/>
      <pageMargins left="0.7" right="0.7" top="0.75" bottom="0.75" header="0" footer="0"/>
      <pageSetup orientation="portrait" r:id="rId2"/>
      <autoFilter ref="A1:C121" xr:uid="{00000000-0000-0000-0000-000000000000}"/>
    </customSheetView>
    <customSheetView guid="{E8CBFF4F-DC34-431A-A627-42C9D2C0FB9A}" showGridLines="0" showAutoFilter="1">
      <pane ySplit="1" topLeftCell="A2" activePane="bottomLeft" state="frozen"/>
      <selection pane="bottomLeft" activeCell="G28" sqref="G28"/>
      <pageMargins left="0.7" right="0.7" top="0.75" bottom="0.75" header="0" footer="0"/>
      <pageSetup orientation="portrait" r:id="rId3"/>
      <autoFilter ref="A1:C121" xr:uid="{00000000-0000-0000-0000-000000000000}"/>
    </customSheetView>
  </customSheetViews>
  <mergeCells count="3">
    <mergeCell ref="H3:S3"/>
    <mergeCell ref="H4:S4"/>
    <mergeCell ref="H5:S5"/>
  </mergeCells>
  <pageMargins left="0.7" right="0.7" top="0.75" bottom="0.75" header="0" footer="0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HV-ISO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Anwar</dc:creator>
  <cp:lastModifiedBy>Zohaib Nayyar</cp:lastModifiedBy>
  <dcterms:created xsi:type="dcterms:W3CDTF">2020-03-02T08:10:23Z</dcterms:created>
  <dcterms:modified xsi:type="dcterms:W3CDTF">2025-11-14T14:05:45Z</dcterms:modified>
</cp:coreProperties>
</file>